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Log" sheetId="1" state="visible" r:id="rId1"/>
    <sheet name="Reference" sheetId="2" state="visible" r:id="rId2"/>
    <sheet name="Conditions" sheetId="3" state="visible" r:id="rId3"/>
    <sheet name="Skill progression" sheetId="4" state="visible" r:id="rId4"/>
    <sheet name="Appendix 4 and 5" sheetId="5" state="visible" r:id="rId5"/>
    <sheet name="Cavan plan" sheetId="6" state="visible" r:id="rId6"/>
    <sheet name="Sources" sheetId="7" state="visible" r:id="rId7"/>
    <sheet name="Start here" sheetId="8" state="visible" r:id="rId8"/>
    <sheet name="Lists" sheetId="9" state="hidden" r:id="rId9"/>
  </sheets>
  <definedNames>
    <definedName name="BandList" hidden="0" function="0" vbProcedure="0">Lists!$R$4:$R$8</definedName>
    <definedName name="CatList" hidden="0" function="0" vbProcedure="0">Lists!$A$4:$A$8</definedName>
    <definedName name="Comp1" hidden="0" function="0" vbProcedure="0">Lists!$J$4:$J$13</definedName>
    <definedName name="Comp2" hidden="0" function="0" vbProcedure="0">Lists!$K$4:$K$9</definedName>
    <definedName name="Comp3" hidden="0" function="0" vbProcedure="0">Lists!$L$4:$L$10</definedName>
    <definedName name="Comp4" hidden="0" function="0" vbProcedure="0">Lists!$M$4:$M$9</definedName>
    <definedName name="Comp5" hidden="0" function="0" vbProcedure="0">Lists!$N$4:$N$9</definedName>
    <definedName name="Comp6" hidden="0" function="0" vbProcedure="0">Lists!$O$4:$O$10</definedName>
    <definedName name="Comp7" hidden="0" function="0" vbProcedure="0">Lists!$P$4:$P$13</definedName>
    <definedName name="Comp8" hidden="0" function="0" vbProcedure="0">Lists!$Q$4:$Q$6</definedName>
    <definedName name="CompList" hidden="0" function="0" vbProcedure="0">Lists!$I$4:$I$11</definedName>
    <definedName name="Ref1" hidden="0" function="0" vbProcedure="0">Lists!$C$4:$C$9</definedName>
    <definedName name="Ref2" hidden="0" function="0" vbProcedure="0">Lists!$D$4:$D$5</definedName>
    <definedName name="Ref3" hidden="0" function="0" vbProcedure="0">Lists!$E$4:$E$10</definedName>
    <definedName name="Ref4" hidden="0" function="0" vbProcedure="0">Lists!$F$4:$F$5</definedName>
    <definedName name="Ref5" hidden="0" function="0" vbProcedure="0">Lists!$G$4:$G$9</definedName>
    <definedName name="_xlnm._FilterDatabase" localSheetId="0" hidden="1">'Log'!$A$1:$J$402</definedName>
    <definedName name="_xlnm._FilterDatabase" localSheetId="1" hidden="1">'Reference'!$A$26:$AK$787</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dd/mm/yyyy"/>
  </numFmts>
  <fonts count="50">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0"/>
    </font>
    <font>
      <name val="Arial"/>
      <charset val="1"/>
      <family val="0"/>
      <b val="1"/>
      <color rgb="FF8A5A00"/>
      <sz val="10"/>
    </font>
    <font>
      <name val="Arial"/>
      <charset val="1"/>
      <family val="0"/>
      <color rgb="FF1A1D1B"/>
      <sz val="10"/>
    </font>
    <font>
      <name val="Arial"/>
      <charset val="1"/>
      <family val="0"/>
      <color rgb="FF5D6660"/>
      <sz val="9"/>
    </font>
    <font>
      <name val="Arial"/>
      <charset val="1"/>
      <family val="0"/>
      <b val="1"/>
      <color rgb="FFFFFFFF"/>
      <sz val="13"/>
    </font>
    <font>
      <name val="Arial"/>
      <charset val="1"/>
      <family val="0"/>
      <b val="1"/>
      <color rgb="FF0563C1"/>
      <sz val="11"/>
    </font>
    <font>
      <name val="Arial"/>
      <charset val="1"/>
      <family val="0"/>
      <color rgb="FF2E8B57"/>
      <sz val="9"/>
    </font>
    <font>
      <name val="Arial"/>
      <charset val="1"/>
      <family val="0"/>
      <b val="1"/>
      <color rgb="FF1B5E38"/>
      <sz val="11"/>
    </font>
    <font>
      <name val="Arial"/>
      <charset val="1"/>
      <family val="0"/>
      <b val="1"/>
      <color rgb="FFFFFFFF"/>
      <sz val="12"/>
    </font>
    <font>
      <name val="Arial"/>
      <charset val="1"/>
      <family val="0"/>
      <color rgb="FF5D6660"/>
      <sz val="10"/>
    </font>
    <font>
      <name val="Arial"/>
      <charset val="1"/>
      <family val="0"/>
      <color rgb="FF0563C1"/>
      <sz val="9"/>
    </font>
    <font>
      <name val="Arial"/>
      <charset val="1"/>
      <family val="0"/>
      <color rgb="FF1A1D1B"/>
      <sz val="9"/>
    </font>
    <font>
      <name val="Arial"/>
      <charset val="1"/>
      <family val="0"/>
      <b val="1"/>
      <color rgb="FFFFFFFF"/>
      <sz val="9"/>
    </font>
    <font>
      <name val="Arial"/>
      <charset val="1"/>
      <family val="0"/>
      <b val="1"/>
      <color rgb="FF1A1D1B"/>
      <sz val="10"/>
    </font>
    <font>
      <name val="Arial"/>
      <charset val="1"/>
      <family val="0"/>
      <color rgb="FF7A2118"/>
      <sz val="9"/>
    </font>
    <font>
      <name val="Arial"/>
      <charset val="1"/>
      <family val="0"/>
      <color rgb="FF8A5A00"/>
      <sz val="10"/>
    </font>
    <font>
      <name val="Arial"/>
      <charset val="1"/>
      <family val="0"/>
      <b val="1"/>
      <color rgb="FF7A2118"/>
      <sz val="9"/>
    </font>
    <font>
      <name val="Arial"/>
      <charset val="1"/>
      <family val="0"/>
      <b val="1"/>
      <color rgb="FFFFFFFF"/>
      <sz val="11"/>
    </font>
    <font>
      <name val="Arial"/>
      <charset val="1"/>
      <family val="0"/>
      <b val="1"/>
      <color rgb="FF1B5E38"/>
      <sz val="10"/>
    </font>
    <font>
      <name val="Arial"/>
      <charset val="1"/>
      <family val="0"/>
      <color rgb="FF9A2018"/>
      <sz val="9"/>
    </font>
    <font>
      <name val="Arial"/>
      <charset val="1"/>
      <family val="0"/>
      <color rgb="FF6B4A12"/>
      <sz val="10"/>
    </font>
    <font>
      <name val="Arial"/>
      <charset val="1"/>
      <family val="0"/>
      <b val="1"/>
      <color rgb="FF5D6660"/>
      <sz val="10"/>
    </font>
    <font>
      <name val="Arial"/>
      <charset val="1"/>
      <family val="0"/>
      <color rgb="FF9A2018"/>
      <sz val="10"/>
    </font>
    <font>
      <name val="Arial"/>
      <charset val="1"/>
      <family val="0"/>
      <b val="1"/>
      <color rgb="FF9A2018"/>
      <sz val="10"/>
    </font>
    <font>
      <name val="Arial"/>
      <charset val="1"/>
      <family val="0"/>
      <color rgb="FF7A2118"/>
      <sz val="10"/>
    </font>
    <font>
      <name val="Arial"/>
      <charset val="1"/>
      <family val="0"/>
      <b val="1"/>
      <color rgb="FF0563C1"/>
      <sz val="10"/>
    </font>
    <font>
      <name val="Arial"/>
      <charset val="1"/>
      <family val="0"/>
      <b val="1"/>
      <color rgb="FF7A2118"/>
      <sz val="10"/>
    </font>
    <font>
      <name val="Arial"/>
      <charset val="1"/>
      <family val="0"/>
      <color rgb="FF1B5E38"/>
      <sz val="9"/>
    </font>
    <font>
      <name val="Arial"/>
      <charset val="1"/>
      <family val="0"/>
      <b val="1"/>
      <color rgb="FF1A1D1B"/>
      <sz val="9"/>
    </font>
    <font>
      <name val="Arial"/>
      <charset val="1"/>
      <family val="0"/>
      <color rgb="FF2E8B57"/>
      <sz val="10"/>
    </font>
    <font>
      <name val="Arial"/>
      <charset val="1"/>
      <family val="0"/>
      <b val="1"/>
      <color rgb="FF5D6660"/>
      <sz val="9"/>
    </font>
    <font>
      <name val="Arial"/>
      <charset val="1"/>
      <family val="0"/>
      <b val="1"/>
      <color rgb="FF9A2018"/>
      <sz val="9"/>
    </font>
    <font>
      <name val="Arial"/>
      <charset val="1"/>
      <family val="0"/>
      <color rgb="FF8A5A00"/>
      <sz val="9"/>
    </font>
    <font>
      <name val="Arial"/>
      <charset val="1"/>
      <family val="0"/>
      <color rgb="FFC0392B"/>
      <sz val="9"/>
    </font>
    <font>
      <name val="Arial"/>
      <charset val="1"/>
      <family val="0"/>
      <b val="1"/>
      <color rgb="FFC0392B"/>
      <sz val="9"/>
    </font>
    <font>
      <name val="Arial"/>
      <charset val="1"/>
      <family val="0"/>
      <i val="1"/>
      <color rgb="FF5D6660"/>
      <sz val="9"/>
    </font>
    <font>
      <name val="Arial"/>
      <charset val="1"/>
      <family val="0"/>
      <b val="1"/>
      <color rgb="FF8A5A00"/>
      <sz val="9"/>
    </font>
    <font>
      <name val="Arial"/>
      <charset val="1"/>
      <family val="0"/>
      <b val="1"/>
      <color rgb="FF1B5E38"/>
      <sz val="16"/>
    </font>
    <font>
      <name val="Arial"/>
      <charset val="1"/>
      <family val="0"/>
      <b val="1"/>
      <color rgb="FF8A5A00"/>
      <sz val="11"/>
    </font>
    <font>
      <name val="Arial"/>
      <charset val="1"/>
      <family val="0"/>
      <b val="1"/>
      <color rgb="FF1B5E38"/>
      <sz val="13"/>
    </font>
    <font>
      <name val="Arial"/>
      <charset val="1"/>
      <family val="0"/>
      <b val="1"/>
      <color rgb="FF2E8B57"/>
      <sz val="10"/>
    </font>
    <font>
      <name val="Arial"/>
      <charset val="1"/>
      <family val="0"/>
      <color rgb="FF0563C1"/>
      <sz val="10"/>
    </font>
    <font>
      <name val="Arial"/>
      <charset val="1"/>
      <family val="0"/>
      <i val="1"/>
      <color rgb="FF5D6660"/>
      <sz val="10"/>
    </font>
    <font>
      <name val="Arial"/>
      <charset val="1"/>
      <family val="0"/>
      <b val="1"/>
      <color rgb="FF1B5E38"/>
      <sz val="12"/>
    </font>
    <font>
      <name val="Arial"/>
      <charset val="1"/>
      <family val="0"/>
      <b val="1"/>
      <color rgb="FF1B5E38"/>
      <sz val="18"/>
    </font>
    <font>
      <name val="Arial"/>
      <charset val="1"/>
      <family val="0"/>
      <b val="1"/>
      <color rgb="FF8A5A00"/>
      <sz val="13"/>
    </font>
  </fonts>
  <fills count="18">
    <fill>
      <patternFill/>
    </fill>
    <fill>
      <patternFill patternType="gray125"/>
    </fill>
    <fill>
      <patternFill patternType="solid">
        <fgColor rgb="FF1B5E38"/>
        <bgColor rgb="FF0F3D24"/>
      </patternFill>
    </fill>
    <fill>
      <patternFill patternType="solid">
        <fgColor rgb="FFFFF4DC"/>
        <bgColor rgb="FFFDF6E3"/>
      </patternFill>
    </fill>
    <fill>
      <patternFill patternType="solid">
        <fgColor rgb="FFEEF5F0"/>
        <bgColor rgb="FFEAF4EE"/>
      </patternFill>
    </fill>
    <fill>
      <patternFill patternType="solid">
        <fgColor rgb="FFFFF9E0"/>
        <bgColor rgb="FFFDF6E3"/>
      </patternFill>
    </fill>
    <fill>
      <patternFill patternType="solid">
        <fgColor rgb="FFFDF6E3"/>
        <bgColor rgb="FFFFF9E0"/>
      </patternFill>
    </fill>
    <fill>
      <patternFill patternType="solid">
        <fgColor rgb="FF2E8B57"/>
        <bgColor rgb="FF008080"/>
      </patternFill>
    </fill>
    <fill>
      <patternFill patternType="solid">
        <fgColor rgb="FF0F3D24"/>
        <bgColor rgb="FF003366"/>
      </patternFill>
    </fill>
    <fill>
      <patternFill patternType="solid">
        <fgColor rgb="FFFFF9EC"/>
        <bgColor rgb="FFFDF6E3"/>
      </patternFill>
    </fill>
    <fill>
      <patternFill patternType="solid">
        <fgColor rgb="FFEAF4EE"/>
        <bgColor rgb="FFEEF5F0"/>
      </patternFill>
    </fill>
    <fill>
      <patternFill patternType="solid">
        <fgColor rgb="FFFFF3F2"/>
        <bgColor rgb="FFFFF9EC"/>
      </patternFill>
    </fill>
    <fill>
      <patternFill patternType="solid">
        <fgColor rgb="FFF4FAF6"/>
        <bgColor rgb="FFF7FBF8"/>
      </patternFill>
    </fill>
    <fill>
      <patternFill patternType="solid">
        <fgColor rgb="FFF7FBF8"/>
        <bgColor rgb="FFF4FAF6"/>
      </patternFill>
    </fill>
    <fill>
      <patternFill patternType="solid">
        <fgColor rgb="FF8A5A00"/>
        <bgColor rgb="FF6B4A12"/>
      </patternFill>
    </fill>
    <fill>
      <patternFill patternType="solid">
        <fgColor rgb="FFC0392B"/>
        <bgColor rgb="FF9A2018"/>
      </patternFill>
    </fill>
    <fill>
      <patternFill patternType="solid">
        <fgColor rgb="FFFDECEA"/>
        <bgColor rgb="FFFFF3F2"/>
      </patternFill>
    </fill>
    <fill>
      <patternFill patternType="solid">
        <fgColor rgb="FFE8F0FE"/>
        <bgColor rgb="FFEAF4EE"/>
      </patternFill>
    </fill>
  </fills>
  <borders count="2">
    <border>
      <left/>
      <right/>
      <top/>
      <bottom/>
      <diagonal/>
    </border>
    <border>
      <left/>
      <right/>
      <top/>
      <bottom style="thin">
        <color rgb="FFDDE5E0"/>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52">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general" vertical="top" wrapText="1"/>
    </xf>
    <xf numFmtId="0" fontId="5" fillId="3" borderId="0" applyAlignment="1" pivotButton="0" quotePrefix="0" xfId="0">
      <alignment horizontal="general" vertical="bottom"/>
    </xf>
    <xf numFmtId="0" fontId="0" fillId="3" borderId="0" applyAlignment="1" pivotButton="0" quotePrefix="0" xfId="0">
      <alignment horizontal="general" vertical="bottom"/>
    </xf>
    <xf numFmtId="164" fontId="6" fillId="4" borderId="1" applyAlignment="1" pivotButton="0" quotePrefix="0" xfId="0">
      <alignment horizontal="general" vertical="top" wrapText="1"/>
    </xf>
    <xf numFmtId="0" fontId="6" fillId="4" borderId="1" applyAlignment="1" pivotButton="0" quotePrefix="0" xfId="0">
      <alignment horizontal="general" vertical="top" wrapText="1"/>
    </xf>
    <xf numFmtId="0" fontId="6" fillId="5" borderId="1" applyAlignment="1" pivotButton="0" quotePrefix="0" xfId="0">
      <alignment horizontal="general" vertical="top" wrapText="1"/>
    </xf>
    <xf numFmtId="0" fontId="7" fillId="0" borderId="1" applyAlignment="1" pivotButton="0" quotePrefix="0" xfId="0">
      <alignment horizontal="general" vertical="bottom"/>
    </xf>
    <xf numFmtId="164" fontId="6" fillId="6" borderId="1" applyAlignment="1" pivotButton="0" quotePrefix="0" xfId="0">
      <alignment horizontal="general" vertical="top" wrapText="1"/>
    </xf>
    <xf numFmtId="0" fontId="6" fillId="6" borderId="1" applyAlignment="1" pivotButton="0" quotePrefix="0" xfId="0">
      <alignment horizontal="general" vertical="top" wrapText="1"/>
    </xf>
    <xf numFmtId="164" fontId="6" fillId="5" borderId="1" applyAlignment="1" pivotButton="0" quotePrefix="0" xfId="0">
      <alignment horizontal="general" vertical="top" wrapText="1"/>
    </xf>
    <xf numFmtId="0" fontId="7" fillId="0" borderId="1" applyAlignment="1" pivotButton="0" quotePrefix="0" xfId="0">
      <alignment horizontal="general" vertical="top" wrapText="1"/>
    </xf>
    <xf numFmtId="0" fontId="4" fillId="7" borderId="0" applyAlignment="1" pivotButton="0" quotePrefix="0" xfId="0">
      <alignment horizontal="general" vertical="top" wrapText="1"/>
    </xf>
    <xf numFmtId="0" fontId="4" fillId="8" borderId="0" applyAlignment="1" pivotButton="0" quotePrefix="0" xfId="0">
      <alignment horizontal="general" vertical="top" wrapText="1"/>
    </xf>
    <xf numFmtId="0" fontId="8" fillId="8" borderId="0" applyAlignment="1" pivotButton="0" quotePrefix="0" xfId="0">
      <alignment horizontal="general" vertical="bottom"/>
    </xf>
    <xf numFmtId="0" fontId="9" fillId="0" borderId="1" applyAlignment="1" pivotButton="0" quotePrefix="0" xfId="0">
      <alignment horizontal="general" vertical="bottom"/>
    </xf>
    <xf numFmtId="0" fontId="10" fillId="0" borderId="1" applyAlignment="1" pivotButton="0" quotePrefix="0" xfId="0">
      <alignment horizontal="general" vertical="bottom"/>
    </xf>
    <xf numFmtId="0" fontId="11" fillId="0" borderId="0" applyAlignment="1" pivotButton="0" quotePrefix="0" xfId="0">
      <alignment horizontal="general" vertical="bottom"/>
    </xf>
    <xf numFmtId="0" fontId="7" fillId="0" borderId="0" applyAlignment="1" pivotButton="0" quotePrefix="0" xfId="0">
      <alignment horizontal="general" vertical="bottom"/>
    </xf>
    <xf numFmtId="0" fontId="12" fillId="2" borderId="0" applyAlignment="1" pivotButton="0" quotePrefix="0" xfId="0">
      <alignment horizontal="general" vertical="bottom"/>
    </xf>
    <xf numFmtId="0" fontId="13" fillId="4" borderId="1" applyAlignment="1" pivotButton="0" quotePrefix="0" xfId="0">
      <alignment horizontal="general" vertical="top" wrapText="1"/>
    </xf>
    <xf numFmtId="0" fontId="7" fillId="4" borderId="1" applyAlignment="1" pivotButton="0" quotePrefix="0" xfId="0">
      <alignment horizontal="general" vertical="top" wrapText="1"/>
    </xf>
    <xf numFmtId="0" fontId="14" fillId="4" borderId="1" applyAlignment="1" pivotButton="0" quotePrefix="0" xfId="0">
      <alignment horizontal="general" vertical="top" wrapText="1"/>
    </xf>
    <xf numFmtId="0" fontId="13" fillId="9" borderId="1" applyAlignment="1" pivotButton="0" quotePrefix="0" xfId="0">
      <alignment horizontal="general" vertical="top" wrapText="1"/>
    </xf>
    <xf numFmtId="0" fontId="7" fillId="9" borderId="1" applyAlignment="1" pivotButton="0" quotePrefix="0" xfId="0">
      <alignment horizontal="general" vertical="top" wrapText="1"/>
    </xf>
    <xf numFmtId="0" fontId="6" fillId="9" borderId="1" applyAlignment="1" pivotButton="0" quotePrefix="0" xfId="0">
      <alignment horizontal="general" vertical="top" wrapText="1"/>
    </xf>
    <xf numFmtId="0" fontId="15" fillId="9" borderId="1" applyAlignment="1" pivotButton="0" quotePrefix="0" xfId="0">
      <alignment horizontal="general" vertical="top" wrapText="1"/>
    </xf>
    <xf numFmtId="0" fontId="0" fillId="7" borderId="0" applyAlignment="1" pivotButton="0" quotePrefix="0" xfId="0">
      <alignment horizontal="general" vertical="bottom"/>
    </xf>
    <xf numFmtId="0" fontId="16" fillId="7" borderId="0" applyAlignment="1" pivotButton="0" quotePrefix="0" xfId="0">
      <alignment horizontal="general" vertical="bottom"/>
    </xf>
    <xf numFmtId="0" fontId="16" fillId="7" borderId="0" applyAlignment="1" pivotButton="0" quotePrefix="0" xfId="0">
      <alignment horizontal="general" vertical="top" wrapText="1"/>
    </xf>
    <xf numFmtId="0" fontId="13" fillId="10" borderId="1" applyAlignment="1" pivotButton="0" quotePrefix="0" xfId="0">
      <alignment horizontal="general" vertical="top" wrapText="1"/>
    </xf>
    <xf numFmtId="0" fontId="7" fillId="10" borderId="1" applyAlignment="1" pivotButton="0" quotePrefix="0" xfId="0">
      <alignment horizontal="general" vertical="top" wrapText="1"/>
    </xf>
    <xf numFmtId="0" fontId="15" fillId="10" borderId="1" applyAlignment="1" pivotButton="0" quotePrefix="0" xfId="0">
      <alignment horizontal="general" vertical="top" wrapText="1"/>
    </xf>
    <xf numFmtId="0" fontId="17" fillId="10" borderId="1" applyAlignment="1" pivotButton="0" quotePrefix="0" xfId="0">
      <alignment horizontal="general" vertical="top" wrapText="1"/>
    </xf>
    <xf numFmtId="0" fontId="6" fillId="10" borderId="1" applyAlignment="1" pivotButton="0" quotePrefix="0" xfId="0">
      <alignment horizontal="general" vertical="top" wrapText="1"/>
    </xf>
    <xf numFmtId="164" fontId="13" fillId="10" borderId="1" applyAlignment="1" pivotButton="0" quotePrefix="0" xfId="0">
      <alignment horizontal="general" vertical="top" wrapText="1"/>
    </xf>
    <xf numFmtId="0" fontId="15" fillId="4" borderId="1" applyAlignment="1" pivotButton="0" quotePrefix="0" xfId="0">
      <alignment horizontal="general" vertical="top" wrapText="1"/>
    </xf>
    <xf numFmtId="0" fontId="15" fillId="0" borderId="1" applyAlignment="1" pivotButton="0" quotePrefix="0" xfId="0">
      <alignment horizontal="general" vertical="top" wrapText="1"/>
    </xf>
    <xf numFmtId="0" fontId="18" fillId="11" borderId="1" applyAlignment="1" pivotButton="0" quotePrefix="0" xfId="0">
      <alignment horizontal="general" vertical="top" wrapText="1"/>
    </xf>
    <xf numFmtId="0" fontId="19" fillId="6" borderId="1" applyAlignment="1" pivotButton="0" quotePrefix="0" xfId="0">
      <alignment horizontal="general" vertical="top" wrapText="1"/>
    </xf>
    <xf numFmtId="0" fontId="5" fillId="6" borderId="1" applyAlignment="1" pivotButton="0" quotePrefix="0" xfId="0">
      <alignment horizontal="general" vertical="top" wrapText="1"/>
    </xf>
    <xf numFmtId="164" fontId="19" fillId="6" borderId="1" applyAlignment="1" pivotButton="0" quotePrefix="0" xfId="0">
      <alignment horizontal="general" vertical="top" wrapText="1"/>
    </xf>
    <xf numFmtId="0" fontId="15" fillId="12" borderId="1" applyAlignment="1" pivotButton="0" quotePrefix="0" xfId="0">
      <alignment horizontal="general" vertical="top" wrapText="1"/>
    </xf>
    <xf numFmtId="0" fontId="15" fillId="13" borderId="1" applyAlignment="1" pivotButton="0" quotePrefix="0" xfId="0">
      <alignment horizontal="general" vertical="top" wrapText="1"/>
    </xf>
    <xf numFmtId="0" fontId="20" fillId="11" borderId="1" applyAlignment="1" pivotButton="0" quotePrefix="0" xfId="0">
      <alignment horizontal="general" vertical="top" wrapText="1"/>
    </xf>
    <xf numFmtId="0" fontId="12" fillId="8" borderId="0" applyAlignment="1" pivotButton="0" quotePrefix="0" xfId="0">
      <alignment horizontal="general" vertical="bottom"/>
    </xf>
    <xf numFmtId="0" fontId="21" fillId="2" borderId="0" applyAlignment="1" pivotButton="0" quotePrefix="0" xfId="0">
      <alignment horizontal="general" vertical="bottom"/>
    </xf>
    <xf numFmtId="0" fontId="0" fillId="0" borderId="1" applyAlignment="1" pivotButton="0" quotePrefix="0" xfId="0">
      <alignment horizontal="general" vertical="top" wrapText="1"/>
    </xf>
    <xf numFmtId="0" fontId="22" fillId="0" borderId="1" applyAlignment="1" pivotButton="0" quotePrefix="0" xfId="0">
      <alignment horizontal="general" vertical="top" wrapText="1"/>
    </xf>
    <xf numFmtId="0" fontId="6" fillId="0" borderId="1" applyAlignment="1" pivotButton="0" quotePrefix="0" xfId="0">
      <alignment horizontal="general" vertical="top" wrapText="1"/>
    </xf>
    <xf numFmtId="0" fontId="23" fillId="11" borderId="1" applyAlignment="1" pivotButton="0" quotePrefix="0" xfId="0">
      <alignment horizontal="general" vertical="top" wrapText="1"/>
    </xf>
    <xf numFmtId="0" fontId="22" fillId="10" borderId="0" applyAlignment="1" pivotButton="0" quotePrefix="0" xfId="0">
      <alignment horizontal="general" vertical="bottom"/>
    </xf>
    <xf numFmtId="0" fontId="5" fillId="0" borderId="0" applyAlignment="1" pivotButton="0" quotePrefix="0" xfId="0">
      <alignment horizontal="general" vertical="bottom"/>
    </xf>
    <xf numFmtId="0" fontId="24" fillId="3" borderId="0" applyAlignment="1" pivotButton="0" quotePrefix="0" xfId="0">
      <alignment horizontal="general" vertical="top" wrapText="1"/>
    </xf>
    <xf numFmtId="0" fontId="17" fillId="0" borderId="1" applyAlignment="1" pivotButton="0" quotePrefix="0" xfId="0">
      <alignment horizontal="general" vertical="top" wrapText="1"/>
    </xf>
    <xf numFmtId="0" fontId="11" fillId="10" borderId="0" applyAlignment="1" pivotButton="0" quotePrefix="0" xfId="0">
      <alignment horizontal="general" vertical="bottom"/>
    </xf>
    <xf numFmtId="0" fontId="25" fillId="4" borderId="1" applyAlignment="1" pivotButton="0" quotePrefix="0" xfId="0">
      <alignment horizontal="general" vertical="top" wrapText="1"/>
    </xf>
    <xf numFmtId="0" fontId="26" fillId="0" borderId="1" applyAlignment="1" pivotButton="0" quotePrefix="0" xfId="0">
      <alignment horizontal="general" vertical="top" wrapText="1"/>
    </xf>
    <xf numFmtId="0" fontId="23" fillId="0" borderId="1" applyAlignment="1" pivotButton="0" quotePrefix="0" xfId="0">
      <alignment horizontal="general" vertical="top" wrapText="1"/>
    </xf>
    <xf numFmtId="0" fontId="27" fillId="0" borderId="1" applyAlignment="1" pivotButton="0" quotePrefix="0" xfId="0">
      <alignment horizontal="general" vertical="top" wrapText="1"/>
    </xf>
    <xf numFmtId="0" fontId="13" fillId="0" borderId="1" applyAlignment="1" pivotButton="0" quotePrefix="0" xfId="0">
      <alignment horizontal="general" vertical="top" wrapText="1"/>
    </xf>
    <xf numFmtId="0" fontId="25" fillId="0" borderId="1" applyAlignment="1" pivotButton="0" quotePrefix="0" xfId="0">
      <alignment horizontal="general" vertical="top" wrapText="1"/>
    </xf>
    <xf numFmtId="0" fontId="13" fillId="11" borderId="1" applyAlignment="1" pivotButton="0" quotePrefix="0" xfId="0">
      <alignment horizontal="general" vertical="top" wrapText="1"/>
    </xf>
    <xf numFmtId="0" fontId="25" fillId="11" borderId="1" applyAlignment="1" pivotButton="0" quotePrefix="0" xfId="0">
      <alignment horizontal="general" vertical="top" wrapText="1"/>
    </xf>
    <xf numFmtId="0" fontId="6" fillId="11" borderId="1" applyAlignment="1" pivotButton="0" quotePrefix="0" xfId="0">
      <alignment horizontal="general" vertical="top" wrapText="1"/>
    </xf>
    <xf numFmtId="0" fontId="28" fillId="11" borderId="1" applyAlignment="1" pivotButton="0" quotePrefix="0" xfId="0">
      <alignment horizontal="general" vertical="top" wrapText="1"/>
    </xf>
    <xf numFmtId="0" fontId="29" fillId="0" borderId="1" applyAlignment="1" pivotButton="0" quotePrefix="0" xfId="0">
      <alignment horizontal="general" vertical="top" wrapText="1"/>
    </xf>
    <xf numFmtId="0" fontId="30" fillId="11" borderId="1" applyAlignment="1" pivotButton="0" quotePrefix="0" xfId="0">
      <alignment horizontal="general" vertical="top" wrapText="1"/>
    </xf>
    <xf numFmtId="0" fontId="14" fillId="0" borderId="1" applyAlignment="1" pivotButton="0" quotePrefix="0" xfId="0">
      <alignment horizontal="general" vertical="top" wrapText="1"/>
    </xf>
    <xf numFmtId="0" fontId="31" fillId="10" borderId="1" applyAlignment="1" pivotButton="0" quotePrefix="0" xfId="0">
      <alignment horizontal="general" vertical="top" wrapText="1"/>
    </xf>
    <xf numFmtId="0" fontId="32" fillId="9" borderId="1" applyAlignment="1" pivotButton="0" quotePrefix="0" xfId="0">
      <alignment horizontal="general" vertical="top" wrapText="1"/>
    </xf>
    <xf numFmtId="0" fontId="32" fillId="4" borderId="1" applyAlignment="1" pivotButton="0" quotePrefix="0" xfId="0">
      <alignment horizontal="general" vertical="top" wrapText="1"/>
    </xf>
    <xf numFmtId="0" fontId="33" fillId="4" borderId="1" applyAlignment="1" pivotButton="0" quotePrefix="0" xfId="0">
      <alignment horizontal="general" vertical="top" wrapText="1"/>
    </xf>
    <xf numFmtId="0" fontId="25" fillId="9" borderId="1" applyAlignment="1" pivotButton="0" quotePrefix="0" xfId="0">
      <alignment horizontal="general" vertical="top" wrapText="1"/>
    </xf>
    <xf numFmtId="0" fontId="28" fillId="9" borderId="1" applyAlignment="1" pivotButton="0" quotePrefix="0" xfId="0">
      <alignment horizontal="general" vertical="top" wrapText="1"/>
    </xf>
    <xf numFmtId="0" fontId="18" fillId="9" borderId="1" applyAlignment="1" pivotButton="0" quotePrefix="0" xfId="0">
      <alignment horizontal="general" vertical="top" wrapText="1"/>
    </xf>
    <xf numFmtId="0" fontId="15" fillId="10" borderId="0" applyAlignment="1" pivotButton="0" quotePrefix="0" xfId="0">
      <alignment horizontal="general" vertical="top" wrapText="1"/>
    </xf>
    <xf numFmtId="0" fontId="34" fillId="6" borderId="1" applyAlignment="1" pivotButton="0" quotePrefix="0" xfId="0">
      <alignment horizontal="general" vertical="top" wrapText="1"/>
    </xf>
    <xf numFmtId="0" fontId="32" fillId="6" borderId="1" applyAlignment="1" pivotButton="0" quotePrefix="0" xfId="0">
      <alignment horizontal="general" vertical="top" wrapText="1"/>
    </xf>
    <xf numFmtId="0" fontId="15" fillId="6" borderId="1" applyAlignment="1" pivotButton="0" quotePrefix="0" xfId="0">
      <alignment horizontal="general" vertical="top" wrapText="1"/>
    </xf>
    <xf numFmtId="0" fontId="7" fillId="13" borderId="1" applyAlignment="1" pivotButton="0" quotePrefix="0" xfId="0">
      <alignment horizontal="general" vertical="top" wrapText="1"/>
    </xf>
    <xf numFmtId="0" fontId="32" fillId="13" borderId="1" applyAlignment="1" pivotButton="0" quotePrefix="0" xfId="0">
      <alignment horizontal="general" vertical="top" wrapText="1"/>
    </xf>
    <xf numFmtId="0" fontId="7" fillId="12" borderId="1" applyAlignment="1" pivotButton="0" quotePrefix="0" xfId="0">
      <alignment horizontal="general" vertical="top" wrapText="1"/>
    </xf>
    <xf numFmtId="0" fontId="32" fillId="12" borderId="1" applyAlignment="1" pivotButton="0" quotePrefix="0" xfId="0">
      <alignment horizontal="general" vertical="top" wrapText="1"/>
    </xf>
    <xf numFmtId="0" fontId="35" fillId="11" borderId="1" applyAlignment="1" pivotButton="0" quotePrefix="0" xfId="0">
      <alignment horizontal="general" vertical="top" wrapText="1"/>
    </xf>
    <xf numFmtId="0" fontId="4" fillId="2" borderId="0" applyAlignment="1" pivotButton="0" quotePrefix="0" xfId="0">
      <alignment horizontal="center" vertical="center" wrapText="1"/>
    </xf>
    <xf numFmtId="0" fontId="4" fillId="7" borderId="0" applyAlignment="1" pivotButton="0" quotePrefix="0" xfId="0">
      <alignment horizontal="center" vertical="center" wrapText="1"/>
    </xf>
    <xf numFmtId="0" fontId="4" fillId="14" borderId="0" applyAlignment="1" pivotButton="0" quotePrefix="0" xfId="0">
      <alignment horizontal="center" vertical="center" wrapText="1"/>
    </xf>
    <xf numFmtId="0" fontId="4" fillId="8" borderId="0" applyAlignment="1" pivotButton="0" quotePrefix="0" xfId="0">
      <alignment horizontal="center" vertical="center" wrapText="1"/>
    </xf>
    <xf numFmtId="0" fontId="4" fillId="15" borderId="0" applyAlignment="1" pivotButton="0" quotePrefix="0" xfId="0">
      <alignment horizontal="center" vertical="center" wrapText="1"/>
    </xf>
    <xf numFmtId="0" fontId="36" fillId="9" borderId="1" applyAlignment="1" pivotButton="0" quotePrefix="0" xfId="0">
      <alignment horizontal="general" vertical="top" wrapText="1"/>
    </xf>
    <xf numFmtId="0" fontId="12" fillId="8" borderId="0" applyAlignment="1" pivotButton="0" quotePrefix="0" xfId="0">
      <alignment horizontal="general" vertical="bottom"/>
    </xf>
    <xf numFmtId="0" fontId="22" fillId="10" borderId="0" applyAlignment="1" pivotButton="0" quotePrefix="0" xfId="0">
      <alignment horizontal="general" vertical="top" wrapText="1"/>
    </xf>
    <xf numFmtId="0" fontId="7" fillId="12" borderId="0" applyAlignment="1" pivotButton="0" quotePrefix="0" xfId="0">
      <alignment horizontal="general" vertical="top" wrapText="1"/>
    </xf>
    <xf numFmtId="0" fontId="32" fillId="12" borderId="0" applyAlignment="1" pivotButton="0" quotePrefix="0" xfId="0">
      <alignment horizontal="general" vertical="top" wrapText="1"/>
    </xf>
    <xf numFmtId="0" fontId="15" fillId="12" borderId="0" applyAlignment="1" pivotButton="0" quotePrefix="0" xfId="0">
      <alignment horizontal="general" vertical="top" wrapText="1"/>
    </xf>
    <xf numFmtId="0" fontId="32" fillId="0" borderId="1" applyAlignment="1" pivotButton="0" quotePrefix="0" xfId="0">
      <alignment horizontal="general" vertical="top" wrapText="1"/>
    </xf>
    <xf numFmtId="0" fontId="37" fillId="16" borderId="1" applyAlignment="1" pivotButton="0" quotePrefix="0" xfId="0">
      <alignment horizontal="general" vertical="top" wrapText="1"/>
    </xf>
    <xf numFmtId="0" fontId="22" fillId="17" borderId="1" applyAlignment="1" pivotButton="0" quotePrefix="0" xfId="0">
      <alignment horizontal="general" vertical="top" wrapText="1"/>
    </xf>
    <xf numFmtId="0" fontId="38" fillId="16" borderId="1" applyAlignment="1" pivotButton="0" quotePrefix="0" xfId="0">
      <alignment horizontal="center" vertical="center" wrapText="1"/>
    </xf>
    <xf numFmtId="0" fontId="39" fillId="9" borderId="1" applyAlignment="1" pivotButton="0" quotePrefix="0" xfId="0">
      <alignment horizontal="general" vertical="top" wrapText="1"/>
    </xf>
    <xf numFmtId="0" fontId="4" fillId="15" borderId="0" applyAlignment="1" pivotButton="0" quotePrefix="0" xfId="0">
      <alignment horizontal="general" vertical="top" wrapText="1"/>
    </xf>
    <xf numFmtId="0" fontId="34" fillId="0" borderId="1" applyAlignment="1" pivotButton="0" quotePrefix="0" xfId="0">
      <alignment horizontal="general" vertical="top" wrapText="1"/>
    </xf>
    <xf numFmtId="0" fontId="7" fillId="6" borderId="1" applyAlignment="1" pivotButton="0" quotePrefix="0" xfId="0">
      <alignment horizontal="general" vertical="top" wrapText="1"/>
    </xf>
    <xf numFmtId="0" fontId="40" fillId="9" borderId="0" applyAlignment="1" pivotButton="0" quotePrefix="0" xfId="0">
      <alignment horizontal="general" vertical="top" wrapText="1"/>
    </xf>
    <xf numFmtId="0" fontId="38" fillId="16" borderId="1" applyAlignment="1" pivotButton="0" quotePrefix="0" xfId="0">
      <alignment horizontal="general" vertical="top" wrapText="1"/>
    </xf>
    <xf numFmtId="0" fontId="34" fillId="10" borderId="1" applyAlignment="1" pivotButton="0" quotePrefix="0" xfId="0">
      <alignment horizontal="general" vertical="top" wrapText="1"/>
    </xf>
    <xf numFmtId="0" fontId="41" fillId="0" borderId="0" applyAlignment="1" pivotButton="0" quotePrefix="0" xfId="0">
      <alignment horizontal="general" vertical="bottom"/>
    </xf>
    <xf numFmtId="0" fontId="42" fillId="0" borderId="0" applyAlignment="1" pivotButton="0" quotePrefix="0" xfId="0">
      <alignment horizontal="general" vertical="top" wrapText="1"/>
    </xf>
    <xf numFmtId="0" fontId="6" fillId="0" borderId="0" applyAlignment="1" pivotButton="0" quotePrefix="0" xfId="0">
      <alignment horizontal="general" vertical="top" wrapText="1"/>
    </xf>
    <xf numFmtId="0" fontId="43" fillId="0" borderId="0" applyAlignment="1" pivotButton="0" quotePrefix="0" xfId="0">
      <alignment horizontal="general" vertical="bottom"/>
    </xf>
    <xf numFmtId="0" fontId="11" fillId="0" borderId="1" applyAlignment="1" pivotButton="0" quotePrefix="0" xfId="0">
      <alignment horizontal="general" vertical="top" wrapText="1"/>
    </xf>
    <xf numFmtId="0" fontId="5" fillId="0" borderId="1" applyAlignment="1" pivotButton="0" quotePrefix="0" xfId="0">
      <alignment horizontal="general" vertical="top" wrapText="1"/>
    </xf>
    <xf numFmtId="0" fontId="44" fillId="10" borderId="1" applyAlignment="1" pivotButton="0" quotePrefix="0" xfId="0">
      <alignment horizontal="general" vertical="top" wrapText="1"/>
    </xf>
    <xf numFmtId="0" fontId="13" fillId="0" borderId="0" applyAlignment="1" pivotButton="0" quotePrefix="0" xfId="0">
      <alignment horizontal="general" vertical="bottom"/>
    </xf>
    <xf numFmtId="0" fontId="4" fillId="2" borderId="0" applyAlignment="1" pivotButton="0" quotePrefix="0" xfId="0">
      <alignment horizontal="general" vertical="bottom"/>
    </xf>
    <xf numFmtId="0" fontId="17" fillId="0" borderId="0" applyAlignment="1" pivotButton="0" quotePrefix="0" xfId="0">
      <alignment horizontal="general" vertical="bottom"/>
    </xf>
    <xf numFmtId="0" fontId="45" fillId="0" borderId="0" applyAlignment="1" pivotButton="0" quotePrefix="0" xfId="0">
      <alignment horizontal="general" vertical="bottom"/>
    </xf>
    <xf numFmtId="0" fontId="46" fillId="0" borderId="0" applyAlignment="1" pivotButton="0" quotePrefix="0" xfId="0">
      <alignment horizontal="general" vertical="bottom"/>
    </xf>
    <xf numFmtId="0" fontId="47" fillId="0" borderId="0" applyAlignment="1" pivotButton="0" quotePrefix="0" xfId="0">
      <alignment horizontal="general" vertical="bottom"/>
    </xf>
    <xf numFmtId="0" fontId="6" fillId="0" borderId="0" applyAlignment="1" pivotButton="0" quotePrefix="0" xfId="0">
      <alignment horizontal="general" vertical="top" wrapText="1"/>
    </xf>
    <xf numFmtId="0" fontId="48" fillId="0" borderId="0" applyAlignment="1" pivotButton="0" quotePrefix="0" xfId="0">
      <alignment horizontal="general" vertical="bottom"/>
    </xf>
    <xf numFmtId="0" fontId="44" fillId="0" borderId="0" applyAlignment="1" pivotButton="0" quotePrefix="0" xfId="0">
      <alignment horizontal="general" vertical="bottom"/>
    </xf>
    <xf numFmtId="0" fontId="49" fillId="0" borderId="0" applyAlignment="1" pivotButton="0" quotePrefix="0" xfId="0">
      <alignment horizontal="general" vertical="bottom"/>
    </xf>
    <xf numFmtId="0" fontId="22" fillId="0" borderId="0" applyAlignment="1" pivotButton="0" quotePrefix="0" xfId="0">
      <alignment horizontal="general" vertical="bottom"/>
    </xf>
    <xf numFmtId="0" fontId="15"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top" wrapText="1"/>
    </xf>
    <xf numFmtId="0" fontId="5" fillId="3" borderId="0" applyAlignment="1" pivotButton="0" quotePrefix="0" xfId="0">
      <alignment horizontal="general" vertical="bottom"/>
    </xf>
    <xf numFmtId="0" fontId="0" fillId="3" borderId="0" applyAlignment="1" pivotButton="0" quotePrefix="0" xfId="0">
      <alignment horizontal="general" vertical="bottom"/>
    </xf>
    <xf numFmtId="164" fontId="6" fillId="4" borderId="1" applyAlignment="1" pivotButton="0" quotePrefix="0" xfId="0">
      <alignment horizontal="general" vertical="top" wrapText="1"/>
    </xf>
    <xf numFmtId="0" fontId="6" fillId="4" borderId="1" applyAlignment="1" pivotButton="0" quotePrefix="0" xfId="0">
      <alignment horizontal="general" vertical="top" wrapText="1"/>
    </xf>
    <xf numFmtId="0" fontId="6" fillId="5" borderId="1" applyAlignment="1" pivotButton="0" quotePrefix="0" xfId="0">
      <alignment horizontal="general" vertical="top" wrapText="1"/>
    </xf>
    <xf numFmtId="0" fontId="7" fillId="0" borderId="1" applyAlignment="1" pivotButton="0" quotePrefix="0" xfId="0">
      <alignment horizontal="general" vertical="bottom"/>
    </xf>
    <xf numFmtId="164" fontId="6" fillId="6" borderId="1" applyAlignment="1" pivotButton="0" quotePrefix="0" xfId="0">
      <alignment horizontal="general" vertical="top" wrapText="1"/>
    </xf>
    <xf numFmtId="0" fontId="6" fillId="6" borderId="1" applyAlignment="1" pivotButton="0" quotePrefix="0" xfId="0">
      <alignment horizontal="general" vertical="top" wrapText="1"/>
    </xf>
    <xf numFmtId="164" fontId="6" fillId="5" borderId="1" applyAlignment="1" pivotButton="0" quotePrefix="0" xfId="0">
      <alignment horizontal="general" vertical="top" wrapText="1"/>
    </xf>
    <xf numFmtId="0" fontId="7" fillId="0" borderId="1" applyAlignment="1" pivotButton="0" quotePrefix="0" xfId="0">
      <alignment horizontal="general" vertical="top" wrapText="1"/>
    </xf>
    <xf numFmtId="0" fontId="4" fillId="7" borderId="0" applyAlignment="1" pivotButton="0" quotePrefix="0" xfId="0">
      <alignment horizontal="general" vertical="top" wrapText="1"/>
    </xf>
    <xf numFmtId="0" fontId="4" fillId="8" borderId="0" applyAlignment="1" pivotButton="0" quotePrefix="0" xfId="0">
      <alignment horizontal="general" vertical="top" wrapText="1"/>
    </xf>
    <xf numFmtId="0" fontId="8" fillId="8" borderId="0" applyAlignment="1" pivotButton="0" quotePrefix="0" xfId="0">
      <alignment horizontal="general" vertical="bottom"/>
    </xf>
    <xf numFmtId="0" fontId="9" fillId="0" borderId="1" applyAlignment="1" pivotButton="0" quotePrefix="0" xfId="0">
      <alignment horizontal="general" vertical="bottom"/>
    </xf>
    <xf numFmtId="0" fontId="10" fillId="0" borderId="1" applyAlignment="1" pivotButton="0" quotePrefix="0" xfId="0">
      <alignment horizontal="general" vertical="bottom"/>
    </xf>
    <xf numFmtId="0" fontId="11" fillId="0" borderId="0" applyAlignment="1" pivotButton="0" quotePrefix="0" xfId="0">
      <alignment horizontal="general" vertical="bottom"/>
    </xf>
    <xf numFmtId="0" fontId="7" fillId="0" borderId="0" applyAlignment="1" pivotButton="0" quotePrefix="0" xfId="0">
      <alignment horizontal="general" vertical="bottom"/>
    </xf>
    <xf numFmtId="0" fontId="12" fillId="2" borderId="0" applyAlignment="1" pivotButton="0" quotePrefix="0" xfId="0">
      <alignment horizontal="general" vertical="bottom"/>
    </xf>
    <xf numFmtId="0" fontId="13" fillId="4" borderId="1" applyAlignment="1" pivotButton="0" quotePrefix="0" xfId="0">
      <alignment horizontal="general" vertical="top" wrapText="1"/>
    </xf>
    <xf numFmtId="0" fontId="7" fillId="4" borderId="1" applyAlignment="1" pivotButton="0" quotePrefix="0" xfId="0">
      <alignment horizontal="general" vertical="top" wrapText="1"/>
    </xf>
    <xf numFmtId="0" fontId="14" fillId="4" borderId="1" applyAlignment="1" pivotButton="0" quotePrefix="0" xfId="0">
      <alignment horizontal="general" vertical="top" wrapText="1"/>
    </xf>
    <xf numFmtId="0" fontId="13" fillId="9" borderId="1" applyAlignment="1" pivotButton="0" quotePrefix="0" xfId="0">
      <alignment horizontal="general" vertical="top" wrapText="1"/>
    </xf>
    <xf numFmtId="0" fontId="7" fillId="9" borderId="1" applyAlignment="1" pivotButton="0" quotePrefix="0" xfId="0">
      <alignment horizontal="general" vertical="top" wrapText="1"/>
    </xf>
    <xf numFmtId="0" fontId="6" fillId="9" borderId="1" applyAlignment="1" pivotButton="0" quotePrefix="0" xfId="0">
      <alignment horizontal="general" vertical="top" wrapText="1"/>
    </xf>
    <xf numFmtId="0" fontId="15" fillId="9" borderId="1" applyAlignment="1" pivotButton="0" quotePrefix="0" xfId="0">
      <alignment horizontal="general" vertical="top" wrapText="1"/>
    </xf>
    <xf numFmtId="0" fontId="0" fillId="7" borderId="0" applyAlignment="1" pivotButton="0" quotePrefix="0" xfId="0">
      <alignment horizontal="general" vertical="bottom"/>
    </xf>
    <xf numFmtId="0" fontId="16" fillId="7" borderId="0" applyAlignment="1" pivotButton="0" quotePrefix="0" xfId="0">
      <alignment horizontal="general" vertical="bottom"/>
    </xf>
    <xf numFmtId="0" fontId="16" fillId="7" borderId="0" applyAlignment="1" pivotButton="0" quotePrefix="0" xfId="0">
      <alignment horizontal="general" vertical="top" wrapText="1"/>
    </xf>
    <xf numFmtId="0" fontId="13" fillId="10" borderId="1" applyAlignment="1" pivotButton="0" quotePrefix="0" xfId="0">
      <alignment horizontal="general" vertical="top" wrapText="1"/>
    </xf>
    <xf numFmtId="0" fontId="7" fillId="10" borderId="1" applyAlignment="1" pivotButton="0" quotePrefix="0" xfId="0">
      <alignment horizontal="general" vertical="top" wrapText="1"/>
    </xf>
    <xf numFmtId="0" fontId="15" fillId="10" borderId="1" applyAlignment="1" pivotButton="0" quotePrefix="0" xfId="0">
      <alignment horizontal="general" vertical="top" wrapText="1"/>
    </xf>
    <xf numFmtId="0" fontId="17" fillId="10" borderId="1" applyAlignment="1" pivotButton="0" quotePrefix="0" xfId="0">
      <alignment horizontal="general" vertical="top" wrapText="1"/>
    </xf>
    <xf numFmtId="0" fontId="6" fillId="10" borderId="1" applyAlignment="1" pivotButton="0" quotePrefix="0" xfId="0">
      <alignment horizontal="general" vertical="top" wrapText="1"/>
    </xf>
    <xf numFmtId="164" fontId="13" fillId="10" borderId="1" applyAlignment="1" pivotButton="0" quotePrefix="0" xfId="0">
      <alignment horizontal="general" vertical="top" wrapText="1"/>
    </xf>
    <xf numFmtId="0" fontId="15" fillId="4" borderId="1" applyAlignment="1" pivotButton="0" quotePrefix="0" xfId="0">
      <alignment horizontal="general" vertical="top" wrapText="1"/>
    </xf>
    <xf numFmtId="0" fontId="15" fillId="0" borderId="1" applyAlignment="1" pivotButton="0" quotePrefix="0" xfId="0">
      <alignment horizontal="general" vertical="top" wrapText="1"/>
    </xf>
    <xf numFmtId="0" fontId="18" fillId="11" borderId="1" applyAlignment="1" pivotButton="0" quotePrefix="0" xfId="0">
      <alignment horizontal="general" vertical="top" wrapText="1"/>
    </xf>
    <xf numFmtId="0" fontId="19" fillId="6" borderId="1" applyAlignment="1" pivotButton="0" quotePrefix="0" xfId="0">
      <alignment horizontal="general" vertical="top" wrapText="1"/>
    </xf>
    <xf numFmtId="0" fontId="5" fillId="6" borderId="1" applyAlignment="1" pivotButton="0" quotePrefix="0" xfId="0">
      <alignment horizontal="general" vertical="top" wrapText="1"/>
    </xf>
    <xf numFmtId="164" fontId="19" fillId="6" borderId="1" applyAlignment="1" pivotButton="0" quotePrefix="0" xfId="0">
      <alignment horizontal="general" vertical="top" wrapText="1"/>
    </xf>
    <xf numFmtId="0" fontId="15" fillId="12" borderId="1" applyAlignment="1" pivotButton="0" quotePrefix="0" xfId="0">
      <alignment horizontal="general" vertical="top" wrapText="1"/>
    </xf>
    <xf numFmtId="0" fontId="15" fillId="13" borderId="1" applyAlignment="1" pivotButton="0" quotePrefix="0" xfId="0">
      <alignment horizontal="general" vertical="top" wrapText="1"/>
    </xf>
    <xf numFmtId="0" fontId="20" fillId="11" borderId="1" applyAlignment="1" pivotButton="0" quotePrefix="0" xfId="0">
      <alignment horizontal="general" vertical="top" wrapText="1"/>
    </xf>
    <xf numFmtId="0" fontId="12" fillId="8" borderId="0" applyAlignment="1" pivotButton="0" quotePrefix="0" xfId="0">
      <alignment horizontal="general" vertical="bottom"/>
    </xf>
    <xf numFmtId="0" fontId="21" fillId="2" borderId="0" applyAlignment="1" pivotButton="0" quotePrefix="0" xfId="0">
      <alignment horizontal="general" vertical="bottom"/>
    </xf>
    <xf numFmtId="0" fontId="0" fillId="0" borderId="1" applyAlignment="1" pivotButton="0" quotePrefix="0" xfId="0">
      <alignment horizontal="general" vertical="top" wrapText="1"/>
    </xf>
    <xf numFmtId="0" fontId="22" fillId="0" borderId="1" applyAlignment="1" pivotButton="0" quotePrefix="0" xfId="0">
      <alignment horizontal="general" vertical="top" wrapText="1"/>
    </xf>
    <xf numFmtId="0" fontId="6" fillId="0" borderId="1" applyAlignment="1" pivotButton="0" quotePrefix="0" xfId="0">
      <alignment horizontal="general" vertical="top" wrapText="1"/>
    </xf>
    <xf numFmtId="0" fontId="23" fillId="11" borderId="1" applyAlignment="1" pivotButton="0" quotePrefix="0" xfId="0">
      <alignment horizontal="general" vertical="top" wrapText="1"/>
    </xf>
    <xf numFmtId="0" fontId="22" fillId="10" borderId="0" applyAlignment="1" pivotButton="0" quotePrefix="0" xfId="0">
      <alignment horizontal="general" vertical="bottom"/>
    </xf>
    <xf numFmtId="0" fontId="5" fillId="0" borderId="0" applyAlignment="1" pivotButton="0" quotePrefix="0" xfId="0">
      <alignment horizontal="general" vertical="bottom"/>
    </xf>
    <xf numFmtId="0" fontId="24" fillId="3" borderId="0" applyAlignment="1" pivotButton="0" quotePrefix="0" xfId="0">
      <alignment horizontal="general" vertical="top" wrapText="1"/>
    </xf>
    <xf numFmtId="0" fontId="17" fillId="0" borderId="1" applyAlignment="1" pivotButton="0" quotePrefix="0" xfId="0">
      <alignment horizontal="general" vertical="top" wrapText="1"/>
    </xf>
    <xf numFmtId="0" fontId="11" fillId="10" borderId="0" applyAlignment="1" pivotButton="0" quotePrefix="0" xfId="0">
      <alignment horizontal="general" vertical="bottom"/>
    </xf>
    <xf numFmtId="0" fontId="25" fillId="4" borderId="1" applyAlignment="1" pivotButton="0" quotePrefix="0" xfId="0">
      <alignment horizontal="general" vertical="top" wrapText="1"/>
    </xf>
    <xf numFmtId="0" fontId="26" fillId="0" borderId="1" applyAlignment="1" pivotButton="0" quotePrefix="0" xfId="0">
      <alignment horizontal="general" vertical="top" wrapText="1"/>
    </xf>
    <xf numFmtId="0" fontId="23" fillId="0" borderId="1" applyAlignment="1" pivotButton="0" quotePrefix="0" xfId="0">
      <alignment horizontal="general" vertical="top" wrapText="1"/>
    </xf>
    <xf numFmtId="0" fontId="27" fillId="0" borderId="1" applyAlignment="1" pivotButton="0" quotePrefix="0" xfId="0">
      <alignment horizontal="general" vertical="top" wrapText="1"/>
    </xf>
    <xf numFmtId="0" fontId="13" fillId="0" borderId="1" applyAlignment="1" pivotButton="0" quotePrefix="0" xfId="0">
      <alignment horizontal="general" vertical="top" wrapText="1"/>
    </xf>
    <xf numFmtId="0" fontId="25" fillId="0" borderId="1" applyAlignment="1" pivotButton="0" quotePrefix="0" xfId="0">
      <alignment horizontal="general" vertical="top" wrapText="1"/>
    </xf>
    <xf numFmtId="0" fontId="13" fillId="11" borderId="1" applyAlignment="1" pivotButton="0" quotePrefix="0" xfId="0">
      <alignment horizontal="general" vertical="top" wrapText="1"/>
    </xf>
    <xf numFmtId="0" fontId="25" fillId="11" borderId="1" applyAlignment="1" pivotButton="0" quotePrefix="0" xfId="0">
      <alignment horizontal="general" vertical="top" wrapText="1"/>
    </xf>
    <xf numFmtId="0" fontId="6" fillId="11" borderId="1" applyAlignment="1" pivotButton="0" quotePrefix="0" xfId="0">
      <alignment horizontal="general" vertical="top" wrapText="1"/>
    </xf>
    <xf numFmtId="0" fontId="28" fillId="11" borderId="1" applyAlignment="1" pivotButton="0" quotePrefix="0" xfId="0">
      <alignment horizontal="general" vertical="top" wrapText="1"/>
    </xf>
    <xf numFmtId="0" fontId="29" fillId="0" borderId="1" applyAlignment="1" pivotButton="0" quotePrefix="0" xfId="0">
      <alignment horizontal="general" vertical="top" wrapText="1"/>
    </xf>
    <xf numFmtId="0" fontId="30" fillId="11" borderId="1" applyAlignment="1" pivotButton="0" quotePrefix="0" xfId="0">
      <alignment horizontal="general" vertical="top" wrapText="1"/>
    </xf>
    <xf numFmtId="0" fontId="14" fillId="0" borderId="1" applyAlignment="1" pivotButton="0" quotePrefix="0" xfId="0">
      <alignment horizontal="general" vertical="top" wrapText="1"/>
    </xf>
    <xf numFmtId="0" fontId="31" fillId="10" borderId="1" applyAlignment="1" pivotButton="0" quotePrefix="0" xfId="0">
      <alignment horizontal="general" vertical="top" wrapText="1"/>
    </xf>
    <xf numFmtId="0" fontId="32" fillId="9" borderId="1" applyAlignment="1" pivotButton="0" quotePrefix="0" xfId="0">
      <alignment horizontal="general" vertical="top" wrapText="1"/>
    </xf>
    <xf numFmtId="0" fontId="32" fillId="4" borderId="1" applyAlignment="1" pivotButton="0" quotePrefix="0" xfId="0">
      <alignment horizontal="general" vertical="top" wrapText="1"/>
    </xf>
    <xf numFmtId="0" fontId="33" fillId="4" borderId="1" applyAlignment="1" pivotButton="0" quotePrefix="0" xfId="0">
      <alignment horizontal="general" vertical="top" wrapText="1"/>
    </xf>
    <xf numFmtId="0" fontId="25" fillId="9" borderId="1" applyAlignment="1" pivotButton="0" quotePrefix="0" xfId="0">
      <alignment horizontal="general" vertical="top" wrapText="1"/>
    </xf>
    <xf numFmtId="0" fontId="28" fillId="9" borderId="1" applyAlignment="1" pivotButton="0" quotePrefix="0" xfId="0">
      <alignment horizontal="general" vertical="top" wrapText="1"/>
    </xf>
    <xf numFmtId="0" fontId="18" fillId="9" borderId="1" applyAlignment="1" pivotButton="0" quotePrefix="0" xfId="0">
      <alignment horizontal="general" vertical="top" wrapText="1"/>
    </xf>
    <xf numFmtId="0" fontId="15" fillId="10" borderId="0" applyAlignment="1" pivotButton="0" quotePrefix="0" xfId="0">
      <alignment horizontal="general" vertical="top" wrapText="1"/>
    </xf>
    <xf numFmtId="0" fontId="34" fillId="6" borderId="1" applyAlignment="1" pivotButton="0" quotePrefix="0" xfId="0">
      <alignment horizontal="general" vertical="top" wrapText="1"/>
    </xf>
    <xf numFmtId="0" fontId="32" fillId="6" borderId="1" applyAlignment="1" pivotButton="0" quotePrefix="0" xfId="0">
      <alignment horizontal="general" vertical="top" wrapText="1"/>
    </xf>
    <xf numFmtId="0" fontId="15" fillId="6" borderId="1" applyAlignment="1" pivotButton="0" quotePrefix="0" xfId="0">
      <alignment horizontal="general" vertical="top" wrapText="1"/>
    </xf>
    <xf numFmtId="0" fontId="7" fillId="13" borderId="1" applyAlignment="1" pivotButton="0" quotePrefix="0" xfId="0">
      <alignment horizontal="general" vertical="top" wrapText="1"/>
    </xf>
    <xf numFmtId="0" fontId="32" fillId="13" borderId="1" applyAlignment="1" pivotButton="0" quotePrefix="0" xfId="0">
      <alignment horizontal="general" vertical="top" wrapText="1"/>
    </xf>
    <xf numFmtId="0" fontId="7" fillId="12" borderId="1" applyAlignment="1" pivotButton="0" quotePrefix="0" xfId="0">
      <alignment horizontal="general" vertical="top" wrapText="1"/>
    </xf>
    <xf numFmtId="0" fontId="32" fillId="12" borderId="1" applyAlignment="1" pivotButton="0" quotePrefix="0" xfId="0">
      <alignment horizontal="general" vertical="top" wrapText="1"/>
    </xf>
    <xf numFmtId="0" fontId="35" fillId="11" borderId="1" applyAlignment="1" pivotButton="0" quotePrefix="0" xfId="0">
      <alignment horizontal="general" vertical="top" wrapText="1"/>
    </xf>
    <xf numFmtId="0" fontId="4" fillId="2" borderId="0" applyAlignment="1" pivotButton="0" quotePrefix="0" xfId="0">
      <alignment horizontal="center" vertical="center" wrapText="1"/>
    </xf>
    <xf numFmtId="0" fontId="4" fillId="7" borderId="0" applyAlignment="1" pivotButton="0" quotePrefix="0" xfId="0">
      <alignment horizontal="center" vertical="center" wrapText="1"/>
    </xf>
    <xf numFmtId="0" fontId="4" fillId="14" borderId="0" applyAlignment="1" pivotButton="0" quotePrefix="0" xfId="0">
      <alignment horizontal="center" vertical="center" wrapText="1"/>
    </xf>
    <xf numFmtId="0" fontId="4" fillId="8" borderId="0" applyAlignment="1" pivotButton="0" quotePrefix="0" xfId="0">
      <alignment horizontal="center" vertical="center" wrapText="1"/>
    </xf>
    <xf numFmtId="0" fontId="4" fillId="15" borderId="0" applyAlignment="1" pivotButton="0" quotePrefix="0" xfId="0">
      <alignment horizontal="center" vertical="center" wrapText="1"/>
    </xf>
    <xf numFmtId="0" fontId="36" fillId="9" borderId="1" applyAlignment="1" pivotButton="0" quotePrefix="0" xfId="0">
      <alignment horizontal="general" vertical="top" wrapText="1"/>
    </xf>
    <xf numFmtId="0" fontId="22" fillId="10" borderId="0" applyAlignment="1" pivotButton="0" quotePrefix="0" xfId="0">
      <alignment horizontal="general" vertical="top" wrapText="1"/>
    </xf>
    <xf numFmtId="0" fontId="7" fillId="12" borderId="0" applyAlignment="1" pivotButton="0" quotePrefix="0" xfId="0">
      <alignment horizontal="general" vertical="top" wrapText="1"/>
    </xf>
    <xf numFmtId="0" fontId="32" fillId="12" borderId="0" applyAlignment="1" pivotButton="0" quotePrefix="0" xfId="0">
      <alignment horizontal="general" vertical="top" wrapText="1"/>
    </xf>
    <xf numFmtId="0" fontId="15" fillId="12" borderId="0" applyAlignment="1" pivotButton="0" quotePrefix="0" xfId="0">
      <alignment horizontal="general" vertical="top" wrapText="1"/>
    </xf>
    <xf numFmtId="0" fontId="32" fillId="0" borderId="1" applyAlignment="1" pivotButton="0" quotePrefix="0" xfId="0">
      <alignment horizontal="general" vertical="top" wrapText="1"/>
    </xf>
    <xf numFmtId="0" fontId="37" fillId="16" borderId="1" applyAlignment="1" pivotButton="0" quotePrefix="0" xfId="0">
      <alignment horizontal="general" vertical="top" wrapText="1"/>
    </xf>
    <xf numFmtId="0" fontId="22" fillId="17" borderId="1" applyAlignment="1" pivotButton="0" quotePrefix="0" xfId="0">
      <alignment horizontal="general" vertical="top" wrapText="1"/>
    </xf>
    <xf numFmtId="0" fontId="38" fillId="16" borderId="1" applyAlignment="1" pivotButton="0" quotePrefix="0" xfId="0">
      <alignment horizontal="center" vertical="center" wrapText="1"/>
    </xf>
    <xf numFmtId="0" fontId="39" fillId="9" borderId="1" applyAlignment="1" pivotButton="0" quotePrefix="0" xfId="0">
      <alignment horizontal="general" vertical="top" wrapText="1"/>
    </xf>
    <xf numFmtId="0" fontId="4" fillId="15" borderId="0" applyAlignment="1" pivotButton="0" quotePrefix="0" xfId="0">
      <alignment horizontal="general" vertical="top" wrapText="1"/>
    </xf>
    <xf numFmtId="0" fontId="34" fillId="0" borderId="1" applyAlignment="1" pivotButton="0" quotePrefix="0" xfId="0">
      <alignment horizontal="general" vertical="top" wrapText="1"/>
    </xf>
    <xf numFmtId="0" fontId="7" fillId="6" borderId="1" applyAlignment="1" pivotButton="0" quotePrefix="0" xfId="0">
      <alignment horizontal="general" vertical="top" wrapText="1"/>
    </xf>
    <xf numFmtId="0" fontId="40" fillId="9" borderId="0" applyAlignment="1" pivotButton="0" quotePrefix="0" xfId="0">
      <alignment horizontal="general" vertical="top" wrapText="1"/>
    </xf>
    <xf numFmtId="0" fontId="38" fillId="16" borderId="1" applyAlignment="1" pivotButton="0" quotePrefix="0" xfId="0">
      <alignment horizontal="general" vertical="top" wrapText="1"/>
    </xf>
    <xf numFmtId="0" fontId="34" fillId="10" borderId="1" applyAlignment="1" pivotButton="0" quotePrefix="0" xfId="0">
      <alignment horizontal="general" vertical="top" wrapText="1"/>
    </xf>
    <xf numFmtId="0" fontId="41" fillId="0" borderId="0" applyAlignment="1" pivotButton="0" quotePrefix="0" xfId="0">
      <alignment horizontal="general" vertical="bottom"/>
    </xf>
    <xf numFmtId="0" fontId="42" fillId="0" borderId="0" applyAlignment="1" pivotButton="0" quotePrefix="0" xfId="0">
      <alignment horizontal="general" vertical="top" wrapText="1"/>
    </xf>
    <xf numFmtId="0" fontId="6" fillId="0" borderId="0" applyAlignment="1" pivotButton="0" quotePrefix="0" xfId="0">
      <alignment horizontal="general" vertical="top" wrapText="1"/>
    </xf>
    <xf numFmtId="0" fontId="43" fillId="0" borderId="0" applyAlignment="1" pivotButton="0" quotePrefix="0" xfId="0">
      <alignment horizontal="general" vertical="bottom"/>
    </xf>
    <xf numFmtId="0" fontId="11" fillId="0" borderId="1" applyAlignment="1" pivotButton="0" quotePrefix="0" xfId="0">
      <alignment horizontal="general" vertical="top" wrapText="1"/>
    </xf>
    <xf numFmtId="0" fontId="5" fillId="0" borderId="1" applyAlignment="1" pivotButton="0" quotePrefix="0" xfId="0">
      <alignment horizontal="general" vertical="top" wrapText="1"/>
    </xf>
    <xf numFmtId="0" fontId="44" fillId="10" borderId="1" applyAlignment="1" pivotButton="0" quotePrefix="0" xfId="0">
      <alignment horizontal="general" vertical="top" wrapText="1"/>
    </xf>
    <xf numFmtId="0" fontId="13" fillId="0" borderId="0" applyAlignment="1" pivotButton="0" quotePrefix="0" xfId="0">
      <alignment horizontal="general" vertical="bottom"/>
    </xf>
    <xf numFmtId="0" fontId="4" fillId="2" borderId="0" applyAlignment="1" pivotButton="0" quotePrefix="0" xfId="0">
      <alignment horizontal="general" vertical="bottom"/>
    </xf>
    <xf numFmtId="0" fontId="17" fillId="0" borderId="0" applyAlignment="1" pivotButton="0" quotePrefix="0" xfId="0">
      <alignment horizontal="general" vertical="bottom"/>
    </xf>
    <xf numFmtId="0" fontId="45" fillId="0" borderId="0" applyAlignment="1" pivotButton="0" quotePrefix="0" xfId="0">
      <alignment horizontal="general" vertical="bottom"/>
    </xf>
    <xf numFmtId="0" fontId="46" fillId="0" borderId="0" applyAlignment="1" pivotButton="0" quotePrefix="0" xfId="0">
      <alignment horizontal="general" vertical="bottom"/>
    </xf>
    <xf numFmtId="0" fontId="47" fillId="0" borderId="0" applyAlignment="1" pivotButton="0" quotePrefix="0" xfId="0">
      <alignment horizontal="general" vertical="bottom"/>
    </xf>
    <xf numFmtId="0" fontId="48" fillId="0" borderId="0" applyAlignment="1" pivotButton="0" quotePrefix="0" xfId="0">
      <alignment horizontal="general" vertical="bottom"/>
    </xf>
    <xf numFmtId="0" fontId="44" fillId="0" borderId="0" applyAlignment="1" pivotButton="0" quotePrefix="0" xfId="0">
      <alignment horizontal="general" vertical="bottom"/>
    </xf>
    <xf numFmtId="0" fontId="49" fillId="0" borderId="0" applyAlignment="1" pivotButton="0" quotePrefix="0" xfId="0">
      <alignment horizontal="general" vertical="bottom"/>
    </xf>
    <xf numFmtId="0" fontId="22" fillId="0" borderId="0" applyAlignment="1" pivotButton="0" quotePrefix="0" xfId="0">
      <alignment horizontal="general" vertical="bottom"/>
    </xf>
    <xf numFmtId="0" fontId="15"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22">
    <dxf>
      <fill>
        <patternFill patternType="solid">
          <fgColor rgb="FF1B5E38"/>
          <bgColor rgb="FF000000"/>
        </patternFill>
      </fill>
    </dxf>
    <dxf>
      <fill>
        <patternFill patternType="solid">
          <fgColor rgb="FFEEF5F0"/>
          <bgColor rgb="FF000000"/>
        </patternFill>
      </fill>
    </dxf>
    <dxf>
      <fill>
        <patternFill patternType="solid">
          <fgColor rgb="FFFDF6E3"/>
          <bgColor rgb="FF000000"/>
        </patternFill>
      </fill>
    </dxf>
    <dxf>
      <fill>
        <patternFill patternType="solid">
          <fgColor rgb="FFFFF4DC"/>
          <bgColor rgb="FF000000"/>
        </patternFill>
      </fill>
    </dxf>
    <dxf>
      <fill>
        <patternFill patternType="solid">
          <fgColor rgb="FFFFF9E0"/>
          <bgColor rgb="FF000000"/>
        </patternFill>
      </fill>
    </dxf>
    <dxf>
      <fill>
        <patternFill patternType="solid">
          <fgColor rgb="FF1A1D1B"/>
          <bgColor rgb="FF000000"/>
        </patternFill>
      </fill>
    </dxf>
    <dxf>
      <fill>
        <patternFill patternType="solid">
          <fgColor rgb="FF8A5A00"/>
          <bgColor rgb="FF000000"/>
        </patternFill>
      </fill>
    </dxf>
    <dxf>
      <fill>
        <patternFill patternType="solid">
          <fgColor rgb="FFFFFFFF"/>
          <bgColor rgb="FF000000"/>
        </patternFill>
      </fill>
    </dxf>
    <dxf>
      <fill>
        <patternFill patternType="solid">
          <fgColor rgb="FF000000"/>
          <bgColor rgb="FF000000"/>
        </patternFill>
      </fill>
    </dxf>
    <dxf>
      <fill>
        <patternFill patternType="solid">
          <bgColor rgb="FF000000"/>
        </patternFill>
      </fill>
    </dxf>
    <dxf>
      <fill>
        <patternFill patternType="solid">
          <fgColor rgb="FF5D6660"/>
          <bgColor rgb="FF000000"/>
        </patternFill>
      </fill>
    </dxf>
    <dxf>
      <fill>
        <patternFill patternType="solid">
          <fgColor rgb="FF0F3D24"/>
          <bgColor rgb="FF000000"/>
        </patternFill>
      </fill>
    </dxf>
    <dxf>
      <fill>
        <patternFill patternType="solid">
          <fgColor rgb="FF2E8B57"/>
          <bgColor rgb="FF000000"/>
        </patternFill>
      </fill>
    </dxf>
    <dxf>
      <fill>
        <patternFill patternType="solid">
          <fgColor rgb="FFEAF4EE"/>
          <bgColor rgb="FF000000"/>
        </patternFill>
      </fill>
    </dxf>
    <dxf>
      <fill>
        <patternFill patternType="solid">
          <fgColor rgb="FFFFF9EC"/>
          <bgColor rgb="FF000000"/>
        </patternFill>
      </fill>
    </dxf>
    <dxf>
      <fill>
        <patternFill patternType="solid">
          <fgColor rgb="FFFFF3F2"/>
          <bgColor rgb="FF000000"/>
        </patternFill>
      </fill>
    </dxf>
    <dxf>
      <fill>
        <patternFill patternType="solid">
          <fgColor rgb="FF7A2118"/>
          <bgColor rgb="FF000000"/>
        </patternFill>
      </fill>
    </dxf>
    <dxf>
      <fill>
        <patternFill patternType="solid">
          <fgColor rgb="FF9A2018"/>
          <bgColor rgb="FF000000"/>
        </patternFill>
      </fill>
    </dxf>
    <dxf>
      <fill>
        <patternFill patternType="solid">
          <fgColor rgb="FF0563C1"/>
          <bgColor rgb="FF000000"/>
        </patternFill>
      </fill>
    </dxf>
    <dxf>
      <fill>
        <patternFill patternType="solid">
          <fgColor rgb="FF6B4A12"/>
          <bgColor rgb="FF000000"/>
        </patternFill>
      </fill>
    </dxf>
    <dxf>
      <fill>
        <patternFill patternType="solid">
          <fgColor rgb="FFF4FAF6"/>
          <bgColor rgb="FF000000"/>
        </patternFill>
      </fill>
    </dxf>
    <dxf>
      <fill>
        <patternFill patternType="solid">
          <fgColor rgb="FFF7FBF8"/>
          <bgColor rgb="FF000000"/>
        </patternFill>
      </fill>
    </dxf>
  </dxfs>
  <colors>
    <indexedColors>
      <rgbColor rgb="FF000000"/>
      <rgbColor rgb="FFFFFFFF"/>
      <rgbColor rgb="FFFF0000"/>
      <rgbColor rgb="FF00FF00"/>
      <rgbColor rgb="FF0000FF"/>
      <rgbColor rgb="FFFFF9EC"/>
      <rgbColor rgb="FFFF00FF"/>
      <rgbColor rgb="FF00FFFF"/>
      <rgbColor rgb="FF7A2118"/>
      <rgbColor rgb="FF1B5E38"/>
      <rgbColor rgb="FF000080"/>
      <rgbColor rgb="FF8A5A00"/>
      <rgbColor rgb="FF800080"/>
      <rgbColor rgb="FF008080"/>
      <rgbColor rgb="FFFDF6E3"/>
      <rgbColor rgb="FF808080"/>
      <rgbColor rgb="FF9999FF"/>
      <rgbColor rgb="FFC0392B"/>
      <rgbColor rgb="FFFFF9E0"/>
      <rgbColor rgb="FFE8F0FE"/>
      <rgbColor rgb="FF660066"/>
      <rgbColor rgb="FFFF8080"/>
      <rgbColor rgb="FF0563C1"/>
      <rgbColor rgb="FFEEF5F0"/>
      <rgbColor rgb="FF000080"/>
      <rgbColor rgb="FFFF00FF"/>
      <rgbColor rgb="FFFFFF00"/>
      <rgbColor rgb="FF00FFFF"/>
      <rgbColor rgb="FF800080"/>
      <rgbColor rgb="FF800000"/>
      <rgbColor rgb="FF008080"/>
      <rgbColor rgb="FF0000FF"/>
      <rgbColor rgb="FF00CCFF"/>
      <rgbColor rgb="FFEAF4EE"/>
      <rgbColor rgb="FFDDE5E0"/>
      <rgbColor rgb="FFFFF4DC"/>
      <rgbColor rgb="FFF4FAF6"/>
      <rgbColor rgb="FFFFF3F2"/>
      <rgbColor rgb="FFF7FBF8"/>
      <rgbColor rgb="FFFDECEA"/>
      <rgbColor rgb="FF3366FF"/>
      <rgbColor rgb="FF33CCCC"/>
      <rgbColor rgb="FF99CC00"/>
      <rgbColor rgb="FFFFCC00"/>
      <rgbColor rgb="FFFF9900"/>
      <rgbColor rgb="FFFF6600"/>
      <rgbColor rgb="FF5D6660"/>
      <rgbColor rgb="FF9AA39D"/>
      <rgbColor rgb="FF003366"/>
      <rgbColor rgb="FF2E8B57"/>
      <rgbColor rgb="FF0F3D24"/>
      <rgbColor rgb="FF6B4A12"/>
      <rgbColor rgb="FF9A2018"/>
      <rgbColor rgb="FF993366"/>
      <rgbColor rgb="FF333399"/>
      <rgbColor rgb="FF1A1D1B"/>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Relationships xmlns="http://schemas.openxmlformats.org/package/2006/relationships"><Relationship Type="http://schemas.openxmlformats.org/officeDocument/2006/relationships/hyperlink" Target="The_Encyclopedia.xlsx" TargetMode="External" Id="rId1" /><Relationship Type="http://schemas.openxmlformats.org/officeDocument/2006/relationships/hyperlink" Target="The_Encyclopedia.xlsx" TargetMode="External" Id="rId2" /><Relationship Type="http://schemas.openxmlformats.org/officeDocument/2006/relationships/hyperlink" Target="The_Encyclopedia.xlsx" TargetMode="External" Id="rId3" /><Relationship Type="http://schemas.openxmlformats.org/officeDocument/2006/relationships/hyperlink" Target="The_Encyclopedia.xlsx" TargetMode="External" Id="rId4" /><Relationship Type="http://schemas.openxmlformats.org/officeDocument/2006/relationships/hyperlink" Target="The_Encyclopedia.xlsx" TargetMode="External" Id="rId5" /><Relationship Type="http://schemas.openxmlformats.org/officeDocument/2006/relationships/hyperlink" Target="The_Encyclopedia.xlsx" TargetMode="External" Id="rId6" /><Relationship Type="http://schemas.openxmlformats.org/officeDocument/2006/relationships/hyperlink" Target="The_Encyclopedia.xlsx" TargetMode="External" Id="rId7" /><Relationship Type="http://schemas.openxmlformats.org/officeDocument/2006/relationships/hyperlink" Target="The_Encyclopedia.xlsx" TargetMode="External" Id="rId8" /><Relationship Type="http://schemas.openxmlformats.org/officeDocument/2006/relationships/hyperlink" Target="The_Encyclopedia.xlsx" TargetMode="External" Id="rId9" /><Relationship Type="http://schemas.openxmlformats.org/officeDocument/2006/relationships/hyperlink" Target="The_Encyclopedia.xlsx" TargetMode="External" Id="rId10" /><Relationship Type="http://schemas.openxmlformats.org/officeDocument/2006/relationships/hyperlink" Target="The_Encyclopedia.xlsx" TargetMode="External" Id="rId11" /><Relationship Type="http://schemas.openxmlformats.org/officeDocument/2006/relationships/hyperlink" Target="The_Encyclopedia.xlsx" TargetMode="External" Id="rId12" /><Relationship Type="http://schemas.openxmlformats.org/officeDocument/2006/relationships/hyperlink" Target="The_Encyclopedia.xlsx" TargetMode="External" Id="rId13" /><Relationship Type="http://schemas.openxmlformats.org/officeDocument/2006/relationships/hyperlink" Target="The_Encyclopedia.xlsx" TargetMode="External" Id="rId14" /><Relationship Type="http://schemas.openxmlformats.org/officeDocument/2006/relationships/hyperlink" Target="The_Encyclopedia.xlsx" TargetMode="External" Id="rId15" /><Relationship Type="http://schemas.openxmlformats.org/officeDocument/2006/relationships/hyperlink" Target="The_Encyclopedia.xlsx" TargetMode="External" Id="rId16" /><Relationship Type="http://schemas.openxmlformats.org/officeDocument/2006/relationships/hyperlink" Target="The_Encyclopedia.xlsx" TargetMode="External" Id="rId17" /><Relationship Type="http://schemas.openxmlformats.org/officeDocument/2006/relationships/hyperlink" Target="The_Encyclopedia.xlsx" TargetMode="External" Id="rId18" /><Relationship Type="http://schemas.openxmlformats.org/officeDocument/2006/relationships/hyperlink" Target="The_Encyclopedia.xlsx" TargetMode="External" Id="rId19" /><Relationship Type="http://schemas.openxmlformats.org/officeDocument/2006/relationships/hyperlink" Target="The_Encyclopedia.xlsx" TargetMode="External" Id="rId20" /><Relationship Type="http://schemas.openxmlformats.org/officeDocument/2006/relationships/hyperlink" Target="The_Encyclopedia.xlsx" TargetMode="External" Id="rId21" /><Relationship Type="http://schemas.openxmlformats.org/officeDocument/2006/relationships/hyperlink" Target="The_Encyclopedia.xlsx" TargetMode="External" Id="rId22" /><Relationship Type="http://schemas.openxmlformats.org/officeDocument/2006/relationships/hyperlink" Target="The_Encyclopedia.xlsx" TargetMode="External" Id="rId23" /><Relationship Type="http://schemas.openxmlformats.org/officeDocument/2006/relationships/hyperlink" Target="The_Encyclopedia.xlsx" TargetMode="External" Id="rId24" /><Relationship Type="http://schemas.openxmlformats.org/officeDocument/2006/relationships/hyperlink" Target="The_Encyclopedia.xlsx" TargetMode="External" Id="rId25" /><Relationship Type="http://schemas.openxmlformats.org/officeDocument/2006/relationships/hyperlink" Target="The_Encyclopedia.xlsx" TargetMode="External" Id="rId26" /><Relationship Type="http://schemas.openxmlformats.org/officeDocument/2006/relationships/hyperlink" Target="The_Encyclopedia.xlsx" TargetMode="External" Id="rId27" /><Relationship Type="http://schemas.openxmlformats.org/officeDocument/2006/relationships/hyperlink" Target="The_Encyclopedia.xlsx" TargetMode="External" Id="rId28" /><Relationship Type="http://schemas.openxmlformats.org/officeDocument/2006/relationships/hyperlink" Target="The_Encyclopedia.xlsx" TargetMode="External" Id="rId29" /><Relationship Type="http://schemas.openxmlformats.org/officeDocument/2006/relationships/hyperlink" Target="The_Encyclopedia.xlsx" TargetMode="External" Id="rId30" /><Relationship Type="http://schemas.openxmlformats.org/officeDocument/2006/relationships/hyperlink" Target="The_Encyclopedia.xlsx" TargetMode="External" Id="rId31" /><Relationship Type="http://schemas.openxmlformats.org/officeDocument/2006/relationships/hyperlink" Target="The_Encyclopedia.xlsx" TargetMode="External" Id="rId32" /><Relationship Type="http://schemas.openxmlformats.org/officeDocument/2006/relationships/hyperlink" Target="The_Encyclopedia.xlsx" TargetMode="External" Id="rId33" /><Relationship Type="http://schemas.openxmlformats.org/officeDocument/2006/relationships/hyperlink" Target="The_Encyclopedia.xlsx" TargetMode="External" Id="rId34" /><Relationship Type="http://schemas.openxmlformats.org/officeDocument/2006/relationships/hyperlink" Target="The_Encyclopedia.xlsx" TargetMode="External" Id="rId35" /><Relationship Type="http://schemas.openxmlformats.org/officeDocument/2006/relationships/hyperlink" Target="The_Encyclopedia.xlsx" TargetMode="External" Id="rId36" /><Relationship Type="http://schemas.openxmlformats.org/officeDocument/2006/relationships/hyperlink" Target="The_Encyclopedia.xlsx" TargetMode="External" Id="rId37" /><Relationship Type="http://schemas.openxmlformats.org/officeDocument/2006/relationships/hyperlink" Target="The_Encyclopedia.xlsx" TargetMode="External" Id="rId38" /><Relationship Type="http://schemas.openxmlformats.org/officeDocument/2006/relationships/hyperlink" Target="The_Encyclopedia.xlsx" TargetMode="External" Id="rId39" /><Relationship Type="http://schemas.openxmlformats.org/officeDocument/2006/relationships/hyperlink" Target="The_Encyclopedia.xlsx" TargetMode="External" Id="rId40" /><Relationship Type="http://schemas.openxmlformats.org/officeDocument/2006/relationships/hyperlink" Target="The_Encyclopedia.xlsx" TargetMode="External" Id="rId41" /><Relationship Type="http://schemas.openxmlformats.org/officeDocument/2006/relationships/hyperlink" Target="The_Encyclopedia.xlsx" TargetMode="External" Id="rId42" /><Relationship Type="http://schemas.openxmlformats.org/officeDocument/2006/relationships/hyperlink" Target="The_Encyclopedia.xlsx" TargetMode="External" Id="rId43" /><Relationship Type="http://schemas.openxmlformats.org/officeDocument/2006/relationships/hyperlink" Target="The_Encyclopedia.xlsx" TargetMode="External" Id="rId44" /><Relationship Type="http://schemas.openxmlformats.org/officeDocument/2006/relationships/hyperlink" Target="The_Encyclopedia.xlsx" TargetMode="External" Id="rId45" /><Relationship Type="http://schemas.openxmlformats.org/officeDocument/2006/relationships/hyperlink" Target="The_Encyclopedia.xlsx" TargetMode="External" Id="rId46" /><Relationship Type="http://schemas.openxmlformats.org/officeDocument/2006/relationships/hyperlink" Target="The_Encyclopedia.xlsx" TargetMode="External" Id="rId47" /><Relationship Type="http://schemas.openxmlformats.org/officeDocument/2006/relationships/hyperlink" Target="The_Encyclopedia.xlsx" TargetMode="External" Id="rId48" /><Relationship Type="http://schemas.openxmlformats.org/officeDocument/2006/relationships/hyperlink" Target="The_Encyclopedia.xlsx" TargetMode="External" Id="rId49" /><Relationship Type="http://schemas.openxmlformats.org/officeDocument/2006/relationships/hyperlink" Target="The_Encyclopedia.xlsx" TargetMode="External" Id="rId50" /><Relationship Type="http://schemas.openxmlformats.org/officeDocument/2006/relationships/hyperlink" Target="The_Encyclopedia.xlsx" TargetMode="External" Id="rId51" /><Relationship Type="http://schemas.openxmlformats.org/officeDocument/2006/relationships/hyperlink" Target="The_Encyclopedia.xlsx" TargetMode="External" Id="rId52" /><Relationship Type="http://schemas.openxmlformats.org/officeDocument/2006/relationships/hyperlink" Target="The_Encyclopedia.xlsx" TargetMode="External" Id="rId53" /><Relationship Type="http://schemas.openxmlformats.org/officeDocument/2006/relationships/hyperlink" Target="The_Encyclopedia.xlsx" TargetMode="External" Id="rId54" /><Relationship Type="http://schemas.openxmlformats.org/officeDocument/2006/relationships/hyperlink" Target="The_Encyclopedia.xlsx" TargetMode="External" Id="rId55" /><Relationship Type="http://schemas.openxmlformats.org/officeDocument/2006/relationships/hyperlink" Target="The_Encyclopedia.xlsx" TargetMode="External" Id="rId56" /><Relationship Type="http://schemas.openxmlformats.org/officeDocument/2006/relationships/hyperlink" Target="The_Encyclopedia.xlsx" TargetMode="External" Id="rId57" /><Relationship Type="http://schemas.openxmlformats.org/officeDocument/2006/relationships/hyperlink" Target="The_Encyclopedia.xlsx" TargetMode="External" Id="rId58" /><Relationship Type="http://schemas.openxmlformats.org/officeDocument/2006/relationships/hyperlink" Target="The_Encyclopedia.xlsx" TargetMode="External" Id="rId59" /><Relationship Type="http://schemas.openxmlformats.org/officeDocument/2006/relationships/hyperlink" Target="The_Encyclopedia.xlsx" TargetMode="External" Id="rId60" /><Relationship Type="http://schemas.openxmlformats.org/officeDocument/2006/relationships/hyperlink" Target="The_Encyclopedia.xlsx" TargetMode="External" Id="rId61" /><Relationship Type="http://schemas.openxmlformats.org/officeDocument/2006/relationships/hyperlink" Target="The_Encyclopedia.xlsx" TargetMode="External" Id="rId62" /><Relationship Type="http://schemas.openxmlformats.org/officeDocument/2006/relationships/hyperlink" Target="The_Encyclopedia.xlsx" TargetMode="External" Id="rId63" /><Relationship Type="http://schemas.openxmlformats.org/officeDocument/2006/relationships/hyperlink" Target="The_Encyclopedia.xlsx" TargetMode="External" Id="rId64" /><Relationship Type="http://schemas.openxmlformats.org/officeDocument/2006/relationships/hyperlink" Target="The_Encyclopedia.xlsx" TargetMode="External" Id="rId65" /><Relationship Type="http://schemas.openxmlformats.org/officeDocument/2006/relationships/hyperlink" Target="The_Encyclopedia.xlsx" TargetMode="External" Id="rId66" /><Relationship Type="http://schemas.openxmlformats.org/officeDocument/2006/relationships/hyperlink" Target="The_Encyclopedia.xlsx" TargetMode="External" Id="rId67" /><Relationship Type="http://schemas.openxmlformats.org/officeDocument/2006/relationships/hyperlink" Target="The_Encyclopedia.xlsx" TargetMode="External" Id="rId68" /><Relationship Type="http://schemas.openxmlformats.org/officeDocument/2006/relationships/hyperlink" Target="The_Encyclopedia.xlsx" TargetMode="External" Id="rId69" /><Relationship Type="http://schemas.openxmlformats.org/officeDocument/2006/relationships/hyperlink" Target="The_Encyclopedia.xlsx" TargetMode="External" Id="rId70" /><Relationship Type="http://schemas.openxmlformats.org/officeDocument/2006/relationships/hyperlink" Target="The_Encyclopedia.xlsx" TargetMode="External" Id="rId71" /><Relationship Type="http://schemas.openxmlformats.org/officeDocument/2006/relationships/hyperlink" Target="The_Encyclopedia.xlsx" TargetMode="External" Id="rId72" /><Relationship Type="http://schemas.openxmlformats.org/officeDocument/2006/relationships/hyperlink" Target="The_Encyclopedia.xlsx" TargetMode="External" Id="rId73" /><Relationship Type="http://schemas.openxmlformats.org/officeDocument/2006/relationships/hyperlink" Target="The_Encyclopedia.xlsx" TargetMode="External" Id="rId74" /><Relationship Type="http://schemas.openxmlformats.org/officeDocument/2006/relationships/hyperlink" Target="The_Encyclopedia.xlsx" TargetMode="External" Id="rId75" /><Relationship Type="http://schemas.openxmlformats.org/officeDocument/2006/relationships/hyperlink" Target="The_Encyclopedia.xlsx" TargetMode="External" Id="rId76" /><Relationship Type="http://schemas.openxmlformats.org/officeDocument/2006/relationships/hyperlink" Target="The_Encyclopedia.xlsx" TargetMode="External" Id="rId77" /><Relationship Type="http://schemas.openxmlformats.org/officeDocument/2006/relationships/hyperlink" Target="The_Encyclopedia.xlsx" TargetMode="External" Id="rId78" /><Relationship Type="http://schemas.openxmlformats.org/officeDocument/2006/relationships/hyperlink" Target="The_Encyclopedia.xlsx" TargetMode="External" Id="rId79" /><Relationship Type="http://schemas.openxmlformats.org/officeDocument/2006/relationships/hyperlink" Target="The_Encyclopedia.xlsx" TargetMode="External" Id="rId80" /><Relationship Type="http://schemas.openxmlformats.org/officeDocument/2006/relationships/hyperlink" Target="The_Encyclopedia.xlsx" TargetMode="External" Id="rId81" /><Relationship Type="http://schemas.openxmlformats.org/officeDocument/2006/relationships/hyperlink" Target="The_Encyclopedia.xlsx" TargetMode="External" Id="rId82" /><Relationship Type="http://schemas.openxmlformats.org/officeDocument/2006/relationships/hyperlink" Target="The_Encyclopedia.xlsx" TargetMode="External" Id="rId83" /><Relationship Type="http://schemas.openxmlformats.org/officeDocument/2006/relationships/hyperlink" Target="The_Encyclopedia.xlsx" TargetMode="External" Id="rId84" /><Relationship Type="http://schemas.openxmlformats.org/officeDocument/2006/relationships/hyperlink" Target="The_Encyclopedia.xlsx" TargetMode="External" Id="rId85" /><Relationship Type="http://schemas.openxmlformats.org/officeDocument/2006/relationships/hyperlink" Target="The_Encyclopedia.xlsx" TargetMode="External" Id="rId86" /><Relationship Type="http://schemas.openxmlformats.org/officeDocument/2006/relationships/hyperlink" Target="The_Encyclopedia.xlsx" TargetMode="External" Id="rId87" /><Relationship Type="http://schemas.openxmlformats.org/officeDocument/2006/relationships/hyperlink" Target="The_Encyclopedia.xlsx" TargetMode="External" Id="rId88" /><Relationship Type="http://schemas.openxmlformats.org/officeDocument/2006/relationships/hyperlink" Target="The_Encyclopedia.xlsx" TargetMode="External" Id="rId89" /><Relationship Type="http://schemas.openxmlformats.org/officeDocument/2006/relationships/hyperlink" Target="The_Encyclopedia.xlsx" TargetMode="External" Id="rId90" /><Relationship Type="http://schemas.openxmlformats.org/officeDocument/2006/relationships/hyperlink" Target="The_Encyclopedia.xlsx" TargetMode="External" Id="rId91" /><Relationship Type="http://schemas.openxmlformats.org/officeDocument/2006/relationships/hyperlink" Target="The_Encyclopedia.xlsx" TargetMode="External" Id="rId92" /><Relationship Type="http://schemas.openxmlformats.org/officeDocument/2006/relationships/hyperlink" Target="The_Encyclopedia.xlsx" TargetMode="External" Id="rId93" /><Relationship Type="http://schemas.openxmlformats.org/officeDocument/2006/relationships/hyperlink" Target="The_Encyclopedia.xlsx" TargetMode="External" Id="rId94" /><Relationship Type="http://schemas.openxmlformats.org/officeDocument/2006/relationships/hyperlink" Target="The_Encyclopedia.xlsx" TargetMode="External" Id="rId95" /><Relationship Type="http://schemas.openxmlformats.org/officeDocument/2006/relationships/hyperlink" Target="The_Encyclopedia.xlsx" TargetMode="External" Id="rId96" /><Relationship Type="http://schemas.openxmlformats.org/officeDocument/2006/relationships/hyperlink" Target="The_Encyclopedia.xlsx" TargetMode="External" Id="rId97" /><Relationship Type="http://schemas.openxmlformats.org/officeDocument/2006/relationships/hyperlink" Target="The_Encyclopedia.xlsx" TargetMode="External" Id="rId98" /><Relationship Type="http://schemas.openxmlformats.org/officeDocument/2006/relationships/hyperlink" Target="The_Encyclopedia.xlsx" TargetMode="External" Id="rId99" /><Relationship Type="http://schemas.openxmlformats.org/officeDocument/2006/relationships/hyperlink" Target="The_Encyclopedia.xlsx" TargetMode="External" Id="rId100" /><Relationship Type="http://schemas.openxmlformats.org/officeDocument/2006/relationships/hyperlink" Target="The_Encyclopedia.xlsx" TargetMode="External" Id="rId101" /><Relationship Type="http://schemas.openxmlformats.org/officeDocument/2006/relationships/hyperlink" Target="The_Encyclopedia.xlsx" TargetMode="External" Id="rId102" /><Relationship Type="http://schemas.openxmlformats.org/officeDocument/2006/relationships/hyperlink" Target="The_Encyclopedia.xlsx" TargetMode="External" Id="rId103" /><Relationship Type="http://schemas.openxmlformats.org/officeDocument/2006/relationships/hyperlink" Target="The_Encyclopedia.xlsx" TargetMode="External" Id="rId104" /><Relationship Type="http://schemas.openxmlformats.org/officeDocument/2006/relationships/hyperlink" Target="The_Encyclopedia.xlsx" TargetMode="External" Id="rId105" /><Relationship Type="http://schemas.openxmlformats.org/officeDocument/2006/relationships/hyperlink" Target="The_Encyclopedia.xlsx" TargetMode="External" Id="rId106" /><Relationship Type="http://schemas.openxmlformats.org/officeDocument/2006/relationships/hyperlink" Target="The_Encyclopedia.xlsx" TargetMode="External" Id="rId107" /><Relationship Type="http://schemas.openxmlformats.org/officeDocument/2006/relationships/hyperlink" Target="The_Encyclopedia.xlsx" TargetMode="External" Id="rId108" /><Relationship Type="http://schemas.openxmlformats.org/officeDocument/2006/relationships/hyperlink" Target="The_Encyclopedia.xlsx" TargetMode="External" Id="rId109" /><Relationship Type="http://schemas.openxmlformats.org/officeDocument/2006/relationships/hyperlink" Target="The_Encyclopedia.xlsx" TargetMode="External" Id="rId110" /><Relationship Type="http://schemas.openxmlformats.org/officeDocument/2006/relationships/hyperlink" Target="The_Encyclopedia.xlsx" TargetMode="External" Id="rId111" /><Relationship Type="http://schemas.openxmlformats.org/officeDocument/2006/relationships/hyperlink" Target="The_Encyclopedia.xlsx" TargetMode="External" Id="rId112" /><Relationship Type="http://schemas.openxmlformats.org/officeDocument/2006/relationships/hyperlink" Target="The_Encyclopedia.xlsx" TargetMode="External" Id="rId113" /><Relationship Type="http://schemas.openxmlformats.org/officeDocument/2006/relationships/hyperlink" Target="The_Encyclopedia.xlsx" TargetMode="External" Id="rId114" /><Relationship Type="http://schemas.openxmlformats.org/officeDocument/2006/relationships/hyperlink" Target="The_Encyclopedia.xlsx" TargetMode="External" Id="rId115" /><Relationship Type="http://schemas.openxmlformats.org/officeDocument/2006/relationships/hyperlink" Target="The_Encyclopedia.xlsx" TargetMode="External" Id="rId116" /><Relationship Type="http://schemas.openxmlformats.org/officeDocument/2006/relationships/hyperlink" Target="The_Encyclopedia.xlsx" TargetMode="External" Id="rId117" /><Relationship Type="http://schemas.openxmlformats.org/officeDocument/2006/relationships/hyperlink" Target="The_Encyclopedia.xlsx" TargetMode="External" Id="rId118" /><Relationship Type="http://schemas.openxmlformats.org/officeDocument/2006/relationships/hyperlink" Target="The_Encyclopedia.xlsx" TargetMode="External" Id="rId119" /><Relationship Type="http://schemas.openxmlformats.org/officeDocument/2006/relationships/hyperlink" Target="The_Encyclopedia.xlsx" TargetMode="External" Id="rId120" /><Relationship Type="http://schemas.openxmlformats.org/officeDocument/2006/relationships/hyperlink" Target="The_Encyclopedia.xlsx" TargetMode="External" Id="rId121" /><Relationship Type="http://schemas.openxmlformats.org/officeDocument/2006/relationships/hyperlink" Target="The_Encyclopedia.xlsx" TargetMode="External" Id="rId122" /><Relationship Type="http://schemas.openxmlformats.org/officeDocument/2006/relationships/hyperlink" Target="The_Encyclopedia.xlsx" TargetMode="External" Id="rId123" /><Relationship Type="http://schemas.openxmlformats.org/officeDocument/2006/relationships/hyperlink" Target="The_Encyclopedia.xlsx" TargetMode="External" Id="rId124" /><Relationship Type="http://schemas.openxmlformats.org/officeDocument/2006/relationships/hyperlink" Target="The_Encyclopedia.xlsx" TargetMode="External" Id="rId125" /><Relationship Type="http://schemas.openxmlformats.org/officeDocument/2006/relationships/hyperlink" Target="The_Encyclopedia.xlsx" TargetMode="External" Id="rId126" /><Relationship Type="http://schemas.openxmlformats.org/officeDocument/2006/relationships/hyperlink" Target="The_Encyclopedia.xlsx" TargetMode="External" Id="rId127" /><Relationship Type="http://schemas.openxmlformats.org/officeDocument/2006/relationships/hyperlink" Target="The_Encyclopedia.xlsx" TargetMode="External" Id="rId128" /><Relationship Type="http://schemas.openxmlformats.org/officeDocument/2006/relationships/hyperlink" Target="The_Encyclopedia.xlsx" TargetMode="External" Id="rId129" /><Relationship Type="http://schemas.openxmlformats.org/officeDocument/2006/relationships/hyperlink" Target="The_Encyclopedia.xlsx" TargetMode="External" Id="rId130" /><Relationship Type="http://schemas.openxmlformats.org/officeDocument/2006/relationships/hyperlink" Target="The_Encyclopedia.xlsx" TargetMode="External" Id="rId131" /><Relationship Type="http://schemas.openxmlformats.org/officeDocument/2006/relationships/hyperlink" Target="The_Encyclopedia.xlsx" TargetMode="External" Id="rId132" /><Relationship Type="http://schemas.openxmlformats.org/officeDocument/2006/relationships/hyperlink" Target="The_Encyclopedia.xlsx" TargetMode="External" Id="rId133" /><Relationship Type="http://schemas.openxmlformats.org/officeDocument/2006/relationships/hyperlink" Target="The_Encyclopedia.xlsx" TargetMode="External" Id="rId134" /><Relationship Type="http://schemas.openxmlformats.org/officeDocument/2006/relationships/hyperlink" Target="The_Encyclopedia.xlsx" TargetMode="External" Id="rId135" /><Relationship Type="http://schemas.openxmlformats.org/officeDocument/2006/relationships/hyperlink" Target="The_Encyclopedia.xlsx" TargetMode="External" Id="rId136" /><Relationship Type="http://schemas.openxmlformats.org/officeDocument/2006/relationships/hyperlink" Target="The_Encyclopedia.xlsx" TargetMode="External" Id="rId137" /><Relationship Type="http://schemas.openxmlformats.org/officeDocument/2006/relationships/hyperlink" Target="The_Encyclopedia.xlsx" TargetMode="External" Id="rId138" /><Relationship Type="http://schemas.openxmlformats.org/officeDocument/2006/relationships/hyperlink" Target="The_Encyclopedia.xlsx" TargetMode="External" Id="rId139" /><Relationship Type="http://schemas.openxmlformats.org/officeDocument/2006/relationships/hyperlink" Target="The_Encyclopedia.xlsx" TargetMode="External" Id="rId140" /><Relationship Type="http://schemas.openxmlformats.org/officeDocument/2006/relationships/hyperlink" Target="The_Encyclopedia.xlsx" TargetMode="External" Id="rId141" /><Relationship Type="http://schemas.openxmlformats.org/officeDocument/2006/relationships/hyperlink" Target="The_Encyclopedia.xlsx" TargetMode="External" Id="rId142" /><Relationship Type="http://schemas.openxmlformats.org/officeDocument/2006/relationships/hyperlink" Target="The_Encyclopedia.xlsx" TargetMode="External" Id="rId143" /><Relationship Type="http://schemas.openxmlformats.org/officeDocument/2006/relationships/hyperlink" Target="The_Encyclopedia.xlsx" TargetMode="External" Id="rId144" /><Relationship Type="http://schemas.openxmlformats.org/officeDocument/2006/relationships/hyperlink" Target="The_Encyclopedia.xlsx" TargetMode="External" Id="rId145" /><Relationship Type="http://schemas.openxmlformats.org/officeDocument/2006/relationships/hyperlink" Target="The_Encyclopedia.xlsx" TargetMode="External" Id="rId146" /><Relationship Type="http://schemas.openxmlformats.org/officeDocument/2006/relationships/hyperlink" Target="The_Encyclopedia.xlsx" TargetMode="External" Id="rId147" /><Relationship Type="http://schemas.openxmlformats.org/officeDocument/2006/relationships/hyperlink" Target="The_Encyclopedia.xlsx" TargetMode="External" Id="rId148" /><Relationship Type="http://schemas.openxmlformats.org/officeDocument/2006/relationships/hyperlink" Target="The_Encyclopedia.xlsx" TargetMode="External" Id="rId149" /><Relationship Type="http://schemas.openxmlformats.org/officeDocument/2006/relationships/hyperlink" Target="The_Encyclopedia.xlsx" TargetMode="External" Id="rId150" /><Relationship Type="http://schemas.openxmlformats.org/officeDocument/2006/relationships/hyperlink" Target="The_Encyclopedia.xlsx" TargetMode="External" Id="rId151" /><Relationship Type="http://schemas.openxmlformats.org/officeDocument/2006/relationships/hyperlink" Target="The_Encyclopedia.xlsx" TargetMode="External" Id="rId152" /><Relationship Type="http://schemas.openxmlformats.org/officeDocument/2006/relationships/hyperlink" Target="The_Encyclopedia.xlsx" TargetMode="External" Id="rId153" /><Relationship Type="http://schemas.openxmlformats.org/officeDocument/2006/relationships/hyperlink" Target="The_Encyclopedia.xlsx" TargetMode="External" Id="rId154" /><Relationship Type="http://schemas.openxmlformats.org/officeDocument/2006/relationships/hyperlink" Target="The_Encyclopedia.xlsx" TargetMode="External" Id="rId155" /><Relationship Type="http://schemas.openxmlformats.org/officeDocument/2006/relationships/hyperlink" Target="The_Encyclopedia.xlsx" TargetMode="External" Id="rId156" /><Relationship Type="http://schemas.openxmlformats.org/officeDocument/2006/relationships/hyperlink" Target="The_Encyclopedia.xlsx" TargetMode="External" Id="rId157" /><Relationship Type="http://schemas.openxmlformats.org/officeDocument/2006/relationships/hyperlink" Target="The_Encyclopedia.xlsx" TargetMode="External" Id="rId158" /><Relationship Type="http://schemas.openxmlformats.org/officeDocument/2006/relationships/hyperlink" Target="The_Encyclopedia.xlsx" TargetMode="External" Id="rId159" /><Relationship Type="http://schemas.openxmlformats.org/officeDocument/2006/relationships/hyperlink" Target="The_Encyclopedia.xlsx" TargetMode="External" Id="rId160" /><Relationship Type="http://schemas.openxmlformats.org/officeDocument/2006/relationships/hyperlink" Target="https://doi.org/10.1111/dmcn.16076" TargetMode="External" Id="rId161" /><Relationship Type="http://schemas.openxmlformats.org/officeDocument/2006/relationships/hyperlink" Target="https://doi.org/10.1111/cch.12397" TargetMode="External" Id="rId162" /><Relationship Type="http://schemas.openxmlformats.org/officeDocument/2006/relationships/hyperlink" Target="https://doi.org/10.1093/arclin/acad039" TargetMode="External" Id="rId163" /><Relationship Type="http://schemas.openxmlformats.org/officeDocument/2006/relationships/hyperlink" Target="https://doi.org/10.1136/bmjopen-2024-096365" TargetMode="External" Id="rId164" /><Relationship Type="http://schemas.openxmlformats.org/officeDocument/2006/relationships/hyperlink" Target="https://doi.org/10.3389/fpsyg.2019.01871" TargetMode="External" Id="rId165" /><Relationship Type="http://schemas.openxmlformats.org/officeDocument/2006/relationships/hyperlink" Target="https://doi.org/10.1111/j.2044-8279.2010.02014.x" TargetMode="External" Id="rId166" /><Relationship Type="http://schemas.openxmlformats.org/officeDocument/2006/relationships/hyperlink" Target="https://doi.org/10.3389/fpsyg.2019.01871" TargetMode="External" Id="rId167" /><Relationship Type="http://schemas.openxmlformats.org/officeDocument/2006/relationships/hyperlink" Target="https://www.examinations.ie/" TargetMode="External" Id="rId168" /><Relationship Type="http://schemas.openxmlformats.org/officeDocument/2006/relationships/hyperlink" Target="https://doi.org/10.1023/A:1021371425220" TargetMode="External" Id="rId169" /><Relationship Type="http://schemas.openxmlformats.org/officeDocument/2006/relationships/hyperlink" Target="https://doi.org/10.1352/1944-7558-117.4.291" TargetMode="External" Id="rId170" /><Relationship Type="http://schemas.openxmlformats.org/officeDocument/2006/relationships/hyperlink" Target="https://www.aaidd.org/" TargetMode="External" Id="rId171" /><Relationship Type="http://schemas.openxmlformats.org/officeDocument/2006/relationships/hyperlink" Target="https://doi.org/10.1080/01942630902784761" TargetMode="External" Id="rId172" /><Relationship Type="http://schemas.openxmlformats.org/officeDocument/2006/relationships/hyperlink" Target="https://doi.org/10.1111/dmcn.14132" TargetMode="External" Id="rId173" /><Relationship Type="http://schemas.openxmlformats.org/officeDocument/2006/relationships/hyperlink" Target="https://doi.org/10.1111/dmcn.14132" TargetMode="External" Id="rId174" /><Relationship Type="http://schemas.openxmlformats.org/officeDocument/2006/relationships/hyperlink" Target="https://doi.org/10.1111/dmcn.16076" TargetMode="External" Id="rId175" /><Relationship Type="http://schemas.openxmlformats.org/officeDocument/2006/relationships/hyperlink" Target="https://doi.org/10.1037/h0074524" TargetMode="External" Id="rId176" /><Relationship Type="http://schemas.openxmlformats.org/officeDocument/2006/relationships/hyperlink" Target="https://doi.org/10.1080/02796015.2005.12088012" TargetMode="External" Id="rId177" /><Relationship Type="http://schemas.openxmlformats.org/officeDocument/2006/relationships/hyperlink" Target="https://doi.org/10.1016/0885-2006(95)90028-4" TargetMode="External" Id="rId178" /><Relationship Type="http://schemas.openxmlformats.org/officeDocument/2006/relationships/hyperlink" Target="https://doi.org/10.1111/dmcn.16076" TargetMode="External" Id="rId179" /><Relationship Type="http://schemas.openxmlformats.org/officeDocument/2006/relationships/hyperlink" Target="https://doi.org/10.1177/1049731507307807" TargetMode="External" Id="rId180" /><Relationship Type="http://schemas.openxmlformats.org/officeDocument/2006/relationships/hyperlink" Target="https://doi.org/10.1177/1049731512470859" TargetMode="External" Id="rId181" /><Relationship Type="http://schemas.openxmlformats.org/officeDocument/2006/relationships/hyperlink" Target="https://doi.org/10.1111/jcpp.12058" TargetMode="External" Id="rId182" /><Relationship Type="http://schemas.openxmlformats.org/officeDocument/2006/relationships/hyperlink" Target="https://doi.org/10.1007/BF02172145" TargetMode="External" Id="rId183" /><Relationship Type="http://schemas.openxmlformats.org/officeDocument/2006/relationships/hyperlink" Target="https://doi.org/10.1016/0887-8994(94)90126-0" TargetMode="External" Id="rId184" /><Relationship Type="http://schemas.openxmlformats.org/officeDocument/2006/relationships/hyperlink" Target="https://doi.org/10.1136/bmjopen-2024-096365" TargetMode="External" Id="rId185" /><Relationship Type="http://schemas.openxmlformats.org/officeDocument/2006/relationships/hyperlink" Target="https://doi.org/10.1177/1362361315588200" TargetMode="External" Id="rId186" /><Relationship Type="http://schemas.openxmlformats.org/officeDocument/2006/relationships/hyperlink" Target="https://doi.org/10.1007/s10803-020-04425-3" TargetMode="External" Id="rId187" /><Relationship Type="http://schemas.openxmlformats.org/officeDocument/2006/relationships/hyperlink" Target="https://doi.org/10.1177/13623613221142383" TargetMode="External" Id="rId188" /><Relationship Type="http://schemas.openxmlformats.org/officeDocument/2006/relationships/hyperlink" Target="https://doi.org/10.3389/fpsyg.2017.00438" TargetMode="External" Id="rId189" /><Relationship Type="http://schemas.openxmlformats.org/officeDocument/2006/relationships/hyperlink" Target="https://doi.org/10.1080/09687599.2020.1822782" TargetMode="External" Id="rId190" /><Relationship Type="http://schemas.openxmlformats.org/officeDocument/2006/relationships/hyperlink" Target="https://doi.org/10.3389/fpsyt.2023.1263525" TargetMode="External" Id="rId191" /><Relationship Type="http://schemas.openxmlformats.org/officeDocument/2006/relationships/hyperlink" Target="https://doi.org/10.1080/09687599.2012.710008" TargetMode="External" Id="rId192" /><Relationship Type="http://schemas.openxmlformats.org/officeDocument/2006/relationships/hyperlink" Target="https://doi.org/10.1016/j.vaccine.2014.04.085" TargetMode="External" Id="rId193" /><Relationship Type="http://schemas.openxmlformats.org/officeDocument/2006/relationships/hyperlink" Target="https://doi.org/10.1177/27546330241253696" TargetMode="External" Id="rId194" /><Relationship Type="http://schemas.openxmlformats.org/officeDocument/2006/relationships/hyperlink" Target="https://doi.org/10.1352/1944-7558-117.4.291" TargetMode="External" Id="rId195" /><Relationship Type="http://schemas.openxmlformats.org/officeDocument/2006/relationships/hyperlink" Target="https://ncse.ie/" TargetMode="External" Id="rId196" /><Relationship Type="http://schemas.openxmlformats.org/officeDocument/2006/relationships/hyperlink" Target="https://ncca.ie/en/senior-cycle/curriculum-developments/level-1-and-level-2-learning-programmes/" TargetMode="External" Id="rId197" /><Relationship Type="http://schemas.openxmlformats.org/officeDocument/2006/relationships/hyperlink" Target="https://doi.org/10.1111/dmcn.16076" TargetMode="External" Id="rId198" /><Relationship Type="http://schemas.openxmlformats.org/officeDocument/2006/relationships/hyperlink" Target="https://doi.org/10.1111/j.2044-8279.2010.02014.x" TargetMode="External" Id="rId199" /><Relationship Type="http://schemas.openxmlformats.org/officeDocument/2006/relationships/hyperlink" Target="https://doi.org/10.1016/j.cognition.2006.04.008" TargetMode="External" Id="rId200" /><Relationship Type="http://schemas.openxmlformats.org/officeDocument/2006/relationships/hyperlink" Target="https://doi.org/10.1207/s1532799xssr0902_4" TargetMode="External" Id="rId201" /><Relationship Type="http://schemas.openxmlformats.org/officeDocument/2006/relationships/hyperlink" Target="https://doi.org/10.1111/j.1469-7610.2011.02495.x" TargetMode="External" Id="rId202" /><Relationship Type="http://schemas.openxmlformats.org/officeDocument/2006/relationships/hyperlink" Target="https://educationendowmentfoundation.org.uk/education-evidence/teaching-learning-toolkit/phonics" TargetMode="External" Id="rId203" /><Relationship Type="http://schemas.openxmlformats.org/officeDocument/2006/relationships/hyperlink" Target="https://doi.org/10.1176/ajp.2007.164.6.942" TargetMode="External" Id="rId204" /><Relationship Type="http://schemas.openxmlformats.org/officeDocument/2006/relationships/hyperlink" Target="https://doi.org/10.1037/0033-2909.121.1.65" TargetMode="External" Id="rId205" /><Relationship Type="http://schemas.openxmlformats.org/officeDocument/2006/relationships/hyperlink" Target="https://doi.org/10.1001/jama.1995.03530200053037" TargetMode="External" Id="rId206" /><Relationship Type="http://schemas.openxmlformats.org/officeDocument/2006/relationships/hyperlink" Target="https://doi.org/10.1007/s13311-012-0135-8" TargetMode="External" Id="rId207" /><Relationship Type="http://schemas.openxmlformats.org/officeDocument/2006/relationships/hyperlink" Target="https://doi.org/10.1016/j.cognition.2006.04.008" TargetMode="External" Id="rId208" /><Relationship Type="http://schemas.openxmlformats.org/officeDocument/2006/relationships/hyperlink" Target="https://www.nice.org.uk/guidance/ng87" TargetMode="External" Id="rId209" /></Relationships>
</file>

<file path=xl/worksheets/_rels/sheet7.xml.rels><Relationships xmlns="http://schemas.openxmlformats.org/package/2006/relationships"><Relationship Type="http://schemas.openxmlformats.org/officeDocument/2006/relationships/hyperlink" Target="https://drive.google.com/file/d/1zpvXXNvKEHQuOZn4jc5vPEd8xpz8uVsv/view" TargetMode="External" Id="rId1" /><Relationship Type="http://schemas.openxmlformats.org/officeDocument/2006/relationships/hyperlink" Target="https://drive.google.com/file/d/1xOCxPzx9vjZyFQVqln42H6vX42-Vd8m0/view" TargetMode="External" Id="rId2" /><Relationship Type="http://schemas.openxmlformats.org/officeDocument/2006/relationships/hyperlink" Target="https://drive.google.com/file/d/1SeT6S7Czi8F8gUekUckcMMaFPMvQUVBE/view" TargetMode="External" Id="rId3" /><Relationship Type="http://schemas.openxmlformats.org/officeDocument/2006/relationships/hyperlink" Target="https://drive.google.com/file/d/1f9kZqq0Ul9wzBJRjAXI9jkoJchSnxeEI/view" TargetMode="External" Id="rId4" /><Relationship Type="http://schemas.openxmlformats.org/officeDocument/2006/relationships/hyperlink" Target="https://drive.google.com/file/d/1Qp8MhLt21_E8SDJAPUXBuHpc8NWkC5wr/view" TargetMode="External" Id="rId5" /><Relationship Type="http://schemas.openxmlformats.org/officeDocument/2006/relationships/hyperlink" Target="https://drive.google.com/file/d/1clUcyctYyNwyUQrqoz-GRpAOvm2w6e3v/view" TargetMode="External" Id="rId6" /><Relationship Type="http://schemas.openxmlformats.org/officeDocument/2006/relationships/hyperlink" Target="https://docs.google.com/spreadsheets/d/12ZAnmPpK5HzHsXoDX4nidQPzNDnHSF9bPcd2T2du1Zs/edit" TargetMode="External" Id="rId7" /><Relationship Type="http://schemas.openxmlformats.org/officeDocument/2006/relationships/hyperlink" Target="https://drive.google.com/drive/folders/1m_jSuyTztz7j5VfOwUJPp3HdA5re7BeL" TargetMode="External" Id="rId8" /></Relationships>
</file>

<file path=xl/worksheets/sheet1.xml><?xml version="1.0" encoding="utf-8"?>
<worksheet xmlns="http://schemas.openxmlformats.org/spreadsheetml/2006/main">
  <sheetPr filterMode="0">
    <tabColor rgb="FF2E8B57"/>
    <outlinePr summaryBelow="1" summaryRight="1"/>
    <pageSetUpPr fitToPage="0"/>
  </sheetPr>
  <dimension ref="A1:J402"/>
  <sheetViews>
    <sheetView showFormulas="0" showGridLines="1" showRowColHeaders="1" showZeros="1" rightToLeft="0" tabSelected="1"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127" min="1" max="1"/>
    <col width="44" customWidth="1" style="127" min="2" max="2"/>
    <col width="50" customWidth="1" style="127" min="3" max="3"/>
    <col width="20" customWidth="1" style="127" min="4" max="4"/>
    <col width="42" customWidth="1" style="127" min="5" max="5"/>
    <col width="20" customWidth="1" style="127" min="6" max="6"/>
    <col width="46" customWidth="1" style="127" min="7" max="7"/>
    <col width="26" customWidth="1" style="127" min="8" max="8"/>
    <col width="7" customWidth="1" style="127" min="9" max="9"/>
    <col width="92" customWidth="1" style="127" min="10" max="10"/>
  </cols>
  <sheetData>
    <row r="1" ht="15" customHeight="1" s="128">
      <c r="A1" s="129" t="inlineStr">
        <is>
          <t>Date</t>
        </is>
      </c>
      <c r="B1" s="129" t="inlineStr">
        <is>
          <t>What I did</t>
        </is>
      </c>
      <c r="C1" s="129" t="inlineStr">
        <is>
          <t>How it developed the skill</t>
        </is>
      </c>
      <c r="D1" s="129" t="inlineStr">
        <is>
          <t>Referral category</t>
        </is>
      </c>
      <c r="E1" s="129" t="inlineStr">
        <is>
          <t>Referral area</t>
        </is>
      </c>
      <c r="F1" s="129" t="inlineStr">
        <is>
          <t>Competency</t>
        </is>
      </c>
      <c r="G1" s="129" t="inlineStr">
        <is>
          <t>Macro skill</t>
        </is>
      </c>
      <c r="H1" s="129" t="inlineStr">
        <is>
          <t>Age band</t>
        </is>
      </c>
      <c r="I1" s="129" t="inlineStr">
        <is>
          <t>Week</t>
        </is>
      </c>
      <c r="J1" s="129" t="inlineStr">
        <is>
          <t>Paste-ready line</t>
        </is>
      </c>
    </row>
    <row r="2" ht="15" customHeight="1" s="128">
      <c r="A2" s="130" t="inlineStr">
        <is>
          <t>Rows 2 to 85 below are your Roscommon days, already filled in from Appendix 4. You only need the dropdowns in D to H. Rows after that are blank for Cavan.</t>
        </is>
      </c>
      <c r="B2" s="131" t="n"/>
      <c r="C2" s="131" t="n"/>
      <c r="D2" s="131" t="n"/>
      <c r="E2" s="131" t="n"/>
      <c r="F2" s="131" t="n"/>
      <c r="G2" s="131" t="n"/>
      <c r="H2" s="131" t="n"/>
      <c r="I2" s="131" t="n"/>
      <c r="J2" s="131" t="n"/>
    </row>
    <row r="3" ht="23.25" customHeight="1" s="128">
      <c r="A3" s="132" t="n">
        <v>46056</v>
      </c>
      <c r="B3" s="133" t="inlineStr">
        <is>
          <t>NEPS induction day. IT set-up. Expenses and service protocol briefing. 10:00-16:00</t>
        </is>
      </c>
      <c r="C3" s="133" t="n"/>
      <c r="D3" s="134" t="n"/>
      <c r="E3" s="134" t="n"/>
      <c r="F3" s="134" t="n"/>
      <c r="G3" s="134" t="n"/>
      <c r="H3" s="134" t="n"/>
      <c r="I3" s="134" t="n"/>
      <c r="J3" s="135" t="inlineStr">
        <is>
          <t>Day 1 · NEPS Head Office, Dublin</t>
        </is>
      </c>
    </row>
    <row r="4" ht="45.75" customHeight="1" s="128">
      <c r="A4" s="132" t="n">
        <v>46057</v>
      </c>
      <c r="B4" s="133" t="inlineStr">
        <is>
          <t>Shadowed supervisor: parent interview, pupil interview, WISC-V and WIAT-III administration observed, parent feedback meeting. Supervision 16:00-17:00</t>
        </is>
      </c>
      <c r="C4" s="133" t="n"/>
      <c r="D4" s="134" t="n"/>
      <c r="E4" s="134" t="n"/>
      <c r="F4" s="134" t="n"/>
      <c r="G4" s="134" t="n"/>
      <c r="H4" s="134" t="n"/>
      <c r="I4" s="134" t="n"/>
      <c r="J4" s="135" t="inlineStr">
        <is>
          <t>Day 2 · Lisacul NS</t>
        </is>
      </c>
    </row>
    <row r="5" ht="23.25" customHeight="1" s="128">
      <c r="A5" s="136" t="n">
        <v>46058</v>
      </c>
      <c r="B5" s="137" t="inlineStr">
        <is>
          <t>PENDING — preparation and case reading. Social Inclusion team meeting 14:30-15:30 (Teams)</t>
        </is>
      </c>
      <c r="C5" s="137" t="n"/>
      <c r="D5" s="134" t="n"/>
      <c r="E5" s="134" t="n"/>
      <c r="F5" s="134" t="n"/>
      <c r="G5" s="134" t="n"/>
      <c r="H5" s="134" t="n"/>
      <c r="I5" s="134" t="n"/>
      <c r="J5" s="135" t="inlineStr">
        <is>
          <t>Day P1 · Remote</t>
        </is>
      </c>
    </row>
    <row r="6" ht="23.25" customHeight="1" s="128">
      <c r="A6" s="132" t="n">
        <v>46059</v>
      </c>
      <c r="B6" s="133" t="inlineStr">
        <is>
          <t>Shadowed supervisor day 2: WISC-V, WIAT-III, parent interview. Supervision 15:00-17:00</t>
        </is>
      </c>
      <c r="C6" s="133" t="n"/>
      <c r="D6" s="134" t="n"/>
      <c r="E6" s="134" t="n"/>
      <c r="F6" s="134" t="n"/>
      <c r="G6" s="134" t="n"/>
      <c r="H6" s="134" t="n"/>
      <c r="I6" s="134" t="n"/>
      <c r="J6" s="135" t="inlineStr">
        <is>
          <t>Day 3 · Lisacul NS</t>
        </is>
      </c>
    </row>
    <row r="7" ht="34.5" customHeight="1" s="128">
      <c r="A7" s="132" t="n">
        <v>46062</v>
      </c>
      <c r="B7" s="133" t="inlineStr">
        <is>
          <t>Shadowed colleague: case file review, parent interview, formulation discussion. NEPS Continuum of Support reading</t>
        </is>
      </c>
      <c r="C7" s="133" t="n"/>
      <c r="D7" s="134" t="n"/>
      <c r="E7" s="134" t="n"/>
      <c r="F7" s="134" t="n"/>
      <c r="G7" s="134" t="n"/>
      <c r="H7" s="134" t="n"/>
      <c r="I7" s="134" t="n"/>
      <c r="J7" s="135" t="inlineStr">
        <is>
          <t>Day 4 · St Coman's Wood PS</t>
        </is>
      </c>
    </row>
    <row r="8" ht="23.25" customHeight="1" s="128">
      <c r="A8" s="132" t="n">
        <v>46063</v>
      </c>
      <c r="B8" s="133" t="inlineStr">
        <is>
          <t>Shadowed colleague: WISC-V, WIAT-III, parent interview. Social Inclusion meeting 14:00-15:00</t>
        </is>
      </c>
      <c r="C8" s="133" t="n"/>
      <c r="D8" s="134" t="n"/>
      <c r="E8" s="134" t="n"/>
      <c r="F8" s="134" t="n"/>
      <c r="G8" s="134" t="n"/>
      <c r="H8" s="134" t="n"/>
      <c r="I8" s="134" t="n"/>
      <c r="J8" s="135" t="inlineStr">
        <is>
          <t>Day 5 · Cloonakilla NS, Athlone</t>
        </is>
      </c>
    </row>
    <row r="9" ht="23.25" customHeight="1" s="128">
      <c r="A9" s="132" t="n">
        <v>46064</v>
      </c>
      <c r="B9" s="133" t="inlineStr">
        <is>
          <t>Shadowed colleague: WISC-V, WIAT-III administration and scoring, parent interview</t>
        </is>
      </c>
      <c r="C9" s="133" t="n"/>
      <c r="D9" s="134" t="n"/>
      <c r="E9" s="134" t="n"/>
      <c r="F9" s="134" t="n"/>
      <c r="G9" s="134" t="n"/>
      <c r="H9" s="134" t="n"/>
      <c r="I9" s="134" t="n"/>
      <c r="J9" s="135" t="inlineStr">
        <is>
          <t>Day 6 · Scoil Mhuire (Newtown NS)</t>
        </is>
      </c>
    </row>
    <row r="10" ht="23.25" customHeight="1" s="128">
      <c r="A10" s="132" t="n">
        <v>46065</v>
      </c>
      <c r="B10" s="133" t="inlineStr">
        <is>
          <t>WISC-V manual study: index score structure, ethical considerations in test use</t>
        </is>
      </c>
      <c r="C10" s="133" t="n"/>
      <c r="D10" s="134" t="n"/>
      <c r="E10" s="134" t="n"/>
      <c r="F10" s="134" t="n"/>
      <c r="G10" s="134" t="n"/>
      <c r="H10" s="134" t="n"/>
      <c r="I10" s="134" t="n"/>
      <c r="J10" s="135" t="inlineStr">
        <is>
          <t>Day 7 · Remote</t>
        </is>
      </c>
    </row>
    <row r="11" ht="23.25" customHeight="1" s="128">
      <c r="A11" s="132" t="n">
        <v>46069</v>
      </c>
      <c r="B11" s="133" t="inlineStr">
        <is>
          <t>WISC-V script notes, standardised administration rules, subtest practice</t>
        </is>
      </c>
      <c r="C11" s="133" t="n"/>
      <c r="D11" s="134" t="n"/>
      <c r="E11" s="134" t="n"/>
      <c r="F11" s="134" t="n"/>
      <c r="G11" s="134" t="n"/>
      <c r="H11" s="134" t="n"/>
      <c r="I11" s="134" t="n"/>
      <c r="J11" s="135" t="inlineStr">
        <is>
          <t>Day 8 · Remote</t>
        </is>
      </c>
    </row>
    <row r="12" ht="34.5" customHeight="1" s="128">
      <c r="A12" s="132" t="n">
        <v>46070</v>
      </c>
      <c r="B12" s="133" t="inlineStr">
        <is>
          <t>Observed WISC-V and WIAT-III, dyslexia query (CS25-05909); parent, teacher and student consultations. Whole-staff ADHD input to school</t>
        </is>
      </c>
      <c r="C12" s="133" t="n"/>
      <c r="D12" s="134" t="n"/>
      <c r="E12" s="134" t="n"/>
      <c r="F12" s="134" t="n"/>
      <c r="G12" s="134" t="n"/>
      <c r="H12" s="134" t="n"/>
      <c r="I12" s="134" t="n"/>
      <c r="J12" s="135" t="inlineStr">
        <is>
          <t>Day 9 · S.N. Pol Naofa (St Paul's BNS)</t>
        </is>
      </c>
    </row>
    <row r="13" ht="15" customHeight="1" s="128">
      <c r="A13" s="132" t="n">
        <v>46071</v>
      </c>
      <c r="B13" s="133" t="inlineStr">
        <is>
          <t>WISC-V subtest study (school half term)</t>
        </is>
      </c>
      <c r="C13" s="133" t="n"/>
      <c r="D13" s="134" t="n"/>
      <c r="E13" s="134" t="n"/>
      <c r="F13" s="134" t="n"/>
      <c r="G13" s="134" t="n"/>
      <c r="H13" s="134" t="n"/>
      <c r="I13" s="134" t="n"/>
      <c r="J13" s="135" t="inlineStr">
        <is>
          <t>Day 10 · Remote</t>
        </is>
      </c>
    </row>
    <row r="14" ht="23.25" customHeight="1" s="128">
      <c r="A14" s="132" t="n">
        <v>46072</v>
      </c>
      <c r="B14" s="133" t="inlineStr">
        <is>
          <t>Social Inclusion team meeting 10:00-12:30 (Teams). WISC-V subtest study</t>
        </is>
      </c>
      <c r="C14" s="133" t="n"/>
      <c r="D14" s="134" t="n"/>
      <c r="E14" s="134" t="n"/>
      <c r="F14" s="134" t="n"/>
      <c r="G14" s="134" t="n"/>
      <c r="H14" s="134" t="n"/>
      <c r="I14" s="134" t="n"/>
      <c r="J14" s="135" t="inlineStr">
        <is>
          <t>Day 11 · Remote</t>
        </is>
      </c>
    </row>
    <row r="15" ht="23.25" customHeight="1" s="128">
      <c r="A15" s="132" t="n">
        <v>46076</v>
      </c>
      <c r="B15" s="133" t="inlineStr">
        <is>
          <t>Introduction to staff team; full team meeting; IT set-up; test store room review; supervision</t>
        </is>
      </c>
      <c r="C15" s="133" t="n"/>
      <c r="D15" s="134" t="n"/>
      <c r="E15" s="134" t="n"/>
      <c r="F15" s="134" t="n"/>
      <c r="G15" s="134" t="n"/>
      <c r="H15" s="134" t="n"/>
      <c r="I15" s="134" t="n"/>
      <c r="J15" s="135" t="inlineStr">
        <is>
          <t>Day 12 · NEPS Roscommon office</t>
        </is>
      </c>
    </row>
    <row r="16" ht="23.25" customHeight="1" s="128">
      <c r="A16" s="132" t="n">
        <v>46077</v>
      </c>
      <c r="B16" s="133" t="inlineStr">
        <is>
          <t>Readings: Children and Loss; UFLI; NEPS Continuum of Support; RACE guidance</t>
        </is>
      </c>
      <c r="C16" s="133" t="n"/>
      <c r="D16" s="134" t="n"/>
      <c r="E16" s="134" t="n"/>
      <c r="F16" s="134" t="n"/>
      <c r="G16" s="134" t="n"/>
      <c r="H16" s="134" t="n"/>
      <c r="I16" s="134" t="n"/>
      <c r="J16" s="135" t="inlineStr">
        <is>
          <t>Day 13 · Remote</t>
        </is>
      </c>
    </row>
    <row r="17" ht="23.25" customHeight="1" s="128">
      <c r="A17" s="132" t="n">
        <v>46078</v>
      </c>
      <c r="B17" s="133" t="inlineStr">
        <is>
          <t>Shadowed colleague: WISC-V and WIAT-III, autism and giftedness query; parent interview. Training 15:30</t>
        </is>
      </c>
      <c r="C17" s="133" t="n"/>
      <c r="D17" s="134" t="n"/>
      <c r="E17" s="134" t="n"/>
      <c r="F17" s="134" t="n"/>
      <c r="G17" s="134" t="n"/>
      <c r="H17" s="134" t="n"/>
      <c r="I17" s="134" t="n"/>
      <c r="J17" s="135" t="inlineStr">
        <is>
          <t>Day 14 · St Anne's Convent NS</t>
        </is>
      </c>
    </row>
    <row r="18" ht="23.25" customHeight="1" s="128">
      <c r="A18" s="132" t="n">
        <v>46079</v>
      </c>
      <c r="B18" s="133" t="inlineStr">
        <is>
          <t>Anonymised case work with colleague 13:00; two cases assigned on PSYmis</t>
        </is>
      </c>
      <c r="C18" s="133" t="n"/>
      <c r="D18" s="134" t="n"/>
      <c r="E18" s="134" t="n"/>
      <c r="F18" s="134" t="n"/>
      <c r="G18" s="134" t="n"/>
      <c r="H18" s="134" t="n"/>
      <c r="I18" s="134" t="n"/>
      <c r="J18" s="135" t="inlineStr">
        <is>
          <t>Day 15 · Castlerea Community School</t>
        </is>
      </c>
    </row>
    <row r="19" ht="34.5" customHeight="1" s="128">
      <c r="A19" s="132" t="n">
        <v>46080</v>
      </c>
      <c r="B19" s="133" t="inlineStr">
        <is>
          <t>Observed WIAT-III and phonological assessment, scoring, parent interview. Research into phonological interventions and their evidence base</t>
        </is>
      </c>
      <c r="C19" s="133" t="n"/>
      <c r="D19" s="134" t="n"/>
      <c r="E19" s="134" t="n"/>
      <c r="F19" s="134" t="n"/>
      <c r="G19" s="134" t="n"/>
      <c r="H19" s="134" t="n"/>
      <c r="I19" s="134" t="n"/>
      <c r="J19" s="135" t="inlineStr">
        <is>
          <t>Day 16 · St Anne's Convent NS</t>
        </is>
      </c>
    </row>
    <row r="20" ht="23.25" customHeight="1" s="128">
      <c r="A20" s="132" t="n">
        <v>46083</v>
      </c>
      <c r="B20" s="133" t="inlineStr">
        <is>
          <t>Remote working day — case documentation and preparation</t>
        </is>
      </c>
      <c r="C20" s="133" t="n"/>
      <c r="D20" s="134" t="n"/>
      <c r="E20" s="134" t="n"/>
      <c r="F20" s="134" t="n"/>
      <c r="G20" s="134" t="n"/>
      <c r="H20" s="134" t="n"/>
      <c r="I20" s="134" t="n"/>
      <c r="J20" s="135" t="inlineStr">
        <is>
          <t>Day 17 · Remote</t>
        </is>
      </c>
    </row>
    <row r="21" ht="34.5" customHeight="1" s="128">
      <c r="A21" s="132" t="n">
        <v>46090</v>
      </c>
      <c r="B21" s="133" t="inlineStr">
        <is>
          <t>Planned shadowing withdrawn as consent was not in place; meeting at Roscommon office instead. Casework planning</t>
        </is>
      </c>
      <c r="C21" s="133" t="n"/>
      <c r="D21" s="134" t="n"/>
      <c r="E21" s="134" t="n"/>
      <c r="F21" s="134" t="n"/>
      <c r="G21" s="134" t="n"/>
      <c r="H21" s="134" t="n"/>
      <c r="I21" s="134" t="n"/>
      <c r="J21" s="135" t="inlineStr">
        <is>
          <t>Day 18 · NEPS Roscommon office</t>
        </is>
      </c>
    </row>
    <row r="22" ht="23.25" customHeight="1" s="128">
      <c r="A22" s="132" t="n">
        <v>46091</v>
      </c>
      <c r="B22" s="133" t="inlineStr">
        <is>
          <t>Online supervision 14:00-15:00: placement planning, critical incident discussion, CALD webinar preparation</t>
        </is>
      </c>
      <c r="C22" s="133" t="n"/>
      <c r="D22" s="134" t="n"/>
      <c r="E22" s="134" t="n"/>
      <c r="F22" s="134" t="n"/>
      <c r="G22" s="134" t="n"/>
      <c r="H22" s="134" t="n"/>
      <c r="I22" s="134" t="n"/>
      <c r="J22" s="135" t="inlineStr">
        <is>
          <t>Day 19 · Remote</t>
        </is>
      </c>
    </row>
    <row r="23" ht="34.5" customHeight="1" s="128">
      <c r="A23" s="132" t="n">
        <v>46092</v>
      </c>
      <c r="B23" s="133" t="inlineStr">
        <is>
          <t>Observed supervisor administer WISC-V and WIAT-III, literacy and dyslexia query; teacher interview; assistive technology discussion. Supervision</t>
        </is>
      </c>
      <c r="C23" s="133" t="n"/>
      <c r="D23" s="134" t="n"/>
      <c r="E23" s="134" t="n"/>
      <c r="F23" s="134" t="n"/>
      <c r="G23" s="134" t="n"/>
      <c r="H23" s="134" t="n"/>
      <c r="I23" s="134" t="n"/>
      <c r="J23" s="135" t="inlineStr">
        <is>
          <t>Day 20 · Ballybay NS, Kiltoom</t>
        </is>
      </c>
    </row>
    <row r="24" ht="23.25" customHeight="1" s="128">
      <c r="A24" s="132" t="n">
        <v>46093</v>
      </c>
      <c r="B24" s="133" t="inlineStr">
        <is>
          <t>Grange case consent and preparation. ED and trauma-informed practice training 15:00 online</t>
        </is>
      </c>
      <c r="C24" s="133" t="n"/>
      <c r="D24" s="134" t="n"/>
      <c r="E24" s="134" t="n"/>
      <c r="F24" s="134" t="n"/>
      <c r="G24" s="134" t="n"/>
      <c r="H24" s="134" t="n"/>
      <c r="I24" s="134" t="n"/>
      <c r="J24" s="135" t="inlineStr">
        <is>
          <t>Day 21 · Remote</t>
        </is>
      </c>
    </row>
    <row r="25" ht="23.25" customHeight="1" s="128">
      <c r="A25" s="132" t="n">
        <v>46097</v>
      </c>
      <c r="B25" s="133" t="inlineStr">
        <is>
          <t>CALD preparation meeting 12:00-13:00. Slides and script prepared for the Embracing Diversity webinar</t>
        </is>
      </c>
      <c r="C25" s="133" t="n"/>
      <c r="D25" s="134" t="n"/>
      <c r="E25" s="134" t="n"/>
      <c r="F25" s="134" t="n"/>
      <c r="G25" s="134" t="n"/>
      <c r="H25" s="134" t="n"/>
      <c r="I25" s="134" t="n"/>
      <c r="J25" s="135" t="inlineStr">
        <is>
          <t>Day 22 · Remote</t>
        </is>
      </c>
    </row>
    <row r="26" ht="34.5" customHeight="1" s="128">
      <c r="A26" s="132" t="n">
        <v>46099</v>
      </c>
      <c r="B26" s="133" t="inlineStr">
        <is>
          <t>Delivered three sections of the Embracing Diversity CALD webinar to a national audience. Observation feedback form completed</t>
        </is>
      </c>
      <c r="C26" s="133" t="n"/>
      <c r="D26" s="134" t="n"/>
      <c r="E26" s="134" t="n"/>
      <c r="F26" s="134" t="n"/>
      <c r="G26" s="134" t="n"/>
      <c r="H26" s="134" t="n"/>
      <c r="I26" s="134" t="n"/>
      <c r="J26" s="135" t="inlineStr">
        <is>
          <t>Day 23 · Remote</t>
        </is>
      </c>
    </row>
    <row r="27" ht="23.25" customHeight="1" s="128">
      <c r="A27" s="132" t="n">
        <v>46100</v>
      </c>
      <c r="B27" s="133" t="inlineStr">
        <is>
          <t>Planned joint observation did not proceed; reassigned to placement work with supervisor</t>
        </is>
      </c>
      <c r="C27" s="133" t="n"/>
      <c r="D27" s="134" t="n"/>
      <c r="E27" s="134" t="n"/>
      <c r="F27" s="134" t="n"/>
      <c r="G27" s="134" t="n"/>
      <c r="H27" s="134" t="n"/>
      <c r="I27" s="134" t="n"/>
      <c r="J27" s="135" t="inlineStr">
        <is>
          <t>Day 24 · Remote</t>
        </is>
      </c>
    </row>
    <row r="28" ht="34.5" customHeight="1" s="128">
      <c r="A28" s="132" t="n">
        <v>46101</v>
      </c>
      <c r="B28" s="133" t="inlineStr">
        <is>
          <t>Case file review; classroom observation; WIAT-III; parent interview using ABAS (CS26-00278). Formal supervision</t>
        </is>
      </c>
      <c r="C28" s="133" t="n"/>
      <c r="D28" s="134" t="n"/>
      <c r="E28" s="134" t="n"/>
      <c r="F28" s="134" t="n"/>
      <c r="G28" s="134" t="n"/>
      <c r="H28" s="134" t="n"/>
      <c r="I28" s="134" t="n"/>
      <c r="J28" s="135" t="inlineStr">
        <is>
          <t>Day 25 · Sligo School Project NS</t>
        </is>
      </c>
    </row>
    <row r="29" ht="23.25" customHeight="1" s="128">
      <c r="A29" s="132" t="n">
        <v>46104</v>
      </c>
      <c r="B29" s="133" t="inlineStr">
        <is>
          <t>Working from home. WISC-V and WIAT-III preparation and practice for Rockfield (CS26-02159)</t>
        </is>
      </c>
      <c r="C29" s="133" t="n"/>
      <c r="D29" s="134" t="n"/>
      <c r="E29" s="134" t="n"/>
      <c r="F29" s="134" t="n"/>
      <c r="G29" s="134" t="n"/>
      <c r="H29" s="134" t="n"/>
      <c r="I29" s="134" t="n"/>
      <c r="J29" s="135" t="inlineStr">
        <is>
          <t>Day 26 · Remote</t>
        </is>
      </c>
    </row>
    <row r="30" ht="34.5" customHeight="1" s="128">
      <c r="A30" s="132" t="n">
        <v>46105</v>
      </c>
      <c r="B30" s="133" t="inlineStr">
        <is>
          <t>Administered WIAT-III independently; classroom observation; joint parent and teacher consultation; report begun (CS26-02159)</t>
        </is>
      </c>
      <c r="C30" s="133" t="n"/>
      <c r="D30" s="134" t="n"/>
      <c r="E30" s="134" t="n"/>
      <c r="F30" s="134" t="n"/>
      <c r="G30" s="134" t="n"/>
      <c r="H30" s="134" t="n"/>
      <c r="I30" s="134" t="n"/>
      <c r="J30" s="135" t="inlineStr">
        <is>
          <t>Day 27 · Rockfield NS, Coolaney</t>
        </is>
      </c>
    </row>
    <row r="31" ht="34.5" customHeight="1" s="128">
      <c r="A31" s="136" t="n">
        <v>46106</v>
      </c>
      <c r="B31" s="137" t="inlineStr">
        <is>
          <t>PENDING — supervision contact; test result templates received and reviewed; Rockfield scoring and report drafting</t>
        </is>
      </c>
      <c r="C31" s="137" t="n"/>
      <c r="D31" s="134" t="n"/>
      <c r="E31" s="134" t="n"/>
      <c r="F31" s="134" t="n"/>
      <c r="G31" s="134" t="n"/>
      <c r="H31" s="134" t="n"/>
      <c r="I31" s="134" t="n"/>
      <c r="J31" s="135" t="inlineStr">
        <is>
          <t>Day P2 · Remote</t>
        </is>
      </c>
    </row>
    <row r="32" ht="34.5" customHeight="1" s="128">
      <c r="A32" s="136" t="n">
        <v>46107</v>
      </c>
      <c r="B32" s="137" t="inlineStr">
        <is>
          <t>PENDING — TEP pre-placement meeting 10:00. UCD Placement Review Visit 1, 11:00, with UCD and placement supervisor</t>
        </is>
      </c>
      <c r="C32" s="137" t="n"/>
      <c r="D32" s="134" t="n"/>
      <c r="E32" s="134" t="n"/>
      <c r="F32" s="134" t="n"/>
      <c r="G32" s="134" t="n"/>
      <c r="H32" s="134" t="n"/>
      <c r="I32" s="134" t="n"/>
      <c r="J32" s="135" t="inlineStr">
        <is>
          <t>Day P3 · Remote</t>
        </is>
      </c>
    </row>
    <row r="33" ht="23.25" customHeight="1" s="128">
      <c r="A33" s="132" t="n">
        <v>46111</v>
      </c>
      <c r="B33" s="133" t="inlineStr">
        <is>
          <t>1:1 with supervisor: portfolio requirements, expenses, NEPS calendar. Portfolio record maintenance</t>
        </is>
      </c>
      <c r="C33" s="133" t="n"/>
      <c r="D33" s="134" t="n"/>
      <c r="E33" s="134" t="n"/>
      <c r="F33" s="134" t="n"/>
      <c r="G33" s="134" t="n"/>
      <c r="H33" s="134" t="n"/>
      <c r="I33" s="134" t="n"/>
      <c r="J33" s="135" t="inlineStr">
        <is>
          <t>Day 28 · NEPS Roscommon office</t>
        </is>
      </c>
    </row>
    <row r="34" ht="34.5" customHeight="1" s="128">
      <c r="A34" s="132" t="n">
        <v>46112</v>
      </c>
      <c r="B34" s="133" t="inlineStr">
        <is>
          <t>1:1 with supervisor; WIAT-III scoring feedback; reports uploaded to PSYmis. UCD research meeting 15:00 online</t>
        </is>
      </c>
      <c r="C34" s="133" t="n"/>
      <c r="D34" s="134" t="n"/>
      <c r="E34" s="134" t="n"/>
      <c r="F34" s="134" t="n"/>
      <c r="G34" s="134" t="n"/>
      <c r="H34" s="134" t="n"/>
      <c r="I34" s="134" t="n"/>
      <c r="J34" s="135" t="inlineStr">
        <is>
          <t>Day 29 · NEPS Roscommon office</t>
        </is>
      </c>
    </row>
    <row r="35" ht="23.25" customHeight="1" s="128">
      <c r="A35" s="136" t="n">
        <v>46113</v>
      </c>
      <c r="B35" s="137" t="inlineStr">
        <is>
          <t>PENDING — report drafting and case documentation within the Placement 1 block</t>
        </is>
      </c>
      <c r="C35" s="137" t="n"/>
      <c r="D35" s="134" t="n"/>
      <c r="E35" s="134" t="n"/>
      <c r="F35" s="134" t="n"/>
      <c r="G35" s="134" t="n"/>
      <c r="H35" s="134" t="n"/>
      <c r="I35" s="134" t="n"/>
      <c r="J35" s="135" t="inlineStr">
        <is>
          <t>Day P4 · Remote</t>
        </is>
      </c>
    </row>
    <row r="36" ht="23.25" customHeight="1" s="128">
      <c r="A36" s="136" t="n">
        <v>46114</v>
      </c>
      <c r="B36" s="137" t="inlineStr">
        <is>
          <t>PENDING — report drafting and case documentation within the Placement 1 block</t>
        </is>
      </c>
      <c r="C36" s="137" t="n"/>
      <c r="D36" s="134" t="n"/>
      <c r="E36" s="134" t="n"/>
      <c r="F36" s="134" t="n"/>
      <c r="G36" s="134" t="n"/>
      <c r="H36" s="134" t="n"/>
      <c r="I36" s="134" t="n"/>
      <c r="J36" s="135" t="inlineStr">
        <is>
          <t>Day P5 · Remote</t>
        </is>
      </c>
    </row>
    <row r="37" ht="15" customHeight="1" s="128">
      <c r="A37" s="132" t="n">
        <v>46119</v>
      </c>
      <c r="B37" s="133" t="inlineStr">
        <is>
          <t>Office casework day within the report-drafting window</t>
        </is>
      </c>
      <c r="C37" s="133" t="n"/>
      <c r="D37" s="134" t="n"/>
      <c r="E37" s="134" t="n"/>
      <c r="F37" s="134" t="n"/>
      <c r="G37" s="134" t="n"/>
      <c r="H37" s="134" t="n"/>
      <c r="I37" s="134" t="n"/>
      <c r="J37" s="135" t="inlineStr">
        <is>
          <t>Day 30 · NEPS Roscommon office</t>
        </is>
      </c>
    </row>
    <row r="38" ht="15" customHeight="1" s="128">
      <c r="A38" s="132" t="n">
        <v>46120</v>
      </c>
      <c r="B38" s="133" t="inlineStr">
        <is>
          <t>Office day, afternoon and evening</t>
        </is>
      </c>
      <c r="C38" s="133" t="n"/>
      <c r="D38" s="134" t="n"/>
      <c r="E38" s="134" t="n"/>
      <c r="F38" s="134" t="n"/>
      <c r="G38" s="134" t="n"/>
      <c r="H38" s="134" t="n"/>
      <c r="I38" s="134" t="n"/>
      <c r="J38" s="135" t="inlineStr">
        <is>
          <t>Day 31 · NEPS Roscommon office</t>
        </is>
      </c>
    </row>
    <row r="39" ht="34.5" customHeight="1" s="128">
      <c r="A39" s="132" t="n">
        <v>46125</v>
      </c>
      <c r="B39" s="133" t="inlineStr">
        <is>
          <t>Administered WISC-V and DASH-2; parent feedback session using DASH and the DCD questionnaire (CS26-02159)</t>
        </is>
      </c>
      <c r="C39" s="133" t="n"/>
      <c r="D39" s="134" t="n"/>
      <c r="E39" s="134" t="n"/>
      <c r="F39" s="134" t="n"/>
      <c r="G39" s="134" t="n"/>
      <c r="H39" s="134" t="n"/>
      <c r="I39" s="134" t="n"/>
      <c r="J39" s="135" t="inlineStr">
        <is>
          <t>Day 32 · Rockfield NS, Coolaney</t>
        </is>
      </c>
    </row>
    <row r="40" ht="23.25" customHeight="1" s="128">
      <c r="A40" s="132" t="n">
        <v>46126</v>
      </c>
      <c r="B40" s="133" t="inlineStr">
        <is>
          <t>Attainment assessment, scoring and formulation; OT referral prepared (CS26-02159)</t>
        </is>
      </c>
      <c r="C40" s="133" t="n"/>
      <c r="D40" s="134" t="n"/>
      <c r="E40" s="134" t="n"/>
      <c r="F40" s="134" t="n"/>
      <c r="G40" s="134" t="n"/>
      <c r="H40" s="134" t="n"/>
      <c r="I40" s="134" t="n"/>
      <c r="J40" s="135" t="inlineStr">
        <is>
          <t>Day 33 · Rockfield NS, Coolaney</t>
        </is>
      </c>
    </row>
    <row r="41" ht="23.25" customHeight="1" s="128">
      <c r="A41" s="132" t="n">
        <v>46127</v>
      </c>
      <c r="B41" s="133" t="inlineStr">
        <is>
          <t>POST-PRIMARY setting visit 09:47-13:55. Adolescent age range experience</t>
        </is>
      </c>
      <c r="C41" s="133" t="n"/>
      <c r="D41" s="134" t="n"/>
      <c r="E41" s="134" t="n"/>
      <c r="F41" s="134" t="n"/>
      <c r="G41" s="134" t="n"/>
      <c r="H41" s="134" t="n"/>
      <c r="I41" s="134" t="n"/>
      <c r="J41" s="135" t="inlineStr">
        <is>
          <t>Day 34 · St Nathy's College, Ballaghaderreen</t>
        </is>
      </c>
    </row>
    <row r="42" ht="15" customHeight="1" s="128">
      <c r="A42" s="132" t="n">
        <v>46128</v>
      </c>
      <c r="B42" s="133" t="inlineStr">
        <is>
          <t>Office day</t>
        </is>
      </c>
      <c r="C42" s="133" t="n"/>
      <c r="D42" s="134" t="n"/>
      <c r="E42" s="134" t="n"/>
      <c r="F42" s="134" t="n"/>
      <c r="G42" s="134" t="n"/>
      <c r="H42" s="134" t="n"/>
      <c r="I42" s="134" t="n"/>
      <c r="J42" s="135" t="inlineStr">
        <is>
          <t>Day 35 · NEPS Roscommon office</t>
        </is>
      </c>
    </row>
    <row r="43" ht="34.5" customHeight="1" s="128">
      <c r="A43" s="132" t="n">
        <v>46132</v>
      </c>
      <c r="B43" s="133" t="inlineStr">
        <is>
          <t>Sligo assessment postponed — pupil had an OT appointment and no room available. Case preparation and documentation</t>
        </is>
      </c>
      <c r="C43" s="133" t="n"/>
      <c r="D43" s="134" t="n"/>
      <c r="E43" s="134" t="n"/>
      <c r="F43" s="134" t="n"/>
      <c r="G43" s="134" t="n"/>
      <c r="H43" s="134" t="n"/>
      <c r="I43" s="134" t="n"/>
      <c r="J43" s="135" t="inlineStr">
        <is>
          <t>Day 36 · Remote</t>
        </is>
      </c>
    </row>
    <row r="44" ht="34.5" customHeight="1" s="128">
      <c r="A44" s="132" t="n">
        <v>46133</v>
      </c>
      <c r="B44" s="133" t="inlineStr">
        <is>
          <t>Administered WISC-V independently — FIRST FULLY INDEPENDENT ADMINISTRATION (CS26-00278). Supervision at Roscommon office 15:00</t>
        </is>
      </c>
      <c r="C44" s="133" t="n"/>
      <c r="D44" s="134" t="n"/>
      <c r="E44" s="134" t="n"/>
      <c r="F44" s="134" t="n"/>
      <c r="G44" s="134" t="n"/>
      <c r="H44" s="134" t="n"/>
      <c r="I44" s="134" t="n"/>
      <c r="J44" s="135" t="inlineStr">
        <is>
          <t>Day 37 · Sligo School Project NS, then office</t>
        </is>
      </c>
    </row>
    <row r="45" ht="23.25" customHeight="1" s="128">
      <c r="A45" s="132" t="n">
        <v>46139</v>
      </c>
      <c r="B45" s="133" t="inlineStr">
        <is>
          <t>NEPS team meeting. Co-delivered post-primary SET guidelines presentation with a psychologist colleague</t>
        </is>
      </c>
      <c r="C45" s="133" t="n"/>
      <c r="D45" s="134" t="n"/>
      <c r="E45" s="134" t="n"/>
      <c r="F45" s="134" t="n"/>
      <c r="G45" s="134" t="n"/>
      <c r="H45" s="134" t="n"/>
      <c r="I45" s="134" t="n"/>
      <c r="J45" s="135" t="inlineStr">
        <is>
          <t>Day 38 · NEPS Roscommon office</t>
        </is>
      </c>
    </row>
    <row r="46" ht="15" customHeight="1" s="128">
      <c r="A46" s="132" t="n">
        <v>46140</v>
      </c>
      <c r="B46" s="133" t="inlineStr">
        <is>
          <t>Office day</t>
        </is>
      </c>
      <c r="C46" s="133" t="n"/>
      <c r="D46" s="134" t="n"/>
      <c r="E46" s="134" t="n"/>
      <c r="F46" s="134" t="n"/>
      <c r="G46" s="134" t="n"/>
      <c r="H46" s="134" t="n"/>
      <c r="I46" s="134" t="n"/>
      <c r="J46" s="135" t="inlineStr">
        <is>
          <t>Day 39 · NEPS Roscommon office</t>
        </is>
      </c>
    </row>
    <row r="47" ht="15" customHeight="1" s="128">
      <c r="A47" s="132" t="n">
        <v>46141</v>
      </c>
      <c r="B47" s="133" t="inlineStr">
        <is>
          <t>Remote working day</t>
        </is>
      </c>
      <c r="C47" s="133" t="n"/>
      <c r="D47" s="134" t="n"/>
      <c r="E47" s="134" t="n"/>
      <c r="F47" s="134" t="n"/>
      <c r="G47" s="134" t="n"/>
      <c r="H47" s="134" t="n"/>
      <c r="I47" s="134" t="n"/>
      <c r="J47" s="135" t="inlineStr">
        <is>
          <t>Day 40 · Remote</t>
        </is>
      </c>
    </row>
    <row r="48" ht="34.5" customHeight="1" s="128">
      <c r="A48" s="132" t="n">
        <v>46142</v>
      </c>
      <c r="B48" s="133" t="inlineStr">
        <is>
          <t>Initial school visit 09:46-12:54 (CS26-02343). TEP support session 2 (Teams) 14:00-16:00; dyslexia materials shared with colleague</t>
        </is>
      </c>
      <c r="C48" s="133" t="n"/>
      <c r="D48" s="134" t="n"/>
      <c r="E48" s="134" t="n"/>
      <c r="F48" s="134" t="n"/>
      <c r="G48" s="134" t="n"/>
      <c r="H48" s="134" t="n"/>
      <c r="I48" s="134" t="n"/>
      <c r="J48" s="135" t="inlineStr">
        <is>
          <t>Day 41 · Ballintleva NS, Curraghboy</t>
        </is>
      </c>
    </row>
    <row r="49" ht="34.5" customHeight="1" s="128">
      <c r="A49" s="132" t="n">
        <v>46148</v>
      </c>
      <c r="B49" s="133" t="inlineStr">
        <is>
          <t>Sligo follow-up meeting arranged 16:15 (CS26-00278); chased twice without reply. Case documentation</t>
        </is>
      </c>
      <c r="C49" s="133" t="n"/>
      <c r="D49" s="134" t="n"/>
      <c r="E49" s="134" t="n"/>
      <c r="F49" s="134" t="n"/>
      <c r="G49" s="134" t="n"/>
      <c r="H49" s="134" t="n"/>
      <c r="I49" s="134" t="n"/>
      <c r="J49" s="135" t="inlineStr">
        <is>
          <t>Day 42 · Remote</t>
        </is>
      </c>
    </row>
    <row r="50" ht="34.5" customHeight="1" s="128">
      <c r="A50" s="132" t="n">
        <v>46149</v>
      </c>
      <c r="B50" s="133" t="inlineStr">
        <is>
          <t>Joint consultation with supervisor, school staff and family: needs identified and actions agreed (CS26-02343)</t>
        </is>
      </c>
      <c r="C50" s="133" t="n"/>
      <c r="D50" s="134" t="n"/>
      <c r="E50" s="134" t="n"/>
      <c r="F50" s="134" t="n"/>
      <c r="G50" s="134" t="n"/>
      <c r="H50" s="134" t="n"/>
      <c r="I50" s="134" t="n"/>
      <c r="J50" s="135" t="inlineStr">
        <is>
          <t>Day 43 · Ballintleva NS</t>
        </is>
      </c>
    </row>
    <row r="51" ht="34.5" customHeight="1" s="128">
      <c r="A51" s="132" t="n">
        <v>46153</v>
      </c>
      <c r="B51" s="133" t="inlineStr">
        <is>
          <t>TEP visit 10:19-12:24: visual supports selected, demonstrated to SNA and class teacher, trialled with the pupil (CS26-02343)</t>
        </is>
      </c>
      <c r="C51" s="133" t="n"/>
      <c r="D51" s="134" t="n"/>
      <c r="E51" s="134" t="n"/>
      <c r="F51" s="134" t="n"/>
      <c r="G51" s="134" t="n"/>
      <c r="H51" s="134" t="n"/>
      <c r="I51" s="134" t="n"/>
      <c r="J51" s="135" t="inlineStr">
        <is>
          <t>Day 44 · Ballintleva NS</t>
        </is>
      </c>
    </row>
    <row r="52" ht="23.25" customHeight="1" s="128">
      <c r="A52" s="132" t="n">
        <v>46154</v>
      </c>
      <c r="B52" s="133" t="inlineStr">
        <is>
          <t>TEP visit: classroom observation; social story written; sharing modelled with SNA and a peer (CS26-02343)</t>
        </is>
      </c>
      <c r="C52" s="133" t="n"/>
      <c r="D52" s="134" t="n"/>
      <c r="E52" s="134" t="n"/>
      <c r="F52" s="134" t="n"/>
      <c r="G52" s="134" t="n"/>
      <c r="H52" s="134" t="n"/>
      <c r="I52" s="134" t="n"/>
      <c r="J52" s="135" t="inlineStr">
        <is>
          <t>Day 45 · Ballintleva NS</t>
        </is>
      </c>
    </row>
    <row r="53" ht="23.25" customHeight="1" s="128">
      <c r="A53" s="132" t="n">
        <v>46155</v>
      </c>
      <c r="B53" s="133" t="inlineStr">
        <is>
          <t>Office day; Ballintleva case write-up and documentation</t>
        </is>
      </c>
      <c r="C53" s="133" t="n"/>
      <c r="D53" s="134" t="n"/>
      <c r="E53" s="134" t="n"/>
      <c r="F53" s="134" t="n"/>
      <c r="G53" s="134" t="n"/>
      <c r="H53" s="134" t="n"/>
      <c r="I53" s="134" t="n"/>
      <c r="J53" s="135" t="inlineStr">
        <is>
          <t>Day 46 · NEPS Roscommon office</t>
        </is>
      </c>
    </row>
    <row r="54" ht="34.5" customHeight="1" s="128">
      <c r="A54" s="132" t="n">
        <v>46156</v>
      </c>
      <c r="B54" s="133" t="inlineStr">
        <is>
          <t>Supervision 10:00; Rockfield report finalised, issued and co-signed (CS26-02159). UCD/MIC trainee group 14:00</t>
        </is>
      </c>
      <c r="C54" s="133" t="n"/>
      <c r="D54" s="134" t="n"/>
      <c r="E54" s="134" t="n"/>
      <c r="F54" s="134" t="n"/>
      <c r="G54" s="134" t="n"/>
      <c r="H54" s="134" t="n"/>
      <c r="I54" s="134" t="n"/>
      <c r="J54" s="135" t="inlineStr">
        <is>
          <t>Day 47 · NEPS Roscommon office</t>
        </is>
      </c>
    </row>
    <row r="55" ht="23.25" customHeight="1" s="128">
      <c r="A55" s="132" t="n">
        <v>46160</v>
      </c>
      <c r="B55" s="133" t="inlineStr">
        <is>
          <t>Remote working day; supervisor at conference. Case documentation and Grange preparation</t>
        </is>
      </c>
      <c r="C55" s="133" t="n"/>
      <c r="D55" s="134" t="n"/>
      <c r="E55" s="134" t="n"/>
      <c r="F55" s="134" t="n"/>
      <c r="G55" s="134" t="n"/>
      <c r="H55" s="134" t="n"/>
      <c r="I55" s="134" t="n"/>
      <c r="J55" s="135" t="inlineStr">
        <is>
          <t>Day 48 · Remote</t>
        </is>
      </c>
    </row>
    <row r="56" ht="23.25" customHeight="1" s="128">
      <c r="A56" s="132" t="n">
        <v>46161</v>
      </c>
      <c r="B56" s="133" t="inlineStr">
        <is>
          <t>Remote preparation for the Grange assessment (CS25-04339)</t>
        </is>
      </c>
      <c r="C56" s="133" t="n"/>
      <c r="D56" s="134" t="n"/>
      <c r="E56" s="134" t="n"/>
      <c r="F56" s="134" t="n"/>
      <c r="G56" s="134" t="n"/>
      <c r="H56" s="134" t="n"/>
      <c r="I56" s="134" t="n"/>
      <c r="J56" s="135" t="inlineStr">
        <is>
          <t>Day 49 · Remote</t>
        </is>
      </c>
    </row>
    <row r="57" ht="34.5" customHeight="1" s="128">
      <c r="A57" s="132" t="n">
        <v>46162</v>
      </c>
      <c r="B57" s="133" t="inlineStr">
        <is>
          <t>Classroom and playground observation; student interview; WIAT-III begun; teacher consultation (CS25-04339)</t>
        </is>
      </c>
      <c r="C57" s="133" t="n"/>
      <c r="D57" s="134" t="n"/>
      <c r="E57" s="134" t="n"/>
      <c r="F57" s="134" t="n"/>
      <c r="G57" s="134" t="n"/>
      <c r="H57" s="134" t="n"/>
      <c r="I57" s="134" t="n"/>
      <c r="J57" s="135" t="inlineStr">
        <is>
          <t>Day 50 · Grange NS, Boyle</t>
        </is>
      </c>
    </row>
    <row r="58" ht="15" customHeight="1" s="128">
      <c r="A58" s="132" t="n">
        <v>46163</v>
      </c>
      <c r="B58" s="133" t="inlineStr">
        <is>
          <t>Grange preparation and write-up (CS25-04339)</t>
        </is>
      </c>
      <c r="C58" s="133" t="n"/>
      <c r="D58" s="134" t="n"/>
      <c r="E58" s="134" t="n"/>
      <c r="F58" s="134" t="n"/>
      <c r="G58" s="134" t="n"/>
      <c r="H58" s="134" t="n"/>
      <c r="I58" s="134" t="n"/>
      <c r="J58" s="135" t="inlineStr">
        <is>
          <t>Day 51 · Remote</t>
        </is>
      </c>
    </row>
    <row r="59" ht="57" customHeight="1" s="128">
      <c r="A59" s="136" t="n">
        <v>46164</v>
      </c>
      <c r="B59" s="137" t="inlineStr">
        <is>
          <t>PENDING — attainment assessment continued; student interview using Blob Tree and How Do You Feel; observations; parent and teacher consultations; SAFEGUARDING DISCLOSURE received and managed (CS25-04339)</t>
        </is>
      </c>
      <c r="C59" s="137" t="n"/>
      <c r="D59" s="134" t="n"/>
      <c r="E59" s="134" t="n"/>
      <c r="F59" s="134" t="n"/>
      <c r="G59" s="134" t="n"/>
      <c r="H59" s="134" t="n"/>
      <c r="I59" s="134" t="n"/>
      <c r="J59" s="135" t="inlineStr">
        <is>
          <t>Day P6 · Grange NS, Boyle</t>
        </is>
      </c>
    </row>
    <row r="60" ht="23.25" customHeight="1" s="128">
      <c r="A60" s="132" t="n">
        <v>46167</v>
      </c>
      <c r="B60" s="133" t="inlineStr">
        <is>
          <t>Online supervision; scanned Grange case files sent to supervisor</t>
        </is>
      </c>
      <c r="C60" s="133" t="n"/>
      <c r="D60" s="134" t="n"/>
      <c r="E60" s="134" t="n"/>
      <c r="F60" s="134" t="n"/>
      <c r="G60" s="134" t="n"/>
      <c r="H60" s="134" t="n"/>
      <c r="I60" s="134" t="n"/>
      <c r="J60" s="135" t="inlineStr">
        <is>
          <t>Day 52 · Remote</t>
        </is>
      </c>
    </row>
    <row r="61" ht="23.25" customHeight="1" s="128">
      <c r="A61" s="132" t="n">
        <v>46168</v>
      </c>
      <c r="B61" s="133" t="inlineStr">
        <is>
          <t>Online supervision; Year 1 TEP check-in 15:00-16:00; parent consultation</t>
        </is>
      </c>
      <c r="C61" s="133" t="n"/>
      <c r="D61" s="134" t="n"/>
      <c r="E61" s="134" t="n"/>
      <c r="F61" s="134" t="n"/>
      <c r="G61" s="134" t="n"/>
      <c r="H61" s="134" t="n"/>
      <c r="I61" s="134" t="n"/>
      <c r="J61" s="135" t="inlineStr">
        <is>
          <t>Day 53 · Remote</t>
        </is>
      </c>
    </row>
    <row r="62" ht="15" customHeight="1" s="128">
      <c r="A62" s="132" t="n">
        <v>46169</v>
      </c>
      <c r="B62" s="133" t="inlineStr">
        <is>
          <t>Grange case write-up (CS25-04339)</t>
        </is>
      </c>
      <c r="C62" s="133" t="n"/>
      <c r="D62" s="134" t="n"/>
      <c r="E62" s="134" t="n"/>
      <c r="F62" s="134" t="n"/>
      <c r="G62" s="134" t="n"/>
      <c r="H62" s="134" t="n"/>
      <c r="I62" s="134" t="n"/>
      <c r="J62" s="135" t="inlineStr">
        <is>
          <t>Day 54 · Remote</t>
        </is>
      </c>
    </row>
    <row r="63" ht="15" customHeight="1" s="128">
      <c r="A63" s="132" t="n">
        <v>46170</v>
      </c>
      <c r="B63" s="133" t="inlineStr">
        <is>
          <t>Grange case work (CS25-04339)</t>
        </is>
      </c>
      <c r="C63" s="133" t="n"/>
      <c r="D63" s="134" t="n"/>
      <c r="E63" s="134" t="n"/>
      <c r="F63" s="134" t="n"/>
      <c r="G63" s="134" t="n"/>
      <c r="H63" s="134" t="n"/>
      <c r="I63" s="134" t="n"/>
      <c r="J63" s="135" t="inlineStr">
        <is>
          <t>Day 55 · Remote</t>
        </is>
      </c>
    </row>
    <row r="64" ht="23.25" customHeight="1" s="128">
      <c r="A64" s="132" t="n">
        <v>46175</v>
      </c>
      <c r="B64" s="133" t="inlineStr">
        <is>
          <t>Grange case review with supervisor (Teams) 09:00-11:00; consultation record issued (CS25-04339)</t>
        </is>
      </c>
      <c r="C64" s="133" t="n"/>
      <c r="D64" s="134" t="n"/>
      <c r="E64" s="134" t="n"/>
      <c r="F64" s="134" t="n"/>
      <c r="G64" s="134" t="n"/>
      <c r="H64" s="134" t="n"/>
      <c r="I64" s="134" t="n"/>
      <c r="J64" s="135" t="inlineStr">
        <is>
          <t>Day 56 · Remote</t>
        </is>
      </c>
    </row>
    <row r="65" ht="15" customHeight="1" s="128">
      <c r="A65" s="132" t="n">
        <v>46176</v>
      </c>
      <c r="B65" s="133" t="inlineStr">
        <is>
          <t>Grange case work (CS25-04339)</t>
        </is>
      </c>
      <c r="C65" s="133" t="n"/>
      <c r="D65" s="134" t="n"/>
      <c r="E65" s="134" t="n"/>
      <c r="F65" s="134" t="n"/>
      <c r="G65" s="134" t="n"/>
      <c r="H65" s="134" t="n"/>
      <c r="I65" s="134" t="n"/>
      <c r="J65" s="135" t="inlineStr">
        <is>
          <t>Day 57 · Remote</t>
        </is>
      </c>
    </row>
    <row r="66" ht="15" customHeight="1" s="128">
      <c r="A66" s="132" t="n">
        <v>46177</v>
      </c>
      <c r="B66" s="133" t="inlineStr">
        <is>
          <t>CAMHS talk 10:00-15:00. Year 1 check-in 15:30</t>
        </is>
      </c>
      <c r="C66" s="133" t="n"/>
      <c r="D66" s="134" t="n"/>
      <c r="E66" s="134" t="n"/>
      <c r="F66" s="134" t="n"/>
      <c r="G66" s="134" t="n"/>
      <c r="H66" s="134" t="n"/>
      <c r="I66" s="134" t="n"/>
      <c r="J66" s="135" t="inlineStr">
        <is>
          <t>Day 58 · Remote</t>
        </is>
      </c>
    </row>
    <row r="67" ht="45.75" customHeight="1" s="128">
      <c r="A67" s="132" t="n">
        <v>46181</v>
      </c>
      <c r="B67" s="133" t="inlineStr">
        <is>
          <t>Classroom and playground observations; student, parent and teacher consultations conducted THROUGH AN INTERPRETER (CS26-02799). 09:30-16:00</t>
        </is>
      </c>
      <c r="C67" s="133" t="n"/>
      <c r="D67" s="134" t="n"/>
      <c r="E67" s="134" t="n"/>
      <c r="F67" s="134" t="n"/>
      <c r="G67" s="134" t="n"/>
      <c r="H67" s="134" t="n"/>
      <c r="I67" s="134" t="n"/>
      <c r="J67" s="135" t="inlineStr">
        <is>
          <t>Day 59 · S.N. Paroisteach (Boyle Parochial)</t>
        </is>
      </c>
    </row>
    <row r="68" ht="23.25" customHeight="1" s="128">
      <c r="A68" s="132" t="n">
        <v>46182</v>
      </c>
      <c r="B68" s="133" t="inlineStr">
        <is>
          <t>Follow-up with school (CS26-02799); meeting with senior psychologist</t>
        </is>
      </c>
      <c r="C68" s="133" t="n"/>
      <c r="D68" s="134" t="n"/>
      <c r="E68" s="134" t="n"/>
      <c r="F68" s="134" t="n"/>
      <c r="G68" s="134" t="n"/>
      <c r="H68" s="134" t="n"/>
      <c r="I68" s="134" t="n"/>
      <c r="J68" s="135" t="inlineStr">
        <is>
          <t>Day 60 · Remote</t>
        </is>
      </c>
    </row>
    <row r="69" ht="34.5" customHeight="1" s="128">
      <c r="A69" s="132" t="n">
        <v>46183</v>
      </c>
      <c r="B69" s="133" t="inlineStr">
        <is>
          <t>Supervision 09:30. Student consultation; Student Support File review; psycho-educational input; attainment assessment (CS26-02799)</t>
        </is>
      </c>
      <c r="C69" s="133" t="n"/>
      <c r="D69" s="134" t="n"/>
      <c r="E69" s="134" t="n"/>
      <c r="F69" s="134" t="n"/>
      <c r="G69" s="134" t="n"/>
      <c r="H69" s="134" t="n"/>
      <c r="I69" s="134" t="n"/>
      <c r="J69" s="135" t="inlineStr">
        <is>
          <t>Day 61 · S.N. Paroisteach (Boyle Parochial)</t>
        </is>
      </c>
    </row>
    <row r="70" ht="15" customHeight="1" s="128">
      <c r="A70" s="132" t="n">
        <v>46184</v>
      </c>
      <c r="B70" s="133" t="inlineStr">
        <is>
          <t>Remote working day</t>
        </is>
      </c>
      <c r="C70" s="133" t="n"/>
      <c r="D70" s="134" t="n"/>
      <c r="E70" s="134" t="n"/>
      <c r="F70" s="134" t="n"/>
      <c r="G70" s="134" t="n"/>
      <c r="H70" s="134" t="n"/>
      <c r="I70" s="134" t="n"/>
      <c r="J70" s="135" t="inlineStr">
        <is>
          <t>Day 62 · Remote</t>
        </is>
      </c>
    </row>
    <row r="71" ht="45.75" customHeight="1" s="128">
      <c r="A71" s="132" t="n">
        <v>46188</v>
      </c>
      <c r="B71" s="133" t="inlineStr">
        <is>
          <t>WISC-V administered and interpreted WITH CULTURAL AND LINGUISTIC CAUTION; attainment assessment; teacher consultation; report drafting (CS26-02799)</t>
        </is>
      </c>
      <c r="C71" s="133" t="n"/>
      <c r="D71" s="134" t="n"/>
      <c r="E71" s="134" t="n"/>
      <c r="F71" s="134" t="n"/>
      <c r="G71" s="134" t="n"/>
      <c r="H71" s="134" t="n"/>
      <c r="I71" s="134" t="n"/>
      <c r="J71" s="135" t="inlineStr">
        <is>
          <t>Day 63 · S.N. Paroisteach (Boyle Parochial)</t>
        </is>
      </c>
    </row>
    <row r="72" ht="23.25" customHeight="1" s="128">
      <c r="A72" s="132" t="n">
        <v>46189</v>
      </c>
      <c r="B72" s="133" t="inlineStr">
        <is>
          <t>Playground observation; attainment assessment; parent consultation (CS25-04339). 09:00-14:00</t>
        </is>
      </c>
      <c r="C72" s="133" t="n"/>
      <c r="D72" s="134" t="n"/>
      <c r="E72" s="134" t="n"/>
      <c r="F72" s="134" t="n"/>
      <c r="G72" s="134" t="n"/>
      <c r="H72" s="134" t="n"/>
      <c r="I72" s="134" t="n"/>
      <c r="J72" s="135" t="inlineStr">
        <is>
          <t>Day 64 · Grange NS, Boyle</t>
        </is>
      </c>
    </row>
    <row r="73" ht="15" customHeight="1" s="128">
      <c r="A73" s="132" t="n">
        <v>46190</v>
      </c>
      <c r="B73" s="133" t="inlineStr">
        <is>
          <t>Remote working day</t>
        </is>
      </c>
      <c r="C73" s="133" t="n"/>
      <c r="D73" s="134" t="n"/>
      <c r="E73" s="134" t="n"/>
      <c r="F73" s="134" t="n"/>
      <c r="G73" s="134" t="n"/>
      <c r="H73" s="134" t="n"/>
      <c r="I73" s="134" t="n"/>
      <c r="J73" s="135" t="inlineStr">
        <is>
          <t>Day 65 · Remote</t>
        </is>
      </c>
    </row>
    <row r="74" ht="34.5" customHeight="1" s="128">
      <c r="A74" s="132" t="n">
        <v>46191</v>
      </c>
      <c r="B74" s="133" t="inlineStr">
        <is>
          <t>Joint parent and teacher TRANSITION consultation with the SEN coordinator from Abbey Community School (CS25-04339). 09:00-11:00</t>
        </is>
      </c>
      <c r="C74" s="133" t="n"/>
      <c r="D74" s="134" t="n"/>
      <c r="E74" s="134" t="n"/>
      <c r="F74" s="134" t="n"/>
      <c r="G74" s="134" t="n"/>
      <c r="H74" s="134" t="n"/>
      <c r="I74" s="134" t="n"/>
      <c r="J74" s="135" t="inlineStr">
        <is>
          <t>Day 66 · Grange NS, Boyle</t>
        </is>
      </c>
    </row>
    <row r="75" ht="34.5" customHeight="1" s="128">
      <c r="A75" s="132" t="n">
        <v>46195</v>
      </c>
      <c r="B75" s="133" t="inlineStr">
        <is>
          <t>Feedback consultations with parent, teacher and student; report prepared for issue IN UKRAINIAN (CS26-02799)</t>
        </is>
      </c>
      <c r="C75" s="133" t="n"/>
      <c r="D75" s="134" t="n"/>
      <c r="E75" s="134" t="n"/>
      <c r="F75" s="134" t="n"/>
      <c r="G75" s="134" t="n"/>
      <c r="H75" s="134" t="n"/>
      <c r="I75" s="134" t="n"/>
      <c r="J75" s="135" t="inlineStr">
        <is>
          <t>Day 67 · S.N. Paroisteach (Boyle Parochial)</t>
        </is>
      </c>
    </row>
    <row r="76" ht="23.25" customHeight="1" s="128">
      <c r="A76" s="132" t="n">
        <v>46196</v>
      </c>
      <c r="B76" s="133" t="inlineStr">
        <is>
          <t>In-person supervision 10:00; case log emailed to supervisor</t>
        </is>
      </c>
      <c r="C76" s="133" t="n"/>
      <c r="D76" s="134" t="n"/>
      <c r="E76" s="134" t="n"/>
      <c r="F76" s="134" t="n"/>
      <c r="G76" s="134" t="n"/>
      <c r="H76" s="134" t="n"/>
      <c r="I76" s="134" t="n"/>
      <c r="J76" s="135" t="inlineStr">
        <is>
          <t>Day 68 · NEPS Roscommon office</t>
        </is>
      </c>
    </row>
    <row r="77" ht="15" customHeight="1" s="128">
      <c r="A77" s="132" t="n">
        <v>46197</v>
      </c>
      <c r="B77" s="133" t="inlineStr">
        <is>
          <t>Remote working day</t>
        </is>
      </c>
      <c r="C77" s="133" t="n"/>
      <c r="D77" s="134" t="n"/>
      <c r="E77" s="134" t="n"/>
      <c r="F77" s="134" t="n"/>
      <c r="G77" s="134" t="n"/>
      <c r="H77" s="134" t="n"/>
      <c r="I77" s="134" t="n"/>
      <c r="J77" s="135" t="inlineStr">
        <is>
          <t>Day 69 · Remote</t>
        </is>
      </c>
    </row>
    <row r="78" ht="23.25" customHeight="1" s="128">
      <c r="A78" s="132" t="n">
        <v>46198</v>
      </c>
      <c r="B78" s="133" t="inlineStr">
        <is>
          <t>Remote working day — case planning and documentation</t>
        </is>
      </c>
      <c r="C78" s="133" t="n"/>
      <c r="D78" s="134" t="n"/>
      <c r="E78" s="134" t="n"/>
      <c r="F78" s="134" t="n"/>
      <c r="G78" s="134" t="n"/>
      <c r="H78" s="134" t="n"/>
      <c r="I78" s="134" t="n"/>
      <c r="J78" s="135" t="inlineStr">
        <is>
          <t>Day 70 · Remote</t>
        </is>
      </c>
    </row>
    <row r="79" ht="23.25" customHeight="1" s="128">
      <c r="A79" s="132" t="n">
        <v>46202</v>
      </c>
      <c r="B79" s="133" t="inlineStr">
        <is>
          <t>Report writing and case review. NCSE team meeting 11:00-13:00</t>
        </is>
      </c>
      <c r="C79" s="133" t="n"/>
      <c r="D79" s="134" t="n"/>
      <c r="E79" s="134" t="n"/>
      <c r="F79" s="134" t="n"/>
      <c r="G79" s="134" t="n"/>
      <c r="H79" s="134" t="n"/>
      <c r="I79" s="134" t="n"/>
      <c r="J79" s="135" t="inlineStr">
        <is>
          <t>Day 71 · NEPS Roscommon office</t>
        </is>
      </c>
    </row>
    <row r="80" ht="23.25" customHeight="1" s="128">
      <c r="A80" s="132" t="n">
        <v>46203</v>
      </c>
      <c r="B80" s="133" t="inlineStr">
        <is>
          <t>Office am. Report writing with supervisor 13:00; Grange case files compiled</t>
        </is>
      </c>
      <c r="C80" s="133" t="n"/>
      <c r="D80" s="134" t="n"/>
      <c r="E80" s="134" t="n"/>
      <c r="F80" s="134" t="n"/>
      <c r="G80" s="134" t="n"/>
      <c r="H80" s="134" t="n"/>
      <c r="I80" s="134" t="n"/>
      <c r="J80" s="135" t="inlineStr">
        <is>
          <t>Day 72 · NEPS Roscommon office, then remote</t>
        </is>
      </c>
    </row>
    <row r="81" ht="15" customHeight="1" s="128">
      <c r="A81" s="132" t="n">
        <v>46204</v>
      </c>
      <c r="B81" s="133" t="inlineStr">
        <is>
          <t>Report finalisation for the Grange and Boyle cases</t>
        </is>
      </c>
      <c r="C81" s="133" t="n"/>
      <c r="D81" s="134" t="n"/>
      <c r="E81" s="134" t="n"/>
      <c r="F81" s="134" t="n"/>
      <c r="G81" s="134" t="n"/>
      <c r="H81" s="134" t="n"/>
      <c r="I81" s="134" t="n"/>
      <c r="J81" s="135" t="inlineStr">
        <is>
          <t>Day 73 · Remote</t>
        </is>
      </c>
    </row>
    <row r="82" ht="23.25" customHeight="1" s="128">
      <c r="A82" s="132" t="n">
        <v>46205</v>
      </c>
      <c r="B82" s="133" t="inlineStr">
        <is>
          <t>Supervision (Teams) 11:00; supervision — report writing 14:30</t>
        </is>
      </c>
      <c r="C82" s="133" t="n"/>
      <c r="D82" s="134" t="n"/>
      <c r="E82" s="134" t="n"/>
      <c r="F82" s="134" t="n"/>
      <c r="G82" s="134" t="n"/>
      <c r="H82" s="134" t="n"/>
      <c r="I82" s="134" t="n"/>
      <c r="J82" s="135" t="inlineStr">
        <is>
          <t>Day 74 · Remote</t>
        </is>
      </c>
    </row>
    <row r="83" ht="23.25" customHeight="1" s="128">
      <c r="A83" s="132" t="n">
        <v>46209</v>
      </c>
      <c r="B83" s="133" t="inlineStr">
        <is>
          <t>Supervision — report writing (Teams) 10:00  ***75-DAY MINIMUM REACHED***</t>
        </is>
      </c>
      <c r="C83" s="133" t="n"/>
      <c r="D83" s="134" t="n"/>
      <c r="E83" s="134" t="n"/>
      <c r="F83" s="134" t="n"/>
      <c r="G83" s="134" t="n"/>
      <c r="H83" s="134" t="n"/>
      <c r="I83" s="134" t="n"/>
      <c r="J83" s="135" t="inlineStr">
        <is>
          <t>Day 75 · Remote</t>
        </is>
      </c>
    </row>
    <row r="84" ht="15" customHeight="1" s="128">
      <c r="A84" s="132" t="n">
        <v>46210</v>
      </c>
      <c r="B84" s="133" t="inlineStr">
        <is>
          <t>Supervision (Teams) 10:30-11:30</t>
        </is>
      </c>
      <c r="C84" s="133" t="n"/>
      <c r="D84" s="134" t="n"/>
      <c r="E84" s="134" t="n"/>
      <c r="F84" s="134" t="n"/>
      <c r="G84" s="134" t="n"/>
      <c r="H84" s="134" t="n"/>
      <c r="I84" s="134" t="n"/>
      <c r="J84" s="135" t="inlineStr">
        <is>
          <t>Day 76 · Remote</t>
        </is>
      </c>
    </row>
    <row r="85" ht="15" customHeight="1" s="128">
      <c r="A85" s="132" t="n">
        <v>46211</v>
      </c>
      <c r="B85" s="133" t="inlineStr">
        <is>
          <t>Supervision (Teams) 10:00-11:00</t>
        </is>
      </c>
      <c r="C85" s="133" t="n"/>
      <c r="D85" s="134" t="n"/>
      <c r="E85" s="134" t="n"/>
      <c r="F85" s="134" t="n"/>
      <c r="G85" s="134" t="n"/>
      <c r="H85" s="134" t="n"/>
      <c r="I85" s="134" t="n"/>
      <c r="J85" s="135" t="inlineStr">
        <is>
          <t>Day 77 · Remote</t>
        </is>
      </c>
    </row>
    <row r="86" ht="23.25" customHeight="1" s="128">
      <c r="A86" s="132" t="n">
        <v>46212</v>
      </c>
      <c r="B86" s="133" t="inlineStr">
        <is>
          <t>Supervision (Teams) 14:00-15:00. Placement closing documentation</t>
        </is>
      </c>
      <c r="C86" s="133" t="n"/>
      <c r="D86" s="134" t="n"/>
      <c r="E86" s="134" t="n"/>
      <c r="F86" s="134" t="n"/>
      <c r="G86" s="134" t="n"/>
      <c r="H86" s="134" t="n"/>
      <c r="I86" s="134" t="n"/>
      <c r="J86" s="135" t="inlineStr">
        <is>
          <t>Day 78 · Remote</t>
        </is>
      </c>
    </row>
    <row r="87" ht="15" customHeight="1" s="128">
      <c r="A87" s="138" t="n"/>
      <c r="B87" s="134" t="n"/>
      <c r="C87" s="134" t="n"/>
      <c r="D87" s="134" t="n"/>
      <c r="E87" s="134" t="n"/>
      <c r="F87" s="134" t="n"/>
      <c r="G87" s="134" t="n"/>
      <c r="H87" s="134" t="n"/>
      <c r="I87" s="134" t="n"/>
      <c r="J87" s="139">
        <f>IF($A87="","",TEXT($A87,"DD/MM/YYYY")&amp;"  —  "&amp;$B87&amp;IF($E87="",""," [Referral: "&amp;$E87&amp;"]")&amp;IF($G87="",""," [Competency: "&amp;$G87&amp;"]")&amp;IF($C87="",""," How it developed the skill: "&amp;$C87))</f>
        <v/>
      </c>
    </row>
    <row r="88" ht="15" customHeight="1" s="128">
      <c r="A88" s="138" t="n"/>
      <c r="B88" s="134" t="n"/>
      <c r="C88" s="134" t="n"/>
      <c r="D88" s="134" t="n"/>
      <c r="E88" s="134" t="n"/>
      <c r="F88" s="134" t="n"/>
      <c r="G88" s="134" t="n"/>
      <c r="H88" s="134" t="n"/>
      <c r="I88" s="134" t="n"/>
      <c r="J88" s="139">
        <f>IF($A88="","",TEXT($A88,"DD/MM/YYYY")&amp;"  —  "&amp;$B88&amp;IF($E88="",""," [Referral: "&amp;$E88&amp;"]")&amp;IF($G88="",""," [Competency: "&amp;$G88&amp;"]")&amp;IF($C88="",""," How it developed the skill: "&amp;$C88))</f>
        <v/>
      </c>
    </row>
    <row r="89" ht="15" customHeight="1" s="128">
      <c r="A89" s="138" t="n"/>
      <c r="B89" s="134" t="n"/>
      <c r="C89" s="134" t="n"/>
      <c r="D89" s="134" t="n"/>
      <c r="E89" s="134" t="n"/>
      <c r="F89" s="134" t="n"/>
      <c r="G89" s="134" t="n"/>
      <c r="H89" s="134" t="n"/>
      <c r="I89" s="134" t="n"/>
      <c r="J89" s="139">
        <f>IF($A89="","",TEXT($A89,"DD/MM/YYYY")&amp;"  —  "&amp;$B89&amp;IF($E89="",""," [Referral: "&amp;$E89&amp;"]")&amp;IF($G89="",""," [Competency: "&amp;$G89&amp;"]")&amp;IF($C89="",""," How it developed the skill: "&amp;$C89))</f>
        <v/>
      </c>
    </row>
    <row r="90" ht="15" customHeight="1" s="128">
      <c r="A90" s="138" t="n"/>
      <c r="B90" s="134" t="n"/>
      <c r="C90" s="134" t="n"/>
      <c r="D90" s="134" t="n"/>
      <c r="E90" s="134" t="n"/>
      <c r="F90" s="134" t="n"/>
      <c r="G90" s="134" t="n"/>
      <c r="H90" s="134" t="n"/>
      <c r="I90" s="134" t="n"/>
      <c r="J90" s="139">
        <f>IF($A90="","",TEXT($A90,"DD/MM/YYYY")&amp;"  —  "&amp;$B90&amp;IF($E90="",""," [Referral: "&amp;$E90&amp;"]")&amp;IF($G90="",""," [Competency: "&amp;$G90&amp;"]")&amp;IF($C90="",""," How it developed the skill: "&amp;$C90))</f>
        <v/>
      </c>
    </row>
    <row r="91" ht="15" customHeight="1" s="128">
      <c r="A91" s="138" t="n"/>
      <c r="B91" s="134" t="n"/>
      <c r="C91" s="134" t="n"/>
      <c r="D91" s="134" t="n"/>
      <c r="E91" s="134" t="n"/>
      <c r="F91" s="134" t="n"/>
      <c r="G91" s="134" t="n"/>
      <c r="H91" s="134" t="n"/>
      <c r="I91" s="134" t="n"/>
      <c r="J91" s="139">
        <f>IF($A91="","",TEXT($A91,"DD/MM/YYYY")&amp;"  —  "&amp;$B91&amp;IF($E91="",""," [Referral: "&amp;$E91&amp;"]")&amp;IF($G91="",""," [Competency: "&amp;$G91&amp;"]")&amp;IF($C91="",""," How it developed the skill: "&amp;$C91))</f>
        <v/>
      </c>
    </row>
    <row r="92" ht="15" customHeight="1" s="128">
      <c r="A92" s="138" t="n"/>
      <c r="B92" s="134" t="n"/>
      <c r="C92" s="134" t="n"/>
      <c r="D92" s="134" t="n"/>
      <c r="E92" s="134" t="n"/>
      <c r="F92" s="134" t="n"/>
      <c r="G92" s="134" t="n"/>
      <c r="H92" s="134" t="n"/>
      <c r="I92" s="134" t="n"/>
      <c r="J92" s="139">
        <f>IF($A92="","",TEXT($A92,"DD/MM/YYYY")&amp;"  —  "&amp;$B92&amp;IF($E92="",""," [Referral: "&amp;$E92&amp;"]")&amp;IF($G92="",""," [Competency: "&amp;$G92&amp;"]")&amp;IF($C92="",""," How it developed the skill: "&amp;$C92))</f>
        <v/>
      </c>
    </row>
    <row r="93" ht="15" customHeight="1" s="128">
      <c r="A93" s="138" t="n"/>
      <c r="B93" s="134" t="n"/>
      <c r="C93" s="134" t="n"/>
      <c r="D93" s="134" t="n"/>
      <c r="E93" s="134" t="n"/>
      <c r="F93" s="134" t="n"/>
      <c r="G93" s="134" t="n"/>
      <c r="H93" s="134" t="n"/>
      <c r="I93" s="134" t="n"/>
      <c r="J93" s="139">
        <f>IF($A93="","",TEXT($A93,"DD/MM/YYYY")&amp;"  —  "&amp;$B93&amp;IF($E93="",""," [Referral: "&amp;$E93&amp;"]")&amp;IF($G93="",""," [Competency: "&amp;$G93&amp;"]")&amp;IF($C93="",""," How it developed the skill: "&amp;$C93))</f>
        <v/>
      </c>
    </row>
    <row r="94" ht="15" customHeight="1" s="128">
      <c r="A94" s="138" t="n"/>
      <c r="B94" s="134" t="n"/>
      <c r="C94" s="134" t="n"/>
      <c r="D94" s="134" t="n"/>
      <c r="E94" s="134" t="n"/>
      <c r="F94" s="134" t="n"/>
      <c r="G94" s="134" t="n"/>
      <c r="H94" s="134" t="n"/>
      <c r="I94" s="134" t="n"/>
      <c r="J94" s="139">
        <f>IF($A94="","",TEXT($A94,"DD/MM/YYYY")&amp;"  —  "&amp;$B94&amp;IF($E94="",""," [Referral: "&amp;$E94&amp;"]")&amp;IF($G94="",""," [Competency: "&amp;$G94&amp;"]")&amp;IF($C94="",""," How it developed the skill: "&amp;$C94))</f>
        <v/>
      </c>
    </row>
    <row r="95" ht="15" customHeight="1" s="128">
      <c r="A95" s="138" t="n"/>
      <c r="B95" s="134" t="n"/>
      <c r="C95" s="134" t="n"/>
      <c r="D95" s="134" t="n"/>
      <c r="E95" s="134" t="n"/>
      <c r="F95" s="134" t="n"/>
      <c r="G95" s="134" t="n"/>
      <c r="H95" s="134" t="n"/>
      <c r="I95" s="134" t="n"/>
      <c r="J95" s="139">
        <f>IF($A95="","",TEXT($A95,"DD/MM/YYYY")&amp;"  —  "&amp;$B95&amp;IF($E95="",""," [Referral: "&amp;$E95&amp;"]")&amp;IF($G95="",""," [Competency: "&amp;$G95&amp;"]")&amp;IF($C95="",""," How it developed the skill: "&amp;$C95))</f>
        <v/>
      </c>
    </row>
    <row r="96" ht="15" customHeight="1" s="128">
      <c r="A96" s="138" t="n"/>
      <c r="B96" s="134" t="n"/>
      <c r="C96" s="134" t="n"/>
      <c r="D96" s="134" t="n"/>
      <c r="E96" s="134" t="n"/>
      <c r="F96" s="134" t="n"/>
      <c r="G96" s="134" t="n"/>
      <c r="H96" s="134" t="n"/>
      <c r="I96" s="134" t="n"/>
      <c r="J96" s="139">
        <f>IF($A96="","",TEXT($A96,"DD/MM/YYYY")&amp;"  —  "&amp;$B96&amp;IF($E96="",""," [Referral: "&amp;$E96&amp;"]")&amp;IF($G96="",""," [Competency: "&amp;$G96&amp;"]")&amp;IF($C96="",""," How it developed the skill: "&amp;$C96))</f>
        <v/>
      </c>
    </row>
    <row r="97" ht="15" customHeight="1" s="128">
      <c r="A97" s="138" t="n"/>
      <c r="B97" s="134" t="n"/>
      <c r="C97" s="134" t="n"/>
      <c r="D97" s="134" t="n"/>
      <c r="E97" s="134" t="n"/>
      <c r="F97" s="134" t="n"/>
      <c r="G97" s="134" t="n"/>
      <c r="H97" s="134" t="n"/>
      <c r="I97" s="134" t="n"/>
      <c r="J97" s="139">
        <f>IF($A97="","",TEXT($A97,"DD/MM/YYYY")&amp;"  —  "&amp;$B97&amp;IF($E97="",""," [Referral: "&amp;$E97&amp;"]")&amp;IF($G97="",""," [Competency: "&amp;$G97&amp;"]")&amp;IF($C97="",""," How it developed the skill: "&amp;$C97))</f>
        <v/>
      </c>
    </row>
    <row r="98" ht="15" customHeight="1" s="128">
      <c r="A98" s="138" t="n"/>
      <c r="B98" s="134" t="n"/>
      <c r="C98" s="134" t="n"/>
      <c r="D98" s="134" t="n"/>
      <c r="E98" s="134" t="n"/>
      <c r="F98" s="134" t="n"/>
      <c r="G98" s="134" t="n"/>
      <c r="H98" s="134" t="n"/>
      <c r="I98" s="134" t="n"/>
      <c r="J98" s="139">
        <f>IF($A98="","",TEXT($A98,"DD/MM/YYYY")&amp;"  —  "&amp;$B98&amp;IF($E98="",""," [Referral: "&amp;$E98&amp;"]")&amp;IF($G98="",""," [Competency: "&amp;$G98&amp;"]")&amp;IF($C98="",""," How it developed the skill: "&amp;$C98))</f>
        <v/>
      </c>
    </row>
    <row r="99" ht="15" customHeight="1" s="128">
      <c r="A99" s="138" t="n"/>
      <c r="B99" s="134" t="n"/>
      <c r="C99" s="134" t="n"/>
      <c r="D99" s="134" t="n"/>
      <c r="E99" s="134" t="n"/>
      <c r="F99" s="134" t="n"/>
      <c r="G99" s="134" t="n"/>
      <c r="H99" s="134" t="n"/>
      <c r="I99" s="134" t="n"/>
      <c r="J99" s="139">
        <f>IF($A99="","",TEXT($A99,"DD/MM/YYYY")&amp;"  —  "&amp;$B99&amp;IF($E99="",""," [Referral: "&amp;$E99&amp;"]")&amp;IF($G99="",""," [Competency: "&amp;$G99&amp;"]")&amp;IF($C99="",""," How it developed the skill: "&amp;$C99))</f>
        <v/>
      </c>
    </row>
    <row r="100" ht="15" customHeight="1" s="128">
      <c r="A100" s="138" t="n"/>
      <c r="B100" s="134" t="n"/>
      <c r="C100" s="134" t="n"/>
      <c r="D100" s="134" t="n"/>
      <c r="E100" s="134" t="n"/>
      <c r="F100" s="134" t="n"/>
      <c r="G100" s="134" t="n"/>
      <c r="H100" s="134" t="n"/>
      <c r="I100" s="134" t="n"/>
      <c r="J100" s="139">
        <f>IF($A100="","",TEXT($A100,"DD/MM/YYYY")&amp;"  —  "&amp;$B100&amp;IF($E100="",""," [Referral: "&amp;$E100&amp;"]")&amp;IF($G100="",""," [Competency: "&amp;$G100&amp;"]")&amp;IF($C100="",""," How it developed the skill: "&amp;$C100))</f>
        <v/>
      </c>
    </row>
    <row r="101" ht="15" customHeight="1" s="128">
      <c r="A101" s="138" t="n"/>
      <c r="B101" s="134" t="n"/>
      <c r="C101" s="134" t="n"/>
      <c r="D101" s="134" t="n"/>
      <c r="E101" s="134" t="n"/>
      <c r="F101" s="134" t="n"/>
      <c r="G101" s="134" t="n"/>
      <c r="H101" s="134" t="n"/>
      <c r="I101" s="134" t="n"/>
      <c r="J101" s="139">
        <f>IF($A101="","",TEXT($A101,"DD/MM/YYYY")&amp;"  —  "&amp;$B101&amp;IF($E101="",""," [Referral: "&amp;$E101&amp;"]")&amp;IF($G101="",""," [Competency: "&amp;$G101&amp;"]")&amp;IF($C101="",""," How it developed the skill: "&amp;$C101))</f>
        <v/>
      </c>
    </row>
    <row r="102" ht="15" customHeight="1" s="128">
      <c r="A102" s="138" t="n"/>
      <c r="B102" s="134" t="n"/>
      <c r="C102" s="134" t="n"/>
      <c r="D102" s="134" t="n"/>
      <c r="E102" s="134" t="n"/>
      <c r="F102" s="134" t="n"/>
      <c r="G102" s="134" t="n"/>
      <c r="H102" s="134" t="n"/>
      <c r="I102" s="134" t="n"/>
      <c r="J102" s="139">
        <f>IF($A102="","",TEXT($A102,"DD/MM/YYYY")&amp;"  —  "&amp;$B102&amp;IF($E102="",""," [Referral: "&amp;$E102&amp;"]")&amp;IF($G102="",""," [Competency: "&amp;$G102&amp;"]")&amp;IF($C102="",""," How it developed the skill: "&amp;$C102))</f>
        <v/>
      </c>
    </row>
    <row r="103" ht="15" customHeight="1" s="128">
      <c r="A103" s="138" t="n"/>
      <c r="B103" s="134" t="n"/>
      <c r="C103" s="134" t="n"/>
      <c r="D103" s="134" t="n"/>
      <c r="E103" s="134" t="n"/>
      <c r="F103" s="134" t="n"/>
      <c r="G103" s="134" t="n"/>
      <c r="H103" s="134" t="n"/>
      <c r="I103" s="134" t="n"/>
      <c r="J103" s="139">
        <f>IF($A103="","",TEXT($A103,"DD/MM/YYYY")&amp;"  —  "&amp;$B103&amp;IF($E103="",""," [Referral: "&amp;$E103&amp;"]")&amp;IF($G103="",""," [Competency: "&amp;$G103&amp;"]")&amp;IF($C103="",""," How it developed the skill: "&amp;$C103))</f>
        <v/>
      </c>
    </row>
    <row r="104" ht="15" customHeight="1" s="128">
      <c r="A104" s="138" t="n"/>
      <c r="B104" s="134" t="n"/>
      <c r="C104" s="134" t="n"/>
      <c r="D104" s="134" t="n"/>
      <c r="E104" s="134" t="n"/>
      <c r="F104" s="134" t="n"/>
      <c r="G104" s="134" t="n"/>
      <c r="H104" s="134" t="n"/>
      <c r="I104" s="134" t="n"/>
      <c r="J104" s="139">
        <f>IF($A104="","",TEXT($A104,"DD/MM/YYYY")&amp;"  —  "&amp;$B104&amp;IF($E104="",""," [Referral: "&amp;$E104&amp;"]")&amp;IF($G104="",""," [Competency: "&amp;$G104&amp;"]")&amp;IF($C104="",""," How it developed the skill: "&amp;$C104))</f>
        <v/>
      </c>
    </row>
    <row r="105" ht="15" customHeight="1" s="128">
      <c r="A105" s="138" t="n"/>
      <c r="B105" s="134" t="n"/>
      <c r="C105" s="134" t="n"/>
      <c r="D105" s="134" t="n"/>
      <c r="E105" s="134" t="n"/>
      <c r="F105" s="134" t="n"/>
      <c r="G105" s="134" t="n"/>
      <c r="H105" s="134" t="n"/>
      <c r="I105" s="134" t="n"/>
      <c r="J105" s="139">
        <f>IF($A105="","",TEXT($A105,"DD/MM/YYYY")&amp;"  —  "&amp;$B105&amp;IF($E105="",""," [Referral: "&amp;$E105&amp;"]")&amp;IF($G105="",""," [Competency: "&amp;$G105&amp;"]")&amp;IF($C105="",""," How it developed the skill: "&amp;$C105))</f>
        <v/>
      </c>
    </row>
    <row r="106" ht="15" customHeight="1" s="128">
      <c r="A106" s="138" t="n"/>
      <c r="B106" s="134" t="n"/>
      <c r="C106" s="134" t="n"/>
      <c r="D106" s="134" t="n"/>
      <c r="E106" s="134" t="n"/>
      <c r="F106" s="134" t="n"/>
      <c r="G106" s="134" t="n"/>
      <c r="H106" s="134" t="n"/>
      <c r="I106" s="134" t="n"/>
      <c r="J106" s="139">
        <f>IF($A106="","",TEXT($A106,"DD/MM/YYYY")&amp;"  —  "&amp;$B106&amp;IF($E106="",""," [Referral: "&amp;$E106&amp;"]")&amp;IF($G106="",""," [Competency: "&amp;$G106&amp;"]")&amp;IF($C106="",""," How it developed the skill: "&amp;$C106))</f>
        <v/>
      </c>
    </row>
    <row r="107" ht="15" customHeight="1" s="128">
      <c r="A107" s="138" t="n"/>
      <c r="B107" s="134" t="n"/>
      <c r="C107" s="134" t="n"/>
      <c r="D107" s="134" t="n"/>
      <c r="E107" s="134" t="n"/>
      <c r="F107" s="134" t="n"/>
      <c r="G107" s="134" t="n"/>
      <c r="H107" s="134" t="n"/>
      <c r="I107" s="134" t="n"/>
      <c r="J107" s="139">
        <f>IF($A107="","",TEXT($A107,"DD/MM/YYYY")&amp;"  —  "&amp;$B107&amp;IF($E107="",""," [Referral: "&amp;$E107&amp;"]")&amp;IF($G107="",""," [Competency: "&amp;$G107&amp;"]")&amp;IF($C107="",""," How it developed the skill: "&amp;$C107))</f>
        <v/>
      </c>
    </row>
    <row r="108" ht="15" customHeight="1" s="128">
      <c r="A108" s="138" t="n"/>
      <c r="B108" s="134" t="n"/>
      <c r="C108" s="134" t="n"/>
      <c r="D108" s="134" t="n"/>
      <c r="E108" s="134" t="n"/>
      <c r="F108" s="134" t="n"/>
      <c r="G108" s="134" t="n"/>
      <c r="H108" s="134" t="n"/>
      <c r="I108" s="134" t="n"/>
      <c r="J108" s="139">
        <f>IF($A108="","",TEXT($A108,"DD/MM/YYYY")&amp;"  —  "&amp;$B108&amp;IF($E108="",""," [Referral: "&amp;$E108&amp;"]")&amp;IF($G108="",""," [Competency: "&amp;$G108&amp;"]")&amp;IF($C108="",""," How it developed the skill: "&amp;$C108))</f>
        <v/>
      </c>
    </row>
    <row r="109" ht="15" customHeight="1" s="128">
      <c r="A109" s="138" t="n"/>
      <c r="B109" s="134" t="n"/>
      <c r="C109" s="134" t="n"/>
      <c r="D109" s="134" t="n"/>
      <c r="E109" s="134" t="n"/>
      <c r="F109" s="134" t="n"/>
      <c r="G109" s="134" t="n"/>
      <c r="H109" s="134" t="n"/>
      <c r="I109" s="134" t="n"/>
      <c r="J109" s="139">
        <f>IF($A109="","",TEXT($A109,"DD/MM/YYYY")&amp;"  —  "&amp;$B109&amp;IF($E109="",""," [Referral: "&amp;$E109&amp;"]")&amp;IF($G109="",""," [Competency: "&amp;$G109&amp;"]")&amp;IF($C109="",""," How it developed the skill: "&amp;$C109))</f>
        <v/>
      </c>
    </row>
    <row r="110" ht="15" customHeight="1" s="128">
      <c r="A110" s="138" t="n"/>
      <c r="B110" s="134" t="n"/>
      <c r="C110" s="134" t="n"/>
      <c r="D110" s="134" t="n"/>
      <c r="E110" s="134" t="n"/>
      <c r="F110" s="134" t="n"/>
      <c r="G110" s="134" t="n"/>
      <c r="H110" s="134" t="n"/>
      <c r="I110" s="134" t="n"/>
      <c r="J110" s="139">
        <f>IF($A110="","",TEXT($A110,"DD/MM/YYYY")&amp;"  —  "&amp;$B110&amp;IF($E110="",""," [Referral: "&amp;$E110&amp;"]")&amp;IF($G110="",""," [Competency: "&amp;$G110&amp;"]")&amp;IF($C110="",""," How it developed the skill: "&amp;$C110))</f>
        <v/>
      </c>
    </row>
    <row r="111" ht="15" customHeight="1" s="128">
      <c r="A111" s="138" t="n"/>
      <c r="B111" s="134" t="n"/>
      <c r="C111" s="134" t="n"/>
      <c r="D111" s="134" t="n"/>
      <c r="E111" s="134" t="n"/>
      <c r="F111" s="134" t="n"/>
      <c r="G111" s="134" t="n"/>
      <c r="H111" s="134" t="n"/>
      <c r="I111" s="134" t="n"/>
      <c r="J111" s="139">
        <f>IF($A111="","",TEXT($A111,"DD/MM/YYYY")&amp;"  —  "&amp;$B111&amp;IF($E111="",""," [Referral: "&amp;$E111&amp;"]")&amp;IF($G111="",""," [Competency: "&amp;$G111&amp;"]")&amp;IF($C111="",""," How it developed the skill: "&amp;$C111))</f>
        <v/>
      </c>
    </row>
    <row r="112" ht="15" customHeight="1" s="128">
      <c r="A112" s="138" t="n"/>
      <c r="B112" s="134" t="n"/>
      <c r="C112" s="134" t="n"/>
      <c r="D112" s="134" t="n"/>
      <c r="E112" s="134" t="n"/>
      <c r="F112" s="134" t="n"/>
      <c r="G112" s="134" t="n"/>
      <c r="H112" s="134" t="n"/>
      <c r="I112" s="134" t="n"/>
      <c r="J112" s="139">
        <f>IF($A112="","",TEXT($A112,"DD/MM/YYYY")&amp;"  —  "&amp;$B112&amp;IF($E112="",""," [Referral: "&amp;$E112&amp;"]")&amp;IF($G112="",""," [Competency: "&amp;$G112&amp;"]")&amp;IF($C112="",""," How it developed the skill: "&amp;$C112))</f>
        <v/>
      </c>
    </row>
    <row r="113" ht="15" customHeight="1" s="128">
      <c r="A113" s="138" t="n"/>
      <c r="B113" s="134" t="n"/>
      <c r="C113" s="134" t="n"/>
      <c r="D113" s="134" t="n"/>
      <c r="E113" s="134" t="n"/>
      <c r="F113" s="134" t="n"/>
      <c r="G113" s="134" t="n"/>
      <c r="H113" s="134" t="n"/>
      <c r="I113" s="134" t="n"/>
      <c r="J113" s="139">
        <f>IF($A113="","",TEXT($A113,"DD/MM/YYYY")&amp;"  —  "&amp;$B113&amp;IF($E113="",""," [Referral: "&amp;$E113&amp;"]")&amp;IF($G113="",""," [Competency: "&amp;$G113&amp;"]")&amp;IF($C113="",""," How it developed the skill: "&amp;$C113))</f>
        <v/>
      </c>
    </row>
    <row r="114" ht="15" customHeight="1" s="128">
      <c r="A114" s="138" t="n"/>
      <c r="B114" s="134" t="n"/>
      <c r="C114" s="134" t="n"/>
      <c r="D114" s="134" t="n"/>
      <c r="E114" s="134" t="n"/>
      <c r="F114" s="134" t="n"/>
      <c r="G114" s="134" t="n"/>
      <c r="H114" s="134" t="n"/>
      <c r="I114" s="134" t="n"/>
      <c r="J114" s="139">
        <f>IF($A114="","",TEXT($A114,"DD/MM/YYYY")&amp;"  —  "&amp;$B114&amp;IF($E114="",""," [Referral: "&amp;$E114&amp;"]")&amp;IF($G114="",""," [Competency: "&amp;$G114&amp;"]")&amp;IF($C114="",""," How it developed the skill: "&amp;$C114))</f>
        <v/>
      </c>
    </row>
    <row r="115" ht="15" customHeight="1" s="128">
      <c r="A115" s="138" t="n"/>
      <c r="B115" s="134" t="n"/>
      <c r="C115" s="134" t="n"/>
      <c r="D115" s="134" t="n"/>
      <c r="E115" s="134" t="n"/>
      <c r="F115" s="134" t="n"/>
      <c r="G115" s="134" t="n"/>
      <c r="H115" s="134" t="n"/>
      <c r="I115" s="134" t="n"/>
      <c r="J115" s="139">
        <f>IF($A115="","",TEXT($A115,"DD/MM/YYYY")&amp;"  —  "&amp;$B115&amp;IF($E115="",""," [Referral: "&amp;$E115&amp;"]")&amp;IF($G115="",""," [Competency: "&amp;$G115&amp;"]")&amp;IF($C115="",""," How it developed the skill: "&amp;$C115))</f>
        <v/>
      </c>
    </row>
    <row r="116" ht="15" customHeight="1" s="128">
      <c r="A116" s="138" t="n"/>
      <c r="B116" s="134" t="n"/>
      <c r="C116" s="134" t="n"/>
      <c r="D116" s="134" t="n"/>
      <c r="E116" s="134" t="n"/>
      <c r="F116" s="134" t="n"/>
      <c r="G116" s="134" t="n"/>
      <c r="H116" s="134" t="n"/>
      <c r="I116" s="134" t="n"/>
      <c r="J116" s="139">
        <f>IF($A116="","",TEXT($A116,"DD/MM/YYYY")&amp;"  —  "&amp;$B116&amp;IF($E116="",""," [Referral: "&amp;$E116&amp;"]")&amp;IF($G116="",""," [Competency: "&amp;$G116&amp;"]")&amp;IF($C116="",""," How it developed the skill: "&amp;$C116))</f>
        <v/>
      </c>
    </row>
    <row r="117" ht="15" customHeight="1" s="128">
      <c r="A117" s="138" t="n"/>
      <c r="B117" s="134" t="n"/>
      <c r="C117" s="134" t="n"/>
      <c r="D117" s="134" t="n"/>
      <c r="E117" s="134" t="n"/>
      <c r="F117" s="134" t="n"/>
      <c r="G117" s="134" t="n"/>
      <c r="H117" s="134" t="n"/>
      <c r="I117" s="134" t="n"/>
      <c r="J117" s="139">
        <f>IF($A117="","",TEXT($A117,"DD/MM/YYYY")&amp;"  —  "&amp;$B117&amp;IF($E117="",""," [Referral: "&amp;$E117&amp;"]")&amp;IF($G117="",""," [Competency: "&amp;$G117&amp;"]")&amp;IF($C117="",""," How it developed the skill: "&amp;$C117))</f>
        <v/>
      </c>
    </row>
    <row r="118" ht="15" customHeight="1" s="128">
      <c r="A118" s="138" t="n"/>
      <c r="B118" s="134" t="n"/>
      <c r="C118" s="134" t="n"/>
      <c r="D118" s="134" t="n"/>
      <c r="E118" s="134" t="n"/>
      <c r="F118" s="134" t="n"/>
      <c r="G118" s="134" t="n"/>
      <c r="H118" s="134" t="n"/>
      <c r="I118" s="134" t="n"/>
      <c r="J118" s="139">
        <f>IF($A118="","",TEXT($A118,"DD/MM/YYYY")&amp;"  —  "&amp;$B118&amp;IF($E118="",""," [Referral: "&amp;$E118&amp;"]")&amp;IF($G118="",""," [Competency: "&amp;$G118&amp;"]")&amp;IF($C118="",""," How it developed the skill: "&amp;$C118))</f>
        <v/>
      </c>
    </row>
    <row r="119" ht="15" customHeight="1" s="128">
      <c r="A119" s="138" t="n"/>
      <c r="B119" s="134" t="n"/>
      <c r="C119" s="134" t="n"/>
      <c r="D119" s="134" t="n"/>
      <c r="E119" s="134" t="n"/>
      <c r="F119" s="134" t="n"/>
      <c r="G119" s="134" t="n"/>
      <c r="H119" s="134" t="n"/>
      <c r="I119" s="134" t="n"/>
      <c r="J119" s="139">
        <f>IF($A119="","",TEXT($A119,"DD/MM/YYYY")&amp;"  —  "&amp;$B119&amp;IF($E119="",""," [Referral: "&amp;$E119&amp;"]")&amp;IF($G119="",""," [Competency: "&amp;$G119&amp;"]")&amp;IF($C119="",""," How it developed the skill: "&amp;$C119))</f>
        <v/>
      </c>
    </row>
    <row r="120" ht="15" customHeight="1" s="128">
      <c r="A120" s="138" t="n"/>
      <c r="B120" s="134" t="n"/>
      <c r="C120" s="134" t="n"/>
      <c r="D120" s="134" t="n"/>
      <c r="E120" s="134" t="n"/>
      <c r="F120" s="134" t="n"/>
      <c r="G120" s="134" t="n"/>
      <c r="H120" s="134" t="n"/>
      <c r="I120" s="134" t="n"/>
      <c r="J120" s="139">
        <f>IF($A120="","",TEXT($A120,"DD/MM/YYYY")&amp;"  —  "&amp;$B120&amp;IF($E120="",""," [Referral: "&amp;$E120&amp;"]")&amp;IF($G120="",""," [Competency: "&amp;$G120&amp;"]")&amp;IF($C120="",""," How it developed the skill: "&amp;$C120))</f>
        <v/>
      </c>
    </row>
    <row r="121" ht="15" customHeight="1" s="128">
      <c r="A121" s="138" t="n"/>
      <c r="B121" s="134" t="n"/>
      <c r="C121" s="134" t="n"/>
      <c r="D121" s="134" t="n"/>
      <c r="E121" s="134" t="n"/>
      <c r="F121" s="134" t="n"/>
      <c r="G121" s="134" t="n"/>
      <c r="H121" s="134" t="n"/>
      <c r="I121" s="134" t="n"/>
      <c r="J121" s="139">
        <f>IF($A121="","",TEXT($A121,"DD/MM/YYYY")&amp;"  —  "&amp;$B121&amp;IF($E121="",""," [Referral: "&amp;$E121&amp;"]")&amp;IF($G121="",""," [Competency: "&amp;$G121&amp;"]")&amp;IF($C121="",""," How it developed the skill: "&amp;$C121))</f>
        <v/>
      </c>
    </row>
    <row r="122" ht="15" customHeight="1" s="128">
      <c r="A122" s="138" t="n"/>
      <c r="B122" s="134" t="n"/>
      <c r="C122" s="134" t="n"/>
      <c r="D122" s="134" t="n"/>
      <c r="E122" s="134" t="n"/>
      <c r="F122" s="134" t="n"/>
      <c r="G122" s="134" t="n"/>
      <c r="H122" s="134" t="n"/>
      <c r="I122" s="134" t="n"/>
      <c r="J122" s="139">
        <f>IF($A122="","",TEXT($A122,"DD/MM/YYYY")&amp;"  —  "&amp;$B122&amp;IF($E122="",""," [Referral: "&amp;$E122&amp;"]")&amp;IF($G122="",""," [Competency: "&amp;$G122&amp;"]")&amp;IF($C122="",""," How it developed the skill: "&amp;$C122))</f>
        <v/>
      </c>
    </row>
    <row r="123" ht="15" customHeight="1" s="128">
      <c r="A123" s="138" t="n"/>
      <c r="B123" s="134" t="n"/>
      <c r="C123" s="134" t="n"/>
      <c r="D123" s="134" t="n"/>
      <c r="E123" s="134" t="n"/>
      <c r="F123" s="134" t="n"/>
      <c r="G123" s="134" t="n"/>
      <c r="H123" s="134" t="n"/>
      <c r="I123" s="134" t="n"/>
      <c r="J123" s="139">
        <f>IF($A123="","",TEXT($A123,"DD/MM/YYYY")&amp;"  —  "&amp;$B123&amp;IF($E123="",""," [Referral: "&amp;$E123&amp;"]")&amp;IF($G123="",""," [Competency: "&amp;$G123&amp;"]")&amp;IF($C123="",""," How it developed the skill: "&amp;$C123))</f>
        <v/>
      </c>
    </row>
    <row r="124" ht="15" customHeight="1" s="128">
      <c r="A124" s="138" t="n"/>
      <c r="B124" s="134" t="n"/>
      <c r="C124" s="134" t="n"/>
      <c r="D124" s="134" t="n"/>
      <c r="E124" s="134" t="n"/>
      <c r="F124" s="134" t="n"/>
      <c r="G124" s="134" t="n"/>
      <c r="H124" s="134" t="n"/>
      <c r="I124" s="134" t="n"/>
      <c r="J124" s="139">
        <f>IF($A124="","",TEXT($A124,"DD/MM/YYYY")&amp;"  —  "&amp;$B124&amp;IF($E124="",""," [Referral: "&amp;$E124&amp;"]")&amp;IF($G124="",""," [Competency: "&amp;$G124&amp;"]")&amp;IF($C124="",""," How it developed the skill: "&amp;$C124))</f>
        <v/>
      </c>
    </row>
    <row r="125" ht="15" customHeight="1" s="128">
      <c r="A125" s="138" t="n"/>
      <c r="B125" s="134" t="n"/>
      <c r="C125" s="134" t="n"/>
      <c r="D125" s="134" t="n"/>
      <c r="E125" s="134" t="n"/>
      <c r="F125" s="134" t="n"/>
      <c r="G125" s="134" t="n"/>
      <c r="H125" s="134" t="n"/>
      <c r="I125" s="134" t="n"/>
      <c r="J125" s="139">
        <f>IF($A125="","",TEXT($A125,"DD/MM/YYYY")&amp;"  —  "&amp;$B125&amp;IF($E125="",""," [Referral: "&amp;$E125&amp;"]")&amp;IF($G125="",""," [Competency: "&amp;$G125&amp;"]")&amp;IF($C125="",""," How it developed the skill: "&amp;$C125))</f>
        <v/>
      </c>
    </row>
    <row r="126" ht="15" customHeight="1" s="128">
      <c r="A126" s="138" t="n"/>
      <c r="B126" s="134" t="n"/>
      <c r="C126" s="134" t="n"/>
      <c r="D126" s="134" t="n"/>
      <c r="E126" s="134" t="n"/>
      <c r="F126" s="134" t="n"/>
      <c r="G126" s="134" t="n"/>
      <c r="H126" s="134" t="n"/>
      <c r="I126" s="134" t="n"/>
      <c r="J126" s="139">
        <f>IF($A126="","",TEXT($A126,"DD/MM/YYYY")&amp;"  —  "&amp;$B126&amp;IF($E126="",""," [Referral: "&amp;$E126&amp;"]")&amp;IF($G126="",""," [Competency: "&amp;$G126&amp;"]")&amp;IF($C126="",""," How it developed the skill: "&amp;$C126))</f>
        <v/>
      </c>
    </row>
    <row r="127" ht="15" customHeight="1" s="128">
      <c r="A127" s="138" t="n"/>
      <c r="B127" s="134" t="n"/>
      <c r="C127" s="134" t="n"/>
      <c r="D127" s="134" t="n"/>
      <c r="E127" s="134" t="n"/>
      <c r="F127" s="134" t="n"/>
      <c r="G127" s="134" t="n"/>
      <c r="H127" s="134" t="n"/>
      <c r="I127" s="134" t="n"/>
      <c r="J127" s="139">
        <f>IF($A127="","",TEXT($A127,"DD/MM/YYYY")&amp;"  —  "&amp;$B127&amp;IF($E127="",""," [Referral: "&amp;$E127&amp;"]")&amp;IF($G127="",""," [Competency: "&amp;$G127&amp;"]")&amp;IF($C127="",""," How it developed the skill: "&amp;$C127))</f>
        <v/>
      </c>
    </row>
    <row r="128" ht="15" customHeight="1" s="128">
      <c r="A128" s="138" t="n"/>
      <c r="B128" s="134" t="n"/>
      <c r="C128" s="134" t="n"/>
      <c r="D128" s="134" t="n"/>
      <c r="E128" s="134" t="n"/>
      <c r="F128" s="134" t="n"/>
      <c r="G128" s="134" t="n"/>
      <c r="H128" s="134" t="n"/>
      <c r="I128" s="134" t="n"/>
      <c r="J128" s="139">
        <f>IF($A128="","",TEXT($A128,"DD/MM/YYYY")&amp;"  —  "&amp;$B128&amp;IF($E128="",""," [Referral: "&amp;$E128&amp;"]")&amp;IF($G128="",""," [Competency: "&amp;$G128&amp;"]")&amp;IF($C128="",""," How it developed the skill: "&amp;$C128))</f>
        <v/>
      </c>
    </row>
    <row r="129" ht="15" customHeight="1" s="128">
      <c r="A129" s="138" t="n"/>
      <c r="B129" s="134" t="n"/>
      <c r="C129" s="134" t="n"/>
      <c r="D129" s="134" t="n"/>
      <c r="E129" s="134" t="n"/>
      <c r="F129" s="134" t="n"/>
      <c r="G129" s="134" t="n"/>
      <c r="H129" s="134" t="n"/>
      <c r="I129" s="134" t="n"/>
      <c r="J129" s="139">
        <f>IF($A129="","",TEXT($A129,"DD/MM/YYYY")&amp;"  —  "&amp;$B129&amp;IF($E129="",""," [Referral: "&amp;$E129&amp;"]")&amp;IF($G129="",""," [Competency: "&amp;$G129&amp;"]")&amp;IF($C129="",""," How it developed the skill: "&amp;$C129))</f>
        <v/>
      </c>
    </row>
    <row r="130" ht="15" customHeight="1" s="128">
      <c r="A130" s="138" t="n"/>
      <c r="B130" s="134" t="n"/>
      <c r="C130" s="134" t="n"/>
      <c r="D130" s="134" t="n"/>
      <c r="E130" s="134" t="n"/>
      <c r="F130" s="134" t="n"/>
      <c r="G130" s="134" t="n"/>
      <c r="H130" s="134" t="n"/>
      <c r="I130" s="134" t="n"/>
      <c r="J130" s="139">
        <f>IF($A130="","",TEXT($A130,"DD/MM/YYYY")&amp;"  —  "&amp;$B130&amp;IF($E130="",""," [Referral: "&amp;$E130&amp;"]")&amp;IF($G130="",""," [Competency: "&amp;$G130&amp;"]")&amp;IF($C130="",""," How it developed the skill: "&amp;$C130))</f>
        <v/>
      </c>
    </row>
    <row r="131" ht="15" customHeight="1" s="128">
      <c r="A131" s="138" t="n"/>
      <c r="B131" s="134" t="n"/>
      <c r="C131" s="134" t="n"/>
      <c r="D131" s="134" t="n"/>
      <c r="E131" s="134" t="n"/>
      <c r="F131" s="134" t="n"/>
      <c r="G131" s="134" t="n"/>
      <c r="H131" s="134" t="n"/>
      <c r="I131" s="134" t="n"/>
      <c r="J131" s="139">
        <f>IF($A131="","",TEXT($A131,"DD/MM/YYYY")&amp;"  —  "&amp;$B131&amp;IF($E131="",""," [Referral: "&amp;$E131&amp;"]")&amp;IF($G131="",""," [Competency: "&amp;$G131&amp;"]")&amp;IF($C131="",""," How it developed the skill: "&amp;$C131))</f>
        <v/>
      </c>
    </row>
    <row r="132" ht="15" customHeight="1" s="128">
      <c r="A132" s="138" t="n"/>
      <c r="B132" s="134" t="n"/>
      <c r="C132" s="134" t="n"/>
      <c r="D132" s="134" t="n"/>
      <c r="E132" s="134" t="n"/>
      <c r="F132" s="134" t="n"/>
      <c r="G132" s="134" t="n"/>
      <c r="H132" s="134" t="n"/>
      <c r="I132" s="134" t="n"/>
      <c r="J132" s="139">
        <f>IF($A132="","",TEXT($A132,"DD/MM/YYYY")&amp;"  —  "&amp;$B132&amp;IF($E132="",""," [Referral: "&amp;$E132&amp;"]")&amp;IF($G132="",""," [Competency: "&amp;$G132&amp;"]")&amp;IF($C132="",""," How it developed the skill: "&amp;$C132))</f>
        <v/>
      </c>
    </row>
    <row r="133" ht="15" customHeight="1" s="128">
      <c r="A133" s="138" t="n"/>
      <c r="B133" s="134" t="n"/>
      <c r="C133" s="134" t="n"/>
      <c r="D133" s="134" t="n"/>
      <c r="E133" s="134" t="n"/>
      <c r="F133" s="134" t="n"/>
      <c r="G133" s="134" t="n"/>
      <c r="H133" s="134" t="n"/>
      <c r="I133" s="134" t="n"/>
      <c r="J133" s="139">
        <f>IF($A133="","",TEXT($A133,"DD/MM/YYYY")&amp;"  —  "&amp;$B133&amp;IF($E133="",""," [Referral: "&amp;$E133&amp;"]")&amp;IF($G133="",""," [Competency: "&amp;$G133&amp;"]")&amp;IF($C133="",""," How it developed the skill: "&amp;$C133))</f>
        <v/>
      </c>
    </row>
    <row r="134" ht="15" customHeight="1" s="128">
      <c r="A134" s="138" t="n"/>
      <c r="B134" s="134" t="n"/>
      <c r="C134" s="134" t="n"/>
      <c r="D134" s="134" t="n"/>
      <c r="E134" s="134" t="n"/>
      <c r="F134" s="134" t="n"/>
      <c r="G134" s="134" t="n"/>
      <c r="H134" s="134" t="n"/>
      <c r="I134" s="134" t="n"/>
      <c r="J134" s="139">
        <f>IF($A134="","",TEXT($A134,"DD/MM/YYYY")&amp;"  —  "&amp;$B134&amp;IF($E134="",""," [Referral: "&amp;$E134&amp;"]")&amp;IF($G134="",""," [Competency: "&amp;$G134&amp;"]")&amp;IF($C134="",""," How it developed the skill: "&amp;$C134))</f>
        <v/>
      </c>
    </row>
    <row r="135" ht="15" customHeight="1" s="128">
      <c r="A135" s="138" t="n"/>
      <c r="B135" s="134" t="n"/>
      <c r="C135" s="134" t="n"/>
      <c r="D135" s="134" t="n"/>
      <c r="E135" s="134" t="n"/>
      <c r="F135" s="134" t="n"/>
      <c r="G135" s="134" t="n"/>
      <c r="H135" s="134" t="n"/>
      <c r="I135" s="134" t="n"/>
      <c r="J135" s="139">
        <f>IF($A135="","",TEXT($A135,"DD/MM/YYYY")&amp;"  —  "&amp;$B135&amp;IF($E135="",""," [Referral: "&amp;$E135&amp;"]")&amp;IF($G135="",""," [Competency: "&amp;$G135&amp;"]")&amp;IF($C135="",""," How it developed the skill: "&amp;$C135))</f>
        <v/>
      </c>
    </row>
    <row r="136" ht="15" customHeight="1" s="128">
      <c r="A136" s="138" t="n"/>
      <c r="B136" s="134" t="n"/>
      <c r="C136" s="134" t="n"/>
      <c r="D136" s="134" t="n"/>
      <c r="E136" s="134" t="n"/>
      <c r="F136" s="134" t="n"/>
      <c r="G136" s="134" t="n"/>
      <c r="H136" s="134" t="n"/>
      <c r="I136" s="134" t="n"/>
      <c r="J136" s="139">
        <f>IF($A136="","",TEXT($A136,"DD/MM/YYYY")&amp;"  —  "&amp;$B136&amp;IF($E136="",""," [Referral: "&amp;$E136&amp;"]")&amp;IF($G136="",""," [Competency: "&amp;$G136&amp;"]")&amp;IF($C136="",""," How it developed the skill: "&amp;$C136))</f>
        <v/>
      </c>
    </row>
    <row r="137" ht="15" customHeight="1" s="128">
      <c r="A137" s="138" t="n"/>
      <c r="B137" s="134" t="n"/>
      <c r="C137" s="134" t="n"/>
      <c r="D137" s="134" t="n"/>
      <c r="E137" s="134" t="n"/>
      <c r="F137" s="134" t="n"/>
      <c r="G137" s="134" t="n"/>
      <c r="H137" s="134" t="n"/>
      <c r="I137" s="134" t="n"/>
      <c r="J137" s="139">
        <f>IF($A137="","",TEXT($A137,"DD/MM/YYYY")&amp;"  —  "&amp;$B137&amp;IF($E137="",""," [Referral: "&amp;$E137&amp;"]")&amp;IF($G137="",""," [Competency: "&amp;$G137&amp;"]")&amp;IF($C137="",""," How it developed the skill: "&amp;$C137))</f>
        <v/>
      </c>
    </row>
    <row r="138" ht="15" customHeight="1" s="128">
      <c r="A138" s="138" t="n"/>
      <c r="B138" s="134" t="n"/>
      <c r="C138" s="134" t="n"/>
      <c r="D138" s="134" t="n"/>
      <c r="E138" s="134" t="n"/>
      <c r="F138" s="134" t="n"/>
      <c r="G138" s="134" t="n"/>
      <c r="H138" s="134" t="n"/>
      <c r="I138" s="134" t="n"/>
      <c r="J138" s="139">
        <f>IF($A138="","",TEXT($A138,"DD/MM/YYYY")&amp;"  —  "&amp;$B138&amp;IF($E138="",""," [Referral: "&amp;$E138&amp;"]")&amp;IF($G138="",""," [Competency: "&amp;$G138&amp;"]")&amp;IF($C138="",""," How it developed the skill: "&amp;$C138))</f>
        <v/>
      </c>
    </row>
    <row r="139" ht="15" customHeight="1" s="128">
      <c r="A139" s="138" t="n"/>
      <c r="B139" s="134" t="n"/>
      <c r="C139" s="134" t="n"/>
      <c r="D139" s="134" t="n"/>
      <c r="E139" s="134" t="n"/>
      <c r="F139" s="134" t="n"/>
      <c r="G139" s="134" t="n"/>
      <c r="H139" s="134" t="n"/>
      <c r="I139" s="134" t="n"/>
      <c r="J139" s="139">
        <f>IF($A139="","",TEXT($A139,"DD/MM/YYYY")&amp;"  —  "&amp;$B139&amp;IF($E139="",""," [Referral: "&amp;$E139&amp;"]")&amp;IF($G139="",""," [Competency: "&amp;$G139&amp;"]")&amp;IF($C139="",""," How it developed the skill: "&amp;$C139))</f>
        <v/>
      </c>
    </row>
    <row r="140" ht="15" customHeight="1" s="128">
      <c r="A140" s="138" t="n"/>
      <c r="B140" s="134" t="n"/>
      <c r="C140" s="134" t="n"/>
      <c r="D140" s="134" t="n"/>
      <c r="E140" s="134" t="n"/>
      <c r="F140" s="134" t="n"/>
      <c r="G140" s="134" t="n"/>
      <c r="H140" s="134" t="n"/>
      <c r="I140" s="134" t="n"/>
      <c r="J140" s="139">
        <f>IF($A140="","",TEXT($A140,"DD/MM/YYYY")&amp;"  —  "&amp;$B140&amp;IF($E140="",""," [Referral: "&amp;$E140&amp;"]")&amp;IF($G140="",""," [Competency: "&amp;$G140&amp;"]")&amp;IF($C140="",""," How it developed the skill: "&amp;$C140))</f>
        <v/>
      </c>
    </row>
    <row r="141" ht="15" customHeight="1" s="128">
      <c r="A141" s="138" t="n"/>
      <c r="B141" s="134" t="n"/>
      <c r="C141" s="134" t="n"/>
      <c r="D141" s="134" t="n"/>
      <c r="E141" s="134" t="n"/>
      <c r="F141" s="134" t="n"/>
      <c r="G141" s="134" t="n"/>
      <c r="H141" s="134" t="n"/>
      <c r="I141" s="134" t="n"/>
      <c r="J141" s="139">
        <f>IF($A141="","",TEXT($A141,"DD/MM/YYYY")&amp;"  —  "&amp;$B141&amp;IF($E141="",""," [Referral: "&amp;$E141&amp;"]")&amp;IF($G141="",""," [Competency: "&amp;$G141&amp;"]")&amp;IF($C141="",""," How it developed the skill: "&amp;$C141))</f>
        <v/>
      </c>
    </row>
    <row r="142" ht="15" customHeight="1" s="128">
      <c r="A142" s="138" t="n"/>
      <c r="B142" s="134" t="n"/>
      <c r="C142" s="134" t="n"/>
      <c r="D142" s="134" t="n"/>
      <c r="E142" s="134" t="n"/>
      <c r="F142" s="134" t="n"/>
      <c r="G142" s="134" t="n"/>
      <c r="H142" s="134" t="n"/>
      <c r="I142" s="134" t="n"/>
      <c r="J142" s="139">
        <f>IF($A142="","",TEXT($A142,"DD/MM/YYYY")&amp;"  —  "&amp;$B142&amp;IF($E142="",""," [Referral: "&amp;$E142&amp;"]")&amp;IF($G142="",""," [Competency: "&amp;$G142&amp;"]")&amp;IF($C142="",""," How it developed the skill: "&amp;$C142))</f>
        <v/>
      </c>
    </row>
    <row r="143" ht="15" customHeight="1" s="128">
      <c r="A143" s="138" t="n"/>
      <c r="B143" s="134" t="n"/>
      <c r="C143" s="134" t="n"/>
      <c r="D143" s="134" t="n"/>
      <c r="E143" s="134" t="n"/>
      <c r="F143" s="134" t="n"/>
      <c r="G143" s="134" t="n"/>
      <c r="H143" s="134" t="n"/>
      <c r="I143" s="134" t="n"/>
      <c r="J143" s="139">
        <f>IF($A143="","",TEXT($A143,"DD/MM/YYYY")&amp;"  —  "&amp;$B143&amp;IF($E143="",""," [Referral: "&amp;$E143&amp;"]")&amp;IF($G143="",""," [Competency: "&amp;$G143&amp;"]")&amp;IF($C143="",""," How it developed the skill: "&amp;$C143))</f>
        <v/>
      </c>
    </row>
    <row r="144" ht="15" customHeight="1" s="128">
      <c r="A144" s="138" t="n"/>
      <c r="B144" s="134" t="n"/>
      <c r="C144" s="134" t="n"/>
      <c r="D144" s="134" t="n"/>
      <c r="E144" s="134" t="n"/>
      <c r="F144" s="134" t="n"/>
      <c r="G144" s="134" t="n"/>
      <c r="H144" s="134" t="n"/>
      <c r="I144" s="134" t="n"/>
      <c r="J144" s="139">
        <f>IF($A144="","",TEXT($A144,"DD/MM/YYYY")&amp;"  —  "&amp;$B144&amp;IF($E144="",""," [Referral: "&amp;$E144&amp;"]")&amp;IF($G144="",""," [Competency: "&amp;$G144&amp;"]")&amp;IF($C144="",""," How it developed the skill: "&amp;$C144))</f>
        <v/>
      </c>
    </row>
    <row r="145" ht="15" customHeight="1" s="128">
      <c r="A145" s="138" t="n"/>
      <c r="B145" s="134" t="n"/>
      <c r="C145" s="134" t="n"/>
      <c r="D145" s="134" t="n"/>
      <c r="E145" s="134" t="n"/>
      <c r="F145" s="134" t="n"/>
      <c r="G145" s="134" t="n"/>
      <c r="H145" s="134" t="n"/>
      <c r="I145" s="134" t="n"/>
      <c r="J145" s="139">
        <f>IF($A145="","",TEXT($A145,"DD/MM/YYYY")&amp;"  —  "&amp;$B145&amp;IF($E145="",""," [Referral: "&amp;$E145&amp;"]")&amp;IF($G145="",""," [Competency: "&amp;$G145&amp;"]")&amp;IF($C145="",""," How it developed the skill: "&amp;$C145))</f>
        <v/>
      </c>
    </row>
    <row r="146" ht="15" customHeight="1" s="128">
      <c r="A146" s="138" t="n"/>
      <c r="B146" s="134" t="n"/>
      <c r="C146" s="134" t="n"/>
      <c r="D146" s="134" t="n"/>
      <c r="E146" s="134" t="n"/>
      <c r="F146" s="134" t="n"/>
      <c r="G146" s="134" t="n"/>
      <c r="H146" s="134" t="n"/>
      <c r="I146" s="134" t="n"/>
      <c r="J146" s="139">
        <f>IF($A146="","",TEXT($A146,"DD/MM/YYYY")&amp;"  —  "&amp;$B146&amp;IF($E146="",""," [Referral: "&amp;$E146&amp;"]")&amp;IF($G146="",""," [Competency: "&amp;$G146&amp;"]")&amp;IF($C146="",""," How it developed the skill: "&amp;$C146))</f>
        <v/>
      </c>
    </row>
    <row r="147" ht="15" customHeight="1" s="128">
      <c r="A147" s="138" t="n"/>
      <c r="B147" s="134" t="n"/>
      <c r="C147" s="134" t="n"/>
      <c r="D147" s="134" t="n"/>
      <c r="E147" s="134" t="n"/>
      <c r="F147" s="134" t="n"/>
      <c r="G147" s="134" t="n"/>
      <c r="H147" s="134" t="n"/>
      <c r="I147" s="134" t="n"/>
      <c r="J147" s="139">
        <f>IF($A147="","",TEXT($A147,"DD/MM/YYYY")&amp;"  —  "&amp;$B147&amp;IF($E147="",""," [Referral: "&amp;$E147&amp;"]")&amp;IF($G147="",""," [Competency: "&amp;$G147&amp;"]")&amp;IF($C147="",""," How it developed the skill: "&amp;$C147))</f>
        <v/>
      </c>
    </row>
    <row r="148" ht="15" customHeight="1" s="128">
      <c r="A148" s="138" t="n"/>
      <c r="B148" s="134" t="n"/>
      <c r="C148" s="134" t="n"/>
      <c r="D148" s="134" t="n"/>
      <c r="E148" s="134" t="n"/>
      <c r="F148" s="134" t="n"/>
      <c r="G148" s="134" t="n"/>
      <c r="H148" s="134" t="n"/>
      <c r="I148" s="134" t="n"/>
      <c r="J148" s="139">
        <f>IF($A148="","",TEXT($A148,"DD/MM/YYYY")&amp;"  —  "&amp;$B148&amp;IF($E148="",""," [Referral: "&amp;$E148&amp;"]")&amp;IF($G148="",""," [Competency: "&amp;$G148&amp;"]")&amp;IF($C148="",""," How it developed the skill: "&amp;$C148))</f>
        <v/>
      </c>
    </row>
    <row r="149" ht="15" customHeight="1" s="128">
      <c r="A149" s="138" t="n"/>
      <c r="B149" s="134" t="n"/>
      <c r="C149" s="134" t="n"/>
      <c r="D149" s="134" t="n"/>
      <c r="E149" s="134" t="n"/>
      <c r="F149" s="134" t="n"/>
      <c r="G149" s="134" t="n"/>
      <c r="H149" s="134" t="n"/>
      <c r="I149" s="134" t="n"/>
      <c r="J149" s="139">
        <f>IF($A149="","",TEXT($A149,"DD/MM/YYYY")&amp;"  —  "&amp;$B149&amp;IF($E149="",""," [Referral: "&amp;$E149&amp;"]")&amp;IF($G149="",""," [Competency: "&amp;$G149&amp;"]")&amp;IF($C149="",""," How it developed the skill: "&amp;$C149))</f>
        <v/>
      </c>
    </row>
    <row r="150" ht="15" customHeight="1" s="128">
      <c r="A150" s="138" t="n"/>
      <c r="B150" s="134" t="n"/>
      <c r="C150" s="134" t="n"/>
      <c r="D150" s="134" t="n"/>
      <c r="E150" s="134" t="n"/>
      <c r="F150" s="134" t="n"/>
      <c r="G150" s="134" t="n"/>
      <c r="H150" s="134" t="n"/>
      <c r="I150" s="134" t="n"/>
      <c r="J150" s="139">
        <f>IF($A150="","",TEXT($A150,"DD/MM/YYYY")&amp;"  —  "&amp;$B150&amp;IF($E150="",""," [Referral: "&amp;$E150&amp;"]")&amp;IF($G150="",""," [Competency: "&amp;$G150&amp;"]")&amp;IF($C150="",""," How it developed the skill: "&amp;$C150))</f>
        <v/>
      </c>
    </row>
    <row r="151" ht="15" customHeight="1" s="128">
      <c r="A151" s="138" t="n"/>
      <c r="B151" s="134" t="n"/>
      <c r="C151" s="134" t="n"/>
      <c r="D151" s="134" t="n"/>
      <c r="E151" s="134" t="n"/>
      <c r="F151" s="134" t="n"/>
      <c r="G151" s="134" t="n"/>
      <c r="H151" s="134" t="n"/>
      <c r="I151" s="134" t="n"/>
      <c r="J151" s="139">
        <f>IF($A151="","",TEXT($A151,"DD/MM/YYYY")&amp;"  —  "&amp;$B151&amp;IF($E151="",""," [Referral: "&amp;$E151&amp;"]")&amp;IF($G151="",""," [Competency: "&amp;$G151&amp;"]")&amp;IF($C151="",""," How it developed the skill: "&amp;$C151))</f>
        <v/>
      </c>
    </row>
    <row r="152" ht="15" customHeight="1" s="128">
      <c r="A152" s="138" t="n"/>
      <c r="B152" s="134" t="n"/>
      <c r="C152" s="134" t="n"/>
      <c r="D152" s="134" t="n"/>
      <c r="E152" s="134" t="n"/>
      <c r="F152" s="134" t="n"/>
      <c r="G152" s="134" t="n"/>
      <c r="H152" s="134" t="n"/>
      <c r="I152" s="134" t="n"/>
      <c r="J152" s="139">
        <f>IF($A152="","",TEXT($A152,"DD/MM/YYYY")&amp;"  —  "&amp;$B152&amp;IF($E152="",""," [Referral: "&amp;$E152&amp;"]")&amp;IF($G152="",""," [Competency: "&amp;$G152&amp;"]")&amp;IF($C152="",""," How it developed the skill: "&amp;$C152))</f>
        <v/>
      </c>
    </row>
    <row r="153" ht="15" customHeight="1" s="128">
      <c r="A153" s="138" t="n"/>
      <c r="B153" s="134" t="n"/>
      <c r="C153" s="134" t="n"/>
      <c r="D153" s="134" t="n"/>
      <c r="E153" s="134" t="n"/>
      <c r="F153" s="134" t="n"/>
      <c r="G153" s="134" t="n"/>
      <c r="H153" s="134" t="n"/>
      <c r="I153" s="134" t="n"/>
      <c r="J153" s="139">
        <f>IF($A153="","",TEXT($A153,"DD/MM/YYYY")&amp;"  —  "&amp;$B153&amp;IF($E153="",""," [Referral: "&amp;$E153&amp;"]")&amp;IF($G153="",""," [Competency: "&amp;$G153&amp;"]")&amp;IF($C153="",""," How it developed the skill: "&amp;$C153))</f>
        <v/>
      </c>
    </row>
    <row r="154" ht="15" customHeight="1" s="128">
      <c r="A154" s="138" t="n"/>
      <c r="B154" s="134" t="n"/>
      <c r="C154" s="134" t="n"/>
      <c r="D154" s="134" t="n"/>
      <c r="E154" s="134" t="n"/>
      <c r="F154" s="134" t="n"/>
      <c r="G154" s="134" t="n"/>
      <c r="H154" s="134" t="n"/>
      <c r="I154" s="134" t="n"/>
      <c r="J154" s="139">
        <f>IF($A154="","",TEXT($A154,"DD/MM/YYYY")&amp;"  —  "&amp;$B154&amp;IF($E154="",""," [Referral: "&amp;$E154&amp;"]")&amp;IF($G154="",""," [Competency: "&amp;$G154&amp;"]")&amp;IF($C154="",""," How it developed the skill: "&amp;$C154))</f>
        <v/>
      </c>
    </row>
    <row r="155" ht="15" customHeight="1" s="128">
      <c r="A155" s="138" t="n"/>
      <c r="B155" s="134" t="n"/>
      <c r="C155" s="134" t="n"/>
      <c r="D155" s="134" t="n"/>
      <c r="E155" s="134" t="n"/>
      <c r="F155" s="134" t="n"/>
      <c r="G155" s="134" t="n"/>
      <c r="H155" s="134" t="n"/>
      <c r="I155" s="134" t="n"/>
      <c r="J155" s="139">
        <f>IF($A155="","",TEXT($A155,"DD/MM/YYYY")&amp;"  —  "&amp;$B155&amp;IF($E155="",""," [Referral: "&amp;$E155&amp;"]")&amp;IF($G155="",""," [Competency: "&amp;$G155&amp;"]")&amp;IF($C155="",""," How it developed the skill: "&amp;$C155))</f>
        <v/>
      </c>
    </row>
    <row r="156" ht="15" customHeight="1" s="128">
      <c r="A156" s="138" t="n"/>
      <c r="B156" s="134" t="n"/>
      <c r="C156" s="134" t="n"/>
      <c r="D156" s="134" t="n"/>
      <c r="E156" s="134" t="n"/>
      <c r="F156" s="134" t="n"/>
      <c r="G156" s="134" t="n"/>
      <c r="H156" s="134" t="n"/>
      <c r="I156" s="134" t="n"/>
      <c r="J156" s="139">
        <f>IF($A156="","",TEXT($A156,"DD/MM/YYYY")&amp;"  —  "&amp;$B156&amp;IF($E156="",""," [Referral: "&amp;$E156&amp;"]")&amp;IF($G156="",""," [Competency: "&amp;$G156&amp;"]")&amp;IF($C156="",""," How it developed the skill: "&amp;$C156))</f>
        <v/>
      </c>
    </row>
    <row r="157" ht="15" customHeight="1" s="128">
      <c r="A157" s="138" t="n"/>
      <c r="B157" s="134" t="n"/>
      <c r="C157" s="134" t="n"/>
      <c r="D157" s="134" t="n"/>
      <c r="E157" s="134" t="n"/>
      <c r="F157" s="134" t="n"/>
      <c r="G157" s="134" t="n"/>
      <c r="H157" s="134" t="n"/>
      <c r="I157" s="134" t="n"/>
      <c r="J157" s="139">
        <f>IF($A157="","",TEXT($A157,"DD/MM/YYYY")&amp;"  —  "&amp;$B157&amp;IF($E157="",""," [Referral: "&amp;$E157&amp;"]")&amp;IF($G157="",""," [Competency: "&amp;$G157&amp;"]")&amp;IF($C157="",""," How it developed the skill: "&amp;$C157))</f>
        <v/>
      </c>
    </row>
    <row r="158" ht="15" customHeight="1" s="128">
      <c r="A158" s="138" t="n"/>
      <c r="B158" s="134" t="n"/>
      <c r="C158" s="134" t="n"/>
      <c r="D158" s="134" t="n"/>
      <c r="E158" s="134" t="n"/>
      <c r="F158" s="134" t="n"/>
      <c r="G158" s="134" t="n"/>
      <c r="H158" s="134" t="n"/>
      <c r="I158" s="134" t="n"/>
      <c r="J158" s="139">
        <f>IF($A158="","",TEXT($A158,"DD/MM/YYYY")&amp;"  —  "&amp;$B158&amp;IF($E158="",""," [Referral: "&amp;$E158&amp;"]")&amp;IF($G158="",""," [Competency: "&amp;$G158&amp;"]")&amp;IF($C158="",""," How it developed the skill: "&amp;$C158))</f>
        <v/>
      </c>
    </row>
    <row r="159" ht="15" customHeight="1" s="128">
      <c r="A159" s="138" t="n"/>
      <c r="B159" s="134" t="n"/>
      <c r="C159" s="134" t="n"/>
      <c r="D159" s="134" t="n"/>
      <c r="E159" s="134" t="n"/>
      <c r="F159" s="134" t="n"/>
      <c r="G159" s="134" t="n"/>
      <c r="H159" s="134" t="n"/>
      <c r="I159" s="134" t="n"/>
      <c r="J159" s="139">
        <f>IF($A159="","",TEXT($A159,"DD/MM/YYYY")&amp;"  —  "&amp;$B159&amp;IF($E159="",""," [Referral: "&amp;$E159&amp;"]")&amp;IF($G159="",""," [Competency: "&amp;$G159&amp;"]")&amp;IF($C159="",""," How it developed the skill: "&amp;$C159))</f>
        <v/>
      </c>
    </row>
    <row r="160" ht="15" customHeight="1" s="128">
      <c r="A160" s="138" t="n"/>
      <c r="B160" s="134" t="n"/>
      <c r="C160" s="134" t="n"/>
      <c r="D160" s="134" t="n"/>
      <c r="E160" s="134" t="n"/>
      <c r="F160" s="134" t="n"/>
      <c r="G160" s="134" t="n"/>
      <c r="H160" s="134" t="n"/>
      <c r="I160" s="134" t="n"/>
      <c r="J160" s="139">
        <f>IF($A160="","",TEXT($A160,"DD/MM/YYYY")&amp;"  —  "&amp;$B160&amp;IF($E160="",""," [Referral: "&amp;$E160&amp;"]")&amp;IF($G160="",""," [Competency: "&amp;$G160&amp;"]")&amp;IF($C160="",""," How it developed the skill: "&amp;$C160))</f>
        <v/>
      </c>
    </row>
    <row r="161" ht="15" customHeight="1" s="128">
      <c r="A161" s="138" t="n"/>
      <c r="B161" s="134" t="n"/>
      <c r="C161" s="134" t="n"/>
      <c r="D161" s="134" t="n"/>
      <c r="E161" s="134" t="n"/>
      <c r="F161" s="134" t="n"/>
      <c r="G161" s="134" t="n"/>
      <c r="H161" s="134" t="n"/>
      <c r="I161" s="134" t="n"/>
      <c r="J161" s="139">
        <f>IF($A161="","",TEXT($A161,"DD/MM/YYYY")&amp;"  —  "&amp;$B161&amp;IF($E161="",""," [Referral: "&amp;$E161&amp;"]")&amp;IF($G161="",""," [Competency: "&amp;$G161&amp;"]")&amp;IF($C161="",""," How it developed the skill: "&amp;$C161))</f>
        <v/>
      </c>
    </row>
    <row r="162" ht="15" customHeight="1" s="128">
      <c r="A162" s="138" t="n"/>
      <c r="B162" s="134" t="n"/>
      <c r="C162" s="134" t="n"/>
      <c r="D162" s="134" t="n"/>
      <c r="E162" s="134" t="n"/>
      <c r="F162" s="134" t="n"/>
      <c r="G162" s="134" t="n"/>
      <c r="H162" s="134" t="n"/>
      <c r="I162" s="134" t="n"/>
      <c r="J162" s="139">
        <f>IF($A162="","",TEXT($A162,"DD/MM/YYYY")&amp;"  —  "&amp;$B162&amp;IF($E162="",""," [Referral: "&amp;$E162&amp;"]")&amp;IF($G162="",""," [Competency: "&amp;$G162&amp;"]")&amp;IF($C162="",""," How it developed the skill: "&amp;$C162))</f>
        <v/>
      </c>
    </row>
    <row r="163" ht="15" customHeight="1" s="128">
      <c r="A163" s="138" t="n"/>
      <c r="B163" s="134" t="n"/>
      <c r="C163" s="134" t="n"/>
      <c r="D163" s="134" t="n"/>
      <c r="E163" s="134" t="n"/>
      <c r="F163" s="134" t="n"/>
      <c r="G163" s="134" t="n"/>
      <c r="H163" s="134" t="n"/>
      <c r="I163" s="134" t="n"/>
      <c r="J163" s="139">
        <f>IF($A163="","",TEXT($A163,"DD/MM/YYYY")&amp;"  —  "&amp;$B163&amp;IF($E163="",""," [Referral: "&amp;$E163&amp;"]")&amp;IF($G163="",""," [Competency: "&amp;$G163&amp;"]")&amp;IF($C163="",""," How it developed the skill: "&amp;$C163))</f>
        <v/>
      </c>
    </row>
    <row r="164" ht="15" customHeight="1" s="128">
      <c r="A164" s="138" t="n"/>
      <c r="B164" s="134" t="n"/>
      <c r="C164" s="134" t="n"/>
      <c r="D164" s="134" t="n"/>
      <c r="E164" s="134" t="n"/>
      <c r="F164" s="134" t="n"/>
      <c r="G164" s="134" t="n"/>
      <c r="H164" s="134" t="n"/>
      <c r="I164" s="134" t="n"/>
      <c r="J164" s="139">
        <f>IF($A164="","",TEXT($A164,"DD/MM/YYYY")&amp;"  —  "&amp;$B164&amp;IF($E164="",""," [Referral: "&amp;$E164&amp;"]")&amp;IF($G164="",""," [Competency: "&amp;$G164&amp;"]")&amp;IF($C164="",""," How it developed the skill: "&amp;$C164))</f>
        <v/>
      </c>
    </row>
    <row r="165" ht="15" customHeight="1" s="128">
      <c r="A165" s="138" t="n"/>
      <c r="B165" s="134" t="n"/>
      <c r="C165" s="134" t="n"/>
      <c r="D165" s="134" t="n"/>
      <c r="E165" s="134" t="n"/>
      <c r="F165" s="134" t="n"/>
      <c r="G165" s="134" t="n"/>
      <c r="H165" s="134" t="n"/>
      <c r="I165" s="134" t="n"/>
      <c r="J165" s="139">
        <f>IF($A165="","",TEXT($A165,"DD/MM/YYYY")&amp;"  —  "&amp;$B165&amp;IF($E165="",""," [Referral: "&amp;$E165&amp;"]")&amp;IF($G165="",""," [Competency: "&amp;$G165&amp;"]")&amp;IF($C165="",""," How it developed the skill: "&amp;$C165))</f>
        <v/>
      </c>
    </row>
    <row r="166" ht="15" customHeight="1" s="128">
      <c r="A166" s="138" t="n"/>
      <c r="B166" s="134" t="n"/>
      <c r="C166" s="134" t="n"/>
      <c r="D166" s="134" t="n"/>
      <c r="E166" s="134" t="n"/>
      <c r="F166" s="134" t="n"/>
      <c r="G166" s="134" t="n"/>
      <c r="H166" s="134" t="n"/>
      <c r="I166" s="134" t="n"/>
      <c r="J166" s="139">
        <f>IF($A166="","",TEXT($A166,"DD/MM/YYYY")&amp;"  —  "&amp;$B166&amp;IF($E166="",""," [Referral: "&amp;$E166&amp;"]")&amp;IF($G166="",""," [Competency: "&amp;$G166&amp;"]")&amp;IF($C166="",""," How it developed the skill: "&amp;$C166))</f>
        <v/>
      </c>
    </row>
    <row r="167" ht="15" customHeight="1" s="128">
      <c r="A167" s="138" t="n"/>
      <c r="B167" s="134" t="n"/>
      <c r="C167" s="134" t="n"/>
      <c r="D167" s="134" t="n"/>
      <c r="E167" s="134" t="n"/>
      <c r="F167" s="134" t="n"/>
      <c r="G167" s="134" t="n"/>
      <c r="H167" s="134" t="n"/>
      <c r="I167" s="134" t="n"/>
      <c r="J167" s="139">
        <f>IF($A167="","",TEXT($A167,"DD/MM/YYYY")&amp;"  —  "&amp;$B167&amp;IF($E167="",""," [Referral: "&amp;$E167&amp;"]")&amp;IF($G167="",""," [Competency: "&amp;$G167&amp;"]")&amp;IF($C167="",""," How it developed the skill: "&amp;$C167))</f>
        <v/>
      </c>
    </row>
    <row r="168" ht="15" customHeight="1" s="128">
      <c r="A168" s="138" t="n"/>
      <c r="B168" s="134" t="n"/>
      <c r="C168" s="134" t="n"/>
      <c r="D168" s="134" t="n"/>
      <c r="E168" s="134" t="n"/>
      <c r="F168" s="134" t="n"/>
      <c r="G168" s="134" t="n"/>
      <c r="H168" s="134" t="n"/>
      <c r="I168" s="134" t="n"/>
      <c r="J168" s="139">
        <f>IF($A168="","",TEXT($A168,"DD/MM/YYYY")&amp;"  —  "&amp;$B168&amp;IF($E168="",""," [Referral: "&amp;$E168&amp;"]")&amp;IF($G168="",""," [Competency: "&amp;$G168&amp;"]")&amp;IF($C168="",""," How it developed the skill: "&amp;$C168))</f>
        <v/>
      </c>
    </row>
    <row r="169" ht="15" customHeight="1" s="128">
      <c r="A169" s="138" t="n"/>
      <c r="B169" s="134" t="n"/>
      <c r="C169" s="134" t="n"/>
      <c r="D169" s="134" t="n"/>
      <c r="E169" s="134" t="n"/>
      <c r="F169" s="134" t="n"/>
      <c r="G169" s="134" t="n"/>
      <c r="H169" s="134" t="n"/>
      <c r="I169" s="134" t="n"/>
      <c r="J169" s="139">
        <f>IF($A169="","",TEXT($A169,"DD/MM/YYYY")&amp;"  —  "&amp;$B169&amp;IF($E169="",""," [Referral: "&amp;$E169&amp;"]")&amp;IF($G169="",""," [Competency: "&amp;$G169&amp;"]")&amp;IF($C169="",""," How it developed the skill: "&amp;$C169))</f>
        <v/>
      </c>
    </row>
    <row r="170" ht="15" customHeight="1" s="128">
      <c r="A170" s="138" t="n"/>
      <c r="B170" s="134" t="n"/>
      <c r="C170" s="134" t="n"/>
      <c r="D170" s="134" t="n"/>
      <c r="E170" s="134" t="n"/>
      <c r="F170" s="134" t="n"/>
      <c r="G170" s="134" t="n"/>
      <c r="H170" s="134" t="n"/>
      <c r="I170" s="134" t="n"/>
      <c r="J170" s="139">
        <f>IF($A170="","",TEXT($A170,"DD/MM/YYYY")&amp;"  —  "&amp;$B170&amp;IF($E170="",""," [Referral: "&amp;$E170&amp;"]")&amp;IF($G170="",""," [Competency: "&amp;$G170&amp;"]")&amp;IF($C170="",""," How it developed the skill: "&amp;$C170))</f>
        <v/>
      </c>
    </row>
    <row r="171" ht="15" customHeight="1" s="128">
      <c r="A171" s="138" t="n"/>
      <c r="B171" s="134" t="n"/>
      <c r="C171" s="134" t="n"/>
      <c r="D171" s="134" t="n"/>
      <c r="E171" s="134" t="n"/>
      <c r="F171" s="134" t="n"/>
      <c r="G171" s="134" t="n"/>
      <c r="H171" s="134" t="n"/>
      <c r="I171" s="134" t="n"/>
      <c r="J171" s="139">
        <f>IF($A171="","",TEXT($A171,"DD/MM/YYYY")&amp;"  —  "&amp;$B171&amp;IF($E171="",""," [Referral: "&amp;$E171&amp;"]")&amp;IF($G171="",""," [Competency: "&amp;$G171&amp;"]")&amp;IF($C171="",""," How it developed the skill: "&amp;$C171))</f>
        <v/>
      </c>
    </row>
    <row r="172" ht="15" customHeight="1" s="128">
      <c r="A172" s="138" t="n"/>
      <c r="B172" s="134" t="n"/>
      <c r="C172" s="134" t="n"/>
      <c r="D172" s="134" t="n"/>
      <c r="E172" s="134" t="n"/>
      <c r="F172" s="134" t="n"/>
      <c r="G172" s="134" t="n"/>
      <c r="H172" s="134" t="n"/>
      <c r="I172" s="134" t="n"/>
      <c r="J172" s="139">
        <f>IF($A172="","",TEXT($A172,"DD/MM/YYYY")&amp;"  —  "&amp;$B172&amp;IF($E172="",""," [Referral: "&amp;$E172&amp;"]")&amp;IF($G172="",""," [Competency: "&amp;$G172&amp;"]")&amp;IF($C172="",""," How it developed the skill: "&amp;$C172))</f>
        <v/>
      </c>
    </row>
    <row r="173" ht="15" customHeight="1" s="128">
      <c r="A173" s="138" t="n"/>
      <c r="B173" s="134" t="n"/>
      <c r="C173" s="134" t="n"/>
      <c r="D173" s="134" t="n"/>
      <c r="E173" s="134" t="n"/>
      <c r="F173" s="134" t="n"/>
      <c r="G173" s="134" t="n"/>
      <c r="H173" s="134" t="n"/>
      <c r="I173" s="134" t="n"/>
      <c r="J173" s="139">
        <f>IF($A173="","",TEXT($A173,"DD/MM/YYYY")&amp;"  —  "&amp;$B173&amp;IF($E173="",""," [Referral: "&amp;$E173&amp;"]")&amp;IF($G173="",""," [Competency: "&amp;$G173&amp;"]")&amp;IF($C173="",""," How it developed the skill: "&amp;$C173))</f>
        <v/>
      </c>
    </row>
    <row r="174" ht="15" customHeight="1" s="128">
      <c r="A174" s="138" t="n"/>
      <c r="B174" s="134" t="n"/>
      <c r="C174" s="134" t="n"/>
      <c r="D174" s="134" t="n"/>
      <c r="E174" s="134" t="n"/>
      <c r="F174" s="134" t="n"/>
      <c r="G174" s="134" t="n"/>
      <c r="H174" s="134" t="n"/>
      <c r="I174" s="134" t="n"/>
      <c r="J174" s="139">
        <f>IF($A174="","",TEXT($A174,"DD/MM/YYYY")&amp;"  —  "&amp;$B174&amp;IF($E174="",""," [Referral: "&amp;$E174&amp;"]")&amp;IF($G174="",""," [Competency: "&amp;$G174&amp;"]")&amp;IF($C174="",""," How it developed the skill: "&amp;$C174))</f>
        <v/>
      </c>
    </row>
    <row r="175" ht="15" customHeight="1" s="128">
      <c r="A175" s="138" t="n"/>
      <c r="B175" s="134" t="n"/>
      <c r="C175" s="134" t="n"/>
      <c r="D175" s="134" t="n"/>
      <c r="E175" s="134" t="n"/>
      <c r="F175" s="134" t="n"/>
      <c r="G175" s="134" t="n"/>
      <c r="H175" s="134" t="n"/>
      <c r="I175" s="134" t="n"/>
      <c r="J175" s="139">
        <f>IF($A175="","",TEXT($A175,"DD/MM/YYYY")&amp;"  —  "&amp;$B175&amp;IF($E175="",""," [Referral: "&amp;$E175&amp;"]")&amp;IF($G175="",""," [Competency: "&amp;$G175&amp;"]")&amp;IF($C175="",""," How it developed the skill: "&amp;$C175))</f>
        <v/>
      </c>
    </row>
    <row r="176" ht="15" customHeight="1" s="128">
      <c r="A176" s="138" t="n"/>
      <c r="B176" s="134" t="n"/>
      <c r="C176" s="134" t="n"/>
      <c r="D176" s="134" t="n"/>
      <c r="E176" s="134" t="n"/>
      <c r="F176" s="134" t="n"/>
      <c r="G176" s="134" t="n"/>
      <c r="H176" s="134" t="n"/>
      <c r="I176" s="134" t="n"/>
      <c r="J176" s="139">
        <f>IF($A176="","",TEXT($A176,"DD/MM/YYYY")&amp;"  —  "&amp;$B176&amp;IF($E176="",""," [Referral: "&amp;$E176&amp;"]")&amp;IF($G176="",""," [Competency: "&amp;$G176&amp;"]")&amp;IF($C176="",""," How it developed the skill: "&amp;$C176))</f>
        <v/>
      </c>
    </row>
    <row r="177" ht="15" customHeight="1" s="128">
      <c r="A177" s="138" t="n"/>
      <c r="B177" s="134" t="n"/>
      <c r="C177" s="134" t="n"/>
      <c r="D177" s="134" t="n"/>
      <c r="E177" s="134" t="n"/>
      <c r="F177" s="134" t="n"/>
      <c r="G177" s="134" t="n"/>
      <c r="H177" s="134" t="n"/>
      <c r="I177" s="134" t="n"/>
      <c r="J177" s="139">
        <f>IF($A177="","",TEXT($A177,"DD/MM/YYYY")&amp;"  —  "&amp;$B177&amp;IF($E177="",""," [Referral: "&amp;$E177&amp;"]")&amp;IF($G177="",""," [Competency: "&amp;$G177&amp;"]")&amp;IF($C177="",""," How it developed the skill: "&amp;$C177))</f>
        <v/>
      </c>
    </row>
    <row r="178" ht="15" customHeight="1" s="128">
      <c r="A178" s="138" t="n"/>
      <c r="B178" s="134" t="n"/>
      <c r="C178" s="134" t="n"/>
      <c r="D178" s="134" t="n"/>
      <c r="E178" s="134" t="n"/>
      <c r="F178" s="134" t="n"/>
      <c r="G178" s="134" t="n"/>
      <c r="H178" s="134" t="n"/>
      <c r="I178" s="134" t="n"/>
      <c r="J178" s="139">
        <f>IF($A178="","",TEXT($A178,"DD/MM/YYYY")&amp;"  —  "&amp;$B178&amp;IF($E178="",""," [Referral: "&amp;$E178&amp;"]")&amp;IF($G178="",""," [Competency: "&amp;$G178&amp;"]")&amp;IF($C178="",""," How it developed the skill: "&amp;$C178))</f>
        <v/>
      </c>
    </row>
    <row r="179" ht="15" customHeight="1" s="128">
      <c r="A179" s="138" t="n"/>
      <c r="B179" s="134" t="n"/>
      <c r="C179" s="134" t="n"/>
      <c r="D179" s="134" t="n"/>
      <c r="E179" s="134" t="n"/>
      <c r="F179" s="134" t="n"/>
      <c r="G179" s="134" t="n"/>
      <c r="H179" s="134" t="n"/>
      <c r="I179" s="134" t="n"/>
      <c r="J179" s="139">
        <f>IF($A179="","",TEXT($A179,"DD/MM/YYYY")&amp;"  —  "&amp;$B179&amp;IF($E179="",""," [Referral: "&amp;$E179&amp;"]")&amp;IF($G179="",""," [Competency: "&amp;$G179&amp;"]")&amp;IF($C179="",""," How it developed the skill: "&amp;$C179))</f>
        <v/>
      </c>
    </row>
    <row r="180" ht="15" customHeight="1" s="128">
      <c r="A180" s="138" t="n"/>
      <c r="B180" s="134" t="n"/>
      <c r="C180" s="134" t="n"/>
      <c r="D180" s="134" t="n"/>
      <c r="E180" s="134" t="n"/>
      <c r="F180" s="134" t="n"/>
      <c r="G180" s="134" t="n"/>
      <c r="H180" s="134" t="n"/>
      <c r="I180" s="134" t="n"/>
      <c r="J180" s="139">
        <f>IF($A180="","",TEXT($A180,"DD/MM/YYYY")&amp;"  —  "&amp;$B180&amp;IF($E180="",""," [Referral: "&amp;$E180&amp;"]")&amp;IF($G180="",""," [Competency: "&amp;$G180&amp;"]")&amp;IF($C180="",""," How it developed the skill: "&amp;$C180))</f>
        <v/>
      </c>
    </row>
    <row r="181" ht="15" customHeight="1" s="128">
      <c r="A181" s="138" t="n"/>
      <c r="B181" s="134" t="n"/>
      <c r="C181" s="134" t="n"/>
      <c r="D181" s="134" t="n"/>
      <c r="E181" s="134" t="n"/>
      <c r="F181" s="134" t="n"/>
      <c r="G181" s="134" t="n"/>
      <c r="H181" s="134" t="n"/>
      <c r="I181" s="134" t="n"/>
      <c r="J181" s="139">
        <f>IF($A181="","",TEXT($A181,"DD/MM/YYYY")&amp;"  —  "&amp;$B181&amp;IF($E181="",""," [Referral: "&amp;$E181&amp;"]")&amp;IF($G181="",""," [Competency: "&amp;$G181&amp;"]")&amp;IF($C181="",""," How it developed the skill: "&amp;$C181))</f>
        <v/>
      </c>
    </row>
    <row r="182" ht="15" customHeight="1" s="128">
      <c r="A182" s="138" t="n"/>
      <c r="B182" s="134" t="n"/>
      <c r="C182" s="134" t="n"/>
      <c r="D182" s="134" t="n"/>
      <c r="E182" s="134" t="n"/>
      <c r="F182" s="134" t="n"/>
      <c r="G182" s="134" t="n"/>
      <c r="H182" s="134" t="n"/>
      <c r="I182" s="134" t="n"/>
      <c r="J182" s="139">
        <f>IF($A182="","",TEXT($A182,"DD/MM/YYYY")&amp;"  —  "&amp;$B182&amp;IF($E182="",""," [Referral: "&amp;$E182&amp;"]")&amp;IF($G182="",""," [Competency: "&amp;$G182&amp;"]")&amp;IF($C182="",""," How it developed the skill: "&amp;$C182))</f>
        <v/>
      </c>
    </row>
    <row r="183" ht="15" customHeight="1" s="128">
      <c r="A183" s="138" t="n"/>
      <c r="B183" s="134" t="n"/>
      <c r="C183" s="134" t="n"/>
      <c r="D183" s="134" t="n"/>
      <c r="E183" s="134" t="n"/>
      <c r="F183" s="134" t="n"/>
      <c r="G183" s="134" t="n"/>
      <c r="H183" s="134" t="n"/>
      <c r="I183" s="134" t="n"/>
      <c r="J183" s="139">
        <f>IF($A183="","",TEXT($A183,"DD/MM/YYYY")&amp;"  —  "&amp;$B183&amp;IF($E183="",""," [Referral: "&amp;$E183&amp;"]")&amp;IF($G183="",""," [Competency: "&amp;$G183&amp;"]")&amp;IF($C183="",""," How it developed the skill: "&amp;$C183))</f>
        <v/>
      </c>
    </row>
    <row r="184" ht="15" customHeight="1" s="128">
      <c r="A184" s="138" t="n"/>
      <c r="B184" s="134" t="n"/>
      <c r="C184" s="134" t="n"/>
      <c r="D184" s="134" t="n"/>
      <c r="E184" s="134" t="n"/>
      <c r="F184" s="134" t="n"/>
      <c r="G184" s="134" t="n"/>
      <c r="H184" s="134" t="n"/>
      <c r="I184" s="134" t="n"/>
      <c r="J184" s="139">
        <f>IF($A184="","",TEXT($A184,"DD/MM/YYYY")&amp;"  —  "&amp;$B184&amp;IF($E184="",""," [Referral: "&amp;$E184&amp;"]")&amp;IF($G184="",""," [Competency: "&amp;$G184&amp;"]")&amp;IF($C184="",""," How it developed the skill: "&amp;$C184))</f>
        <v/>
      </c>
    </row>
    <row r="185" ht="15" customHeight="1" s="128">
      <c r="A185" s="138" t="n"/>
      <c r="B185" s="134" t="n"/>
      <c r="C185" s="134" t="n"/>
      <c r="D185" s="134" t="n"/>
      <c r="E185" s="134" t="n"/>
      <c r="F185" s="134" t="n"/>
      <c r="G185" s="134" t="n"/>
      <c r="H185" s="134" t="n"/>
      <c r="I185" s="134" t="n"/>
      <c r="J185" s="139">
        <f>IF($A185="","",TEXT($A185,"DD/MM/YYYY")&amp;"  —  "&amp;$B185&amp;IF($E185="",""," [Referral: "&amp;$E185&amp;"]")&amp;IF($G185="",""," [Competency: "&amp;$G185&amp;"]")&amp;IF($C185="",""," How it developed the skill: "&amp;$C185))</f>
        <v/>
      </c>
    </row>
    <row r="186" ht="15" customHeight="1" s="128">
      <c r="A186" s="138" t="n"/>
      <c r="B186" s="134" t="n"/>
      <c r="C186" s="134" t="n"/>
      <c r="D186" s="134" t="n"/>
      <c r="E186" s="134" t="n"/>
      <c r="F186" s="134" t="n"/>
      <c r="G186" s="134" t="n"/>
      <c r="H186" s="134" t="n"/>
      <c r="I186" s="134" t="n"/>
      <c r="J186" s="139">
        <f>IF($A186="","",TEXT($A186,"DD/MM/YYYY")&amp;"  —  "&amp;$B186&amp;IF($E186="",""," [Referral: "&amp;$E186&amp;"]")&amp;IF($G186="",""," [Competency: "&amp;$G186&amp;"]")&amp;IF($C186="",""," How it developed the skill: "&amp;$C186))</f>
        <v/>
      </c>
    </row>
    <row r="187" ht="15" customHeight="1" s="128">
      <c r="A187" s="138" t="n"/>
      <c r="B187" s="134" t="n"/>
      <c r="C187" s="134" t="n"/>
      <c r="D187" s="134" t="n"/>
      <c r="E187" s="134" t="n"/>
      <c r="F187" s="134" t="n"/>
      <c r="G187" s="134" t="n"/>
      <c r="H187" s="134" t="n"/>
      <c r="I187" s="134" t="n"/>
      <c r="J187" s="139">
        <f>IF($A187="","",TEXT($A187,"DD/MM/YYYY")&amp;"  —  "&amp;$B187&amp;IF($E187="",""," [Referral: "&amp;$E187&amp;"]")&amp;IF($G187="",""," [Competency: "&amp;$G187&amp;"]")&amp;IF($C187="",""," How it developed the skill: "&amp;$C187))</f>
        <v/>
      </c>
    </row>
    <row r="188" ht="15" customHeight="1" s="128">
      <c r="A188" s="138" t="n"/>
      <c r="B188" s="134" t="n"/>
      <c r="C188" s="134" t="n"/>
      <c r="D188" s="134" t="n"/>
      <c r="E188" s="134" t="n"/>
      <c r="F188" s="134" t="n"/>
      <c r="G188" s="134" t="n"/>
      <c r="H188" s="134" t="n"/>
      <c r="I188" s="134" t="n"/>
      <c r="J188" s="139">
        <f>IF($A188="","",TEXT($A188,"DD/MM/YYYY")&amp;"  —  "&amp;$B188&amp;IF($E188="",""," [Referral: "&amp;$E188&amp;"]")&amp;IF($G188="",""," [Competency: "&amp;$G188&amp;"]")&amp;IF($C188="",""," How it developed the skill: "&amp;$C188))</f>
        <v/>
      </c>
    </row>
    <row r="189" ht="15" customHeight="1" s="128">
      <c r="A189" s="138" t="n"/>
      <c r="B189" s="134" t="n"/>
      <c r="C189" s="134" t="n"/>
      <c r="D189" s="134" t="n"/>
      <c r="E189" s="134" t="n"/>
      <c r="F189" s="134" t="n"/>
      <c r="G189" s="134" t="n"/>
      <c r="H189" s="134" t="n"/>
      <c r="I189" s="134" t="n"/>
      <c r="J189" s="139">
        <f>IF($A189="","",TEXT($A189,"DD/MM/YYYY")&amp;"  —  "&amp;$B189&amp;IF($E189="",""," [Referral: "&amp;$E189&amp;"]")&amp;IF($G189="",""," [Competency: "&amp;$G189&amp;"]")&amp;IF($C189="",""," How it developed the skill: "&amp;$C189))</f>
        <v/>
      </c>
    </row>
    <row r="190" ht="15" customHeight="1" s="128">
      <c r="A190" s="138" t="n"/>
      <c r="B190" s="134" t="n"/>
      <c r="C190" s="134" t="n"/>
      <c r="D190" s="134" t="n"/>
      <c r="E190" s="134" t="n"/>
      <c r="F190" s="134" t="n"/>
      <c r="G190" s="134" t="n"/>
      <c r="H190" s="134" t="n"/>
      <c r="I190" s="134" t="n"/>
      <c r="J190" s="139">
        <f>IF($A190="","",TEXT($A190,"DD/MM/YYYY")&amp;"  —  "&amp;$B190&amp;IF($E190="",""," [Referral: "&amp;$E190&amp;"]")&amp;IF($G190="",""," [Competency: "&amp;$G190&amp;"]")&amp;IF($C190="",""," How it developed the skill: "&amp;$C190))</f>
        <v/>
      </c>
    </row>
    <row r="191" ht="15" customHeight="1" s="128">
      <c r="A191" s="138" t="n"/>
      <c r="B191" s="134" t="n"/>
      <c r="C191" s="134" t="n"/>
      <c r="D191" s="134" t="n"/>
      <c r="E191" s="134" t="n"/>
      <c r="F191" s="134" t="n"/>
      <c r="G191" s="134" t="n"/>
      <c r="H191" s="134" t="n"/>
      <c r="I191" s="134" t="n"/>
      <c r="J191" s="139">
        <f>IF($A191="","",TEXT($A191,"DD/MM/YYYY")&amp;"  —  "&amp;$B191&amp;IF($E191="",""," [Referral: "&amp;$E191&amp;"]")&amp;IF($G191="",""," [Competency: "&amp;$G191&amp;"]")&amp;IF($C191="",""," How it developed the skill: "&amp;$C191))</f>
        <v/>
      </c>
    </row>
    <row r="192" ht="15" customHeight="1" s="128">
      <c r="A192" s="138" t="n"/>
      <c r="B192" s="134" t="n"/>
      <c r="C192" s="134" t="n"/>
      <c r="D192" s="134" t="n"/>
      <c r="E192" s="134" t="n"/>
      <c r="F192" s="134" t="n"/>
      <c r="G192" s="134" t="n"/>
      <c r="H192" s="134" t="n"/>
      <c r="I192" s="134" t="n"/>
      <c r="J192" s="139">
        <f>IF($A192="","",TEXT($A192,"DD/MM/YYYY")&amp;"  —  "&amp;$B192&amp;IF($E192="",""," [Referral: "&amp;$E192&amp;"]")&amp;IF($G192="",""," [Competency: "&amp;$G192&amp;"]")&amp;IF($C192="",""," How it developed the skill: "&amp;$C192))</f>
        <v/>
      </c>
    </row>
    <row r="193" ht="15" customHeight="1" s="128">
      <c r="A193" s="138" t="n"/>
      <c r="B193" s="134" t="n"/>
      <c r="C193" s="134" t="n"/>
      <c r="D193" s="134" t="n"/>
      <c r="E193" s="134" t="n"/>
      <c r="F193" s="134" t="n"/>
      <c r="G193" s="134" t="n"/>
      <c r="H193" s="134" t="n"/>
      <c r="I193" s="134" t="n"/>
      <c r="J193" s="139">
        <f>IF($A193="","",TEXT($A193,"DD/MM/YYYY")&amp;"  —  "&amp;$B193&amp;IF($E193="",""," [Referral: "&amp;$E193&amp;"]")&amp;IF($G193="",""," [Competency: "&amp;$G193&amp;"]")&amp;IF($C193="",""," How it developed the skill: "&amp;$C193))</f>
        <v/>
      </c>
    </row>
    <row r="194" ht="15" customHeight="1" s="128">
      <c r="A194" s="138" t="n"/>
      <c r="B194" s="134" t="n"/>
      <c r="C194" s="134" t="n"/>
      <c r="D194" s="134" t="n"/>
      <c r="E194" s="134" t="n"/>
      <c r="F194" s="134" t="n"/>
      <c r="G194" s="134" t="n"/>
      <c r="H194" s="134" t="n"/>
      <c r="I194" s="134" t="n"/>
      <c r="J194" s="139">
        <f>IF($A194="","",TEXT($A194,"DD/MM/YYYY")&amp;"  —  "&amp;$B194&amp;IF($E194="",""," [Referral: "&amp;$E194&amp;"]")&amp;IF($G194="",""," [Competency: "&amp;$G194&amp;"]")&amp;IF($C194="",""," How it developed the skill: "&amp;$C194))</f>
        <v/>
      </c>
    </row>
    <row r="195" ht="15" customHeight="1" s="128">
      <c r="A195" s="138" t="n"/>
      <c r="B195" s="134" t="n"/>
      <c r="C195" s="134" t="n"/>
      <c r="D195" s="134" t="n"/>
      <c r="E195" s="134" t="n"/>
      <c r="F195" s="134" t="n"/>
      <c r="G195" s="134" t="n"/>
      <c r="H195" s="134" t="n"/>
      <c r="I195" s="134" t="n"/>
      <c r="J195" s="139">
        <f>IF($A195="","",TEXT($A195,"DD/MM/YYYY")&amp;"  —  "&amp;$B195&amp;IF($E195="",""," [Referral: "&amp;$E195&amp;"]")&amp;IF($G195="",""," [Competency: "&amp;$G195&amp;"]")&amp;IF($C195="",""," How it developed the skill: "&amp;$C195))</f>
        <v/>
      </c>
    </row>
    <row r="196" ht="15" customHeight="1" s="128">
      <c r="A196" s="138" t="n"/>
      <c r="B196" s="134" t="n"/>
      <c r="C196" s="134" t="n"/>
      <c r="D196" s="134" t="n"/>
      <c r="E196" s="134" t="n"/>
      <c r="F196" s="134" t="n"/>
      <c r="G196" s="134" t="n"/>
      <c r="H196" s="134" t="n"/>
      <c r="I196" s="134" t="n"/>
      <c r="J196" s="139">
        <f>IF($A196="","",TEXT($A196,"DD/MM/YYYY")&amp;"  —  "&amp;$B196&amp;IF($E196="",""," [Referral: "&amp;$E196&amp;"]")&amp;IF($G196="",""," [Competency: "&amp;$G196&amp;"]")&amp;IF($C196="",""," How it developed the skill: "&amp;$C196))</f>
        <v/>
      </c>
    </row>
    <row r="197" ht="15" customHeight="1" s="128">
      <c r="A197" s="138" t="n"/>
      <c r="B197" s="134" t="n"/>
      <c r="C197" s="134" t="n"/>
      <c r="D197" s="134" t="n"/>
      <c r="E197" s="134" t="n"/>
      <c r="F197" s="134" t="n"/>
      <c r="G197" s="134" t="n"/>
      <c r="H197" s="134" t="n"/>
      <c r="I197" s="134" t="n"/>
      <c r="J197" s="139">
        <f>IF($A197="","",TEXT($A197,"DD/MM/YYYY")&amp;"  —  "&amp;$B197&amp;IF($E197="",""," [Referral: "&amp;$E197&amp;"]")&amp;IF($G197="",""," [Competency: "&amp;$G197&amp;"]")&amp;IF($C197="",""," How it developed the skill: "&amp;$C197))</f>
        <v/>
      </c>
    </row>
    <row r="198" ht="15" customHeight="1" s="128">
      <c r="A198" s="138" t="n"/>
      <c r="B198" s="134" t="n"/>
      <c r="C198" s="134" t="n"/>
      <c r="D198" s="134" t="n"/>
      <c r="E198" s="134" t="n"/>
      <c r="F198" s="134" t="n"/>
      <c r="G198" s="134" t="n"/>
      <c r="H198" s="134" t="n"/>
      <c r="I198" s="134" t="n"/>
      <c r="J198" s="139">
        <f>IF($A198="","",TEXT($A198,"DD/MM/YYYY")&amp;"  —  "&amp;$B198&amp;IF($E198="",""," [Referral: "&amp;$E198&amp;"]")&amp;IF($G198="",""," [Competency: "&amp;$G198&amp;"]")&amp;IF($C198="",""," How it developed the skill: "&amp;$C198))</f>
        <v/>
      </c>
    </row>
    <row r="199" ht="15" customHeight="1" s="128">
      <c r="A199" s="138" t="n"/>
      <c r="B199" s="134" t="n"/>
      <c r="C199" s="134" t="n"/>
      <c r="D199" s="134" t="n"/>
      <c r="E199" s="134" t="n"/>
      <c r="F199" s="134" t="n"/>
      <c r="G199" s="134" t="n"/>
      <c r="H199" s="134" t="n"/>
      <c r="I199" s="134" t="n"/>
      <c r="J199" s="139">
        <f>IF($A199="","",TEXT($A199,"DD/MM/YYYY")&amp;"  —  "&amp;$B199&amp;IF($E199="",""," [Referral: "&amp;$E199&amp;"]")&amp;IF($G199="",""," [Competency: "&amp;$G199&amp;"]")&amp;IF($C199="",""," How it developed the skill: "&amp;$C199))</f>
        <v/>
      </c>
    </row>
    <row r="200" ht="15" customHeight="1" s="128">
      <c r="A200" s="138" t="n"/>
      <c r="B200" s="134" t="n"/>
      <c r="C200" s="134" t="n"/>
      <c r="D200" s="134" t="n"/>
      <c r="E200" s="134" t="n"/>
      <c r="F200" s="134" t="n"/>
      <c r="G200" s="134" t="n"/>
      <c r="H200" s="134" t="n"/>
      <c r="I200" s="134" t="n"/>
      <c r="J200" s="139">
        <f>IF($A200="","",TEXT($A200,"DD/MM/YYYY")&amp;"  —  "&amp;$B200&amp;IF($E200="",""," [Referral: "&amp;$E200&amp;"]")&amp;IF($G200="",""," [Competency: "&amp;$G200&amp;"]")&amp;IF($C200="",""," How it developed the skill: "&amp;$C200))</f>
        <v/>
      </c>
    </row>
    <row r="201" ht="15" customHeight="1" s="128">
      <c r="A201" s="138" t="n"/>
      <c r="B201" s="134" t="n"/>
      <c r="C201" s="134" t="n"/>
      <c r="D201" s="134" t="n"/>
      <c r="E201" s="134" t="n"/>
      <c r="F201" s="134" t="n"/>
      <c r="G201" s="134" t="n"/>
      <c r="H201" s="134" t="n"/>
      <c r="I201" s="134" t="n"/>
      <c r="J201" s="139">
        <f>IF($A201="","",TEXT($A201,"DD/MM/YYYY")&amp;"  —  "&amp;$B201&amp;IF($E201="",""," [Referral: "&amp;$E201&amp;"]")&amp;IF($G201="",""," [Competency: "&amp;$G201&amp;"]")&amp;IF($C201="",""," How it developed the skill: "&amp;$C201))</f>
        <v/>
      </c>
    </row>
    <row r="202" ht="15" customHeight="1" s="128">
      <c r="A202" s="138" t="n"/>
      <c r="B202" s="134" t="n"/>
      <c r="C202" s="134" t="n"/>
      <c r="D202" s="134" t="n"/>
      <c r="E202" s="134" t="n"/>
      <c r="F202" s="134" t="n"/>
      <c r="G202" s="134" t="n"/>
      <c r="H202" s="134" t="n"/>
      <c r="I202" s="134" t="n"/>
      <c r="J202" s="139">
        <f>IF($A202="","",TEXT($A202,"DD/MM/YYYY")&amp;"  —  "&amp;$B202&amp;IF($E202="",""," [Referral: "&amp;$E202&amp;"]")&amp;IF($G202="",""," [Competency: "&amp;$G202&amp;"]")&amp;IF($C202="",""," How it developed the skill: "&amp;$C202))</f>
        <v/>
      </c>
    </row>
    <row r="203" ht="15" customHeight="1" s="128">
      <c r="A203" s="138" t="n"/>
      <c r="B203" s="134" t="n"/>
      <c r="C203" s="134" t="n"/>
      <c r="D203" s="134" t="n"/>
      <c r="E203" s="134" t="n"/>
      <c r="F203" s="134" t="n"/>
      <c r="G203" s="134" t="n"/>
      <c r="H203" s="134" t="n"/>
      <c r="I203" s="134" t="n"/>
      <c r="J203" s="139">
        <f>IF($A203="","",TEXT($A203,"DD/MM/YYYY")&amp;"  —  "&amp;$B203&amp;IF($E203="",""," [Referral: "&amp;$E203&amp;"]")&amp;IF($G203="",""," [Competency: "&amp;$G203&amp;"]")&amp;IF($C203="",""," How it developed the skill: "&amp;$C203))</f>
        <v/>
      </c>
    </row>
    <row r="204" ht="15" customHeight="1" s="128">
      <c r="A204" s="138" t="n"/>
      <c r="B204" s="134" t="n"/>
      <c r="C204" s="134" t="n"/>
      <c r="D204" s="134" t="n"/>
      <c r="E204" s="134" t="n"/>
      <c r="F204" s="134" t="n"/>
      <c r="G204" s="134" t="n"/>
      <c r="H204" s="134" t="n"/>
      <c r="I204" s="134" t="n"/>
      <c r="J204" s="139">
        <f>IF($A204="","",TEXT($A204,"DD/MM/YYYY")&amp;"  —  "&amp;$B204&amp;IF($E204="",""," [Referral: "&amp;$E204&amp;"]")&amp;IF($G204="",""," [Competency: "&amp;$G204&amp;"]")&amp;IF($C204="",""," How it developed the skill: "&amp;$C204))</f>
        <v/>
      </c>
    </row>
    <row r="205" ht="15" customHeight="1" s="128">
      <c r="A205" s="138" t="n"/>
      <c r="B205" s="134" t="n"/>
      <c r="C205" s="134" t="n"/>
      <c r="D205" s="134" t="n"/>
      <c r="E205" s="134" t="n"/>
      <c r="F205" s="134" t="n"/>
      <c r="G205" s="134" t="n"/>
      <c r="H205" s="134" t="n"/>
      <c r="I205" s="134" t="n"/>
      <c r="J205" s="139">
        <f>IF($A205="","",TEXT($A205,"DD/MM/YYYY")&amp;"  —  "&amp;$B205&amp;IF($E205="",""," [Referral: "&amp;$E205&amp;"]")&amp;IF($G205="",""," [Competency: "&amp;$G205&amp;"]")&amp;IF($C205="",""," How it developed the skill: "&amp;$C205))</f>
        <v/>
      </c>
    </row>
    <row r="206" ht="15" customHeight="1" s="128">
      <c r="A206" s="138" t="n"/>
      <c r="B206" s="134" t="n"/>
      <c r="C206" s="134" t="n"/>
      <c r="D206" s="134" t="n"/>
      <c r="E206" s="134" t="n"/>
      <c r="F206" s="134" t="n"/>
      <c r="G206" s="134" t="n"/>
      <c r="H206" s="134" t="n"/>
      <c r="I206" s="134" t="n"/>
      <c r="J206" s="139">
        <f>IF($A206="","",TEXT($A206,"DD/MM/YYYY")&amp;"  —  "&amp;$B206&amp;IF($E206="",""," [Referral: "&amp;$E206&amp;"]")&amp;IF($G206="",""," [Competency: "&amp;$G206&amp;"]")&amp;IF($C206="",""," How it developed the skill: "&amp;$C206))</f>
        <v/>
      </c>
    </row>
    <row r="207" ht="15" customHeight="1" s="128">
      <c r="A207" s="138" t="n"/>
      <c r="B207" s="134" t="n"/>
      <c r="C207" s="134" t="n"/>
      <c r="D207" s="134" t="n"/>
      <c r="E207" s="134" t="n"/>
      <c r="F207" s="134" t="n"/>
      <c r="G207" s="134" t="n"/>
      <c r="H207" s="134" t="n"/>
      <c r="I207" s="134" t="n"/>
      <c r="J207" s="139">
        <f>IF($A207="","",TEXT($A207,"DD/MM/YYYY")&amp;"  —  "&amp;$B207&amp;IF($E207="",""," [Referral: "&amp;$E207&amp;"]")&amp;IF($G207="",""," [Competency: "&amp;$G207&amp;"]")&amp;IF($C207="",""," How it developed the skill: "&amp;$C207))</f>
        <v/>
      </c>
    </row>
    <row r="208" ht="15" customHeight="1" s="128">
      <c r="A208" s="138" t="n"/>
      <c r="B208" s="134" t="n"/>
      <c r="C208" s="134" t="n"/>
      <c r="D208" s="134" t="n"/>
      <c r="E208" s="134" t="n"/>
      <c r="F208" s="134" t="n"/>
      <c r="G208" s="134" t="n"/>
      <c r="H208" s="134" t="n"/>
      <c r="I208" s="134" t="n"/>
      <c r="J208" s="139">
        <f>IF($A208="","",TEXT($A208,"DD/MM/YYYY")&amp;"  —  "&amp;$B208&amp;IF($E208="",""," [Referral: "&amp;$E208&amp;"]")&amp;IF($G208="",""," [Competency: "&amp;$G208&amp;"]")&amp;IF($C208="",""," How it developed the skill: "&amp;$C208))</f>
        <v/>
      </c>
    </row>
    <row r="209" ht="15" customHeight="1" s="128">
      <c r="A209" s="138" t="n"/>
      <c r="B209" s="134" t="n"/>
      <c r="C209" s="134" t="n"/>
      <c r="D209" s="134" t="n"/>
      <c r="E209" s="134" t="n"/>
      <c r="F209" s="134" t="n"/>
      <c r="G209" s="134" t="n"/>
      <c r="H209" s="134" t="n"/>
      <c r="I209" s="134" t="n"/>
      <c r="J209" s="139">
        <f>IF($A209="","",TEXT($A209,"DD/MM/YYYY")&amp;"  —  "&amp;$B209&amp;IF($E209="",""," [Referral: "&amp;$E209&amp;"]")&amp;IF($G209="",""," [Competency: "&amp;$G209&amp;"]")&amp;IF($C209="",""," How it developed the skill: "&amp;$C209))</f>
        <v/>
      </c>
    </row>
    <row r="210" ht="15" customHeight="1" s="128">
      <c r="A210" s="138" t="n"/>
      <c r="B210" s="134" t="n"/>
      <c r="C210" s="134" t="n"/>
      <c r="D210" s="134" t="n"/>
      <c r="E210" s="134" t="n"/>
      <c r="F210" s="134" t="n"/>
      <c r="G210" s="134" t="n"/>
      <c r="H210" s="134" t="n"/>
      <c r="I210" s="134" t="n"/>
      <c r="J210" s="139">
        <f>IF($A210="","",TEXT($A210,"DD/MM/YYYY")&amp;"  —  "&amp;$B210&amp;IF($E210="",""," [Referral: "&amp;$E210&amp;"]")&amp;IF($G210="",""," [Competency: "&amp;$G210&amp;"]")&amp;IF($C210="",""," How it developed the skill: "&amp;$C210))</f>
        <v/>
      </c>
    </row>
    <row r="211" ht="15" customHeight="1" s="128">
      <c r="A211" s="138" t="n"/>
      <c r="B211" s="134" t="n"/>
      <c r="C211" s="134" t="n"/>
      <c r="D211" s="134" t="n"/>
      <c r="E211" s="134" t="n"/>
      <c r="F211" s="134" t="n"/>
      <c r="G211" s="134" t="n"/>
      <c r="H211" s="134" t="n"/>
      <c r="I211" s="134" t="n"/>
      <c r="J211" s="139">
        <f>IF($A211="","",TEXT($A211,"DD/MM/YYYY")&amp;"  —  "&amp;$B211&amp;IF($E211="",""," [Referral: "&amp;$E211&amp;"]")&amp;IF($G211="",""," [Competency: "&amp;$G211&amp;"]")&amp;IF($C211="",""," How it developed the skill: "&amp;$C211))</f>
        <v/>
      </c>
    </row>
    <row r="212" ht="15" customHeight="1" s="128">
      <c r="A212" s="138" t="n"/>
      <c r="B212" s="134" t="n"/>
      <c r="C212" s="134" t="n"/>
      <c r="D212" s="134" t="n"/>
      <c r="E212" s="134" t="n"/>
      <c r="F212" s="134" t="n"/>
      <c r="G212" s="134" t="n"/>
      <c r="H212" s="134" t="n"/>
      <c r="I212" s="134" t="n"/>
      <c r="J212" s="139">
        <f>IF($A212="","",TEXT($A212,"DD/MM/YYYY")&amp;"  —  "&amp;$B212&amp;IF($E212="",""," [Referral: "&amp;$E212&amp;"]")&amp;IF($G212="",""," [Competency: "&amp;$G212&amp;"]")&amp;IF($C212="",""," How it developed the skill: "&amp;$C212))</f>
        <v/>
      </c>
    </row>
    <row r="213" ht="15" customHeight="1" s="128">
      <c r="A213" s="138" t="n"/>
      <c r="B213" s="134" t="n"/>
      <c r="C213" s="134" t="n"/>
      <c r="D213" s="134" t="n"/>
      <c r="E213" s="134" t="n"/>
      <c r="F213" s="134" t="n"/>
      <c r="G213" s="134" t="n"/>
      <c r="H213" s="134" t="n"/>
      <c r="I213" s="134" t="n"/>
      <c r="J213" s="139">
        <f>IF($A213="","",TEXT($A213,"DD/MM/YYYY")&amp;"  —  "&amp;$B213&amp;IF($E213="",""," [Referral: "&amp;$E213&amp;"]")&amp;IF($G213="",""," [Competency: "&amp;$G213&amp;"]")&amp;IF($C213="",""," How it developed the skill: "&amp;$C213))</f>
        <v/>
      </c>
    </row>
    <row r="214" ht="15" customHeight="1" s="128">
      <c r="A214" s="138" t="n"/>
      <c r="B214" s="134" t="n"/>
      <c r="C214" s="134" t="n"/>
      <c r="D214" s="134" t="n"/>
      <c r="E214" s="134" t="n"/>
      <c r="F214" s="134" t="n"/>
      <c r="G214" s="134" t="n"/>
      <c r="H214" s="134" t="n"/>
      <c r="I214" s="134" t="n"/>
      <c r="J214" s="139">
        <f>IF($A214="","",TEXT($A214,"DD/MM/YYYY")&amp;"  —  "&amp;$B214&amp;IF($E214="",""," [Referral: "&amp;$E214&amp;"]")&amp;IF($G214="",""," [Competency: "&amp;$G214&amp;"]")&amp;IF($C214="",""," How it developed the skill: "&amp;$C214))</f>
        <v/>
      </c>
    </row>
    <row r="215" ht="15" customHeight="1" s="128">
      <c r="A215" s="138" t="n"/>
      <c r="B215" s="134" t="n"/>
      <c r="C215" s="134" t="n"/>
      <c r="D215" s="134" t="n"/>
      <c r="E215" s="134" t="n"/>
      <c r="F215" s="134" t="n"/>
      <c r="G215" s="134" t="n"/>
      <c r="H215" s="134" t="n"/>
      <c r="I215" s="134" t="n"/>
      <c r="J215" s="139">
        <f>IF($A215="","",TEXT($A215,"DD/MM/YYYY")&amp;"  —  "&amp;$B215&amp;IF($E215="",""," [Referral: "&amp;$E215&amp;"]")&amp;IF($G215="",""," [Competency: "&amp;$G215&amp;"]")&amp;IF($C215="",""," How it developed the skill: "&amp;$C215))</f>
        <v/>
      </c>
    </row>
    <row r="216" ht="15" customHeight="1" s="128">
      <c r="A216" s="138" t="n"/>
      <c r="B216" s="134" t="n"/>
      <c r="C216" s="134" t="n"/>
      <c r="D216" s="134" t="n"/>
      <c r="E216" s="134" t="n"/>
      <c r="F216" s="134" t="n"/>
      <c r="G216" s="134" t="n"/>
      <c r="H216" s="134" t="n"/>
      <c r="I216" s="134" t="n"/>
      <c r="J216" s="139">
        <f>IF($A216="","",TEXT($A216,"DD/MM/YYYY")&amp;"  —  "&amp;$B216&amp;IF($E216="",""," [Referral: "&amp;$E216&amp;"]")&amp;IF($G216="",""," [Competency: "&amp;$G216&amp;"]")&amp;IF($C216="",""," How it developed the skill: "&amp;$C216))</f>
        <v/>
      </c>
    </row>
    <row r="217" ht="15" customHeight="1" s="128">
      <c r="A217" s="138" t="n"/>
      <c r="B217" s="134" t="n"/>
      <c r="C217" s="134" t="n"/>
      <c r="D217" s="134" t="n"/>
      <c r="E217" s="134" t="n"/>
      <c r="F217" s="134" t="n"/>
      <c r="G217" s="134" t="n"/>
      <c r="H217" s="134" t="n"/>
      <c r="I217" s="134" t="n"/>
      <c r="J217" s="139">
        <f>IF($A217="","",TEXT($A217,"DD/MM/YYYY")&amp;"  —  "&amp;$B217&amp;IF($E217="",""," [Referral: "&amp;$E217&amp;"]")&amp;IF($G217="",""," [Competency: "&amp;$G217&amp;"]")&amp;IF($C217="",""," How it developed the skill: "&amp;$C217))</f>
        <v/>
      </c>
    </row>
    <row r="218" ht="15" customHeight="1" s="128">
      <c r="A218" s="138" t="n"/>
      <c r="B218" s="134" t="n"/>
      <c r="C218" s="134" t="n"/>
      <c r="D218" s="134" t="n"/>
      <c r="E218" s="134" t="n"/>
      <c r="F218" s="134" t="n"/>
      <c r="G218" s="134" t="n"/>
      <c r="H218" s="134" t="n"/>
      <c r="I218" s="134" t="n"/>
      <c r="J218" s="139">
        <f>IF($A218="","",TEXT($A218,"DD/MM/YYYY")&amp;"  —  "&amp;$B218&amp;IF($E218="",""," [Referral: "&amp;$E218&amp;"]")&amp;IF($G218="",""," [Competency: "&amp;$G218&amp;"]")&amp;IF($C218="",""," How it developed the skill: "&amp;$C218))</f>
        <v/>
      </c>
    </row>
    <row r="219" ht="15" customHeight="1" s="128">
      <c r="A219" s="138" t="n"/>
      <c r="B219" s="134" t="n"/>
      <c r="C219" s="134" t="n"/>
      <c r="D219" s="134" t="n"/>
      <c r="E219" s="134" t="n"/>
      <c r="F219" s="134" t="n"/>
      <c r="G219" s="134" t="n"/>
      <c r="H219" s="134" t="n"/>
      <c r="I219" s="134" t="n"/>
      <c r="J219" s="139">
        <f>IF($A219="","",TEXT($A219,"DD/MM/YYYY")&amp;"  —  "&amp;$B219&amp;IF($E219="",""," [Referral: "&amp;$E219&amp;"]")&amp;IF($G219="",""," [Competency: "&amp;$G219&amp;"]")&amp;IF($C219="",""," How it developed the skill: "&amp;$C219))</f>
        <v/>
      </c>
    </row>
    <row r="220" ht="15" customHeight="1" s="128">
      <c r="A220" s="138" t="n"/>
      <c r="B220" s="134" t="n"/>
      <c r="C220" s="134" t="n"/>
      <c r="D220" s="134" t="n"/>
      <c r="E220" s="134" t="n"/>
      <c r="F220" s="134" t="n"/>
      <c r="G220" s="134" t="n"/>
      <c r="H220" s="134" t="n"/>
      <c r="I220" s="134" t="n"/>
      <c r="J220" s="139">
        <f>IF($A220="","",TEXT($A220,"DD/MM/YYYY")&amp;"  —  "&amp;$B220&amp;IF($E220="",""," [Referral: "&amp;$E220&amp;"]")&amp;IF($G220="",""," [Competency: "&amp;$G220&amp;"]")&amp;IF($C220="",""," How it developed the skill: "&amp;$C220))</f>
        <v/>
      </c>
    </row>
    <row r="221" ht="15" customHeight="1" s="128">
      <c r="A221" s="138" t="n"/>
      <c r="B221" s="134" t="n"/>
      <c r="C221" s="134" t="n"/>
      <c r="D221" s="134" t="n"/>
      <c r="E221" s="134" t="n"/>
      <c r="F221" s="134" t="n"/>
      <c r="G221" s="134" t="n"/>
      <c r="H221" s="134" t="n"/>
      <c r="I221" s="134" t="n"/>
      <c r="J221" s="139">
        <f>IF($A221="","",TEXT($A221,"DD/MM/YYYY")&amp;"  —  "&amp;$B221&amp;IF($E221="",""," [Referral: "&amp;$E221&amp;"]")&amp;IF($G221="",""," [Competency: "&amp;$G221&amp;"]")&amp;IF($C221="",""," How it developed the skill: "&amp;$C221))</f>
        <v/>
      </c>
    </row>
    <row r="222" ht="15" customHeight="1" s="128">
      <c r="A222" s="138" t="n"/>
      <c r="B222" s="134" t="n"/>
      <c r="C222" s="134" t="n"/>
      <c r="D222" s="134" t="n"/>
      <c r="E222" s="134" t="n"/>
      <c r="F222" s="134" t="n"/>
      <c r="G222" s="134" t="n"/>
      <c r="H222" s="134" t="n"/>
      <c r="I222" s="134" t="n"/>
      <c r="J222" s="139">
        <f>IF($A222="","",TEXT($A222,"DD/MM/YYYY")&amp;"  —  "&amp;$B222&amp;IF($E222="",""," [Referral: "&amp;$E222&amp;"]")&amp;IF($G222="",""," [Competency: "&amp;$G222&amp;"]")&amp;IF($C222="",""," How it developed the skill: "&amp;$C222))</f>
        <v/>
      </c>
    </row>
    <row r="223" ht="15" customHeight="1" s="128">
      <c r="A223" s="138" t="n"/>
      <c r="B223" s="134" t="n"/>
      <c r="C223" s="134" t="n"/>
      <c r="D223" s="134" t="n"/>
      <c r="E223" s="134" t="n"/>
      <c r="F223" s="134" t="n"/>
      <c r="G223" s="134" t="n"/>
      <c r="H223" s="134" t="n"/>
      <c r="I223" s="134" t="n"/>
      <c r="J223" s="139">
        <f>IF($A223="","",TEXT($A223,"DD/MM/YYYY")&amp;"  —  "&amp;$B223&amp;IF($E223="",""," [Referral: "&amp;$E223&amp;"]")&amp;IF($G223="",""," [Competency: "&amp;$G223&amp;"]")&amp;IF($C223="",""," How it developed the skill: "&amp;$C223))</f>
        <v/>
      </c>
    </row>
    <row r="224" ht="15" customHeight="1" s="128">
      <c r="A224" s="138" t="n"/>
      <c r="B224" s="134" t="n"/>
      <c r="C224" s="134" t="n"/>
      <c r="D224" s="134" t="n"/>
      <c r="E224" s="134" t="n"/>
      <c r="F224" s="134" t="n"/>
      <c r="G224" s="134" t="n"/>
      <c r="H224" s="134" t="n"/>
      <c r="I224" s="134" t="n"/>
      <c r="J224" s="139">
        <f>IF($A224="","",TEXT($A224,"DD/MM/YYYY")&amp;"  —  "&amp;$B224&amp;IF($E224="",""," [Referral: "&amp;$E224&amp;"]")&amp;IF($G224="",""," [Competency: "&amp;$G224&amp;"]")&amp;IF($C224="",""," How it developed the skill: "&amp;$C224))</f>
        <v/>
      </c>
    </row>
    <row r="225" ht="15" customHeight="1" s="128">
      <c r="A225" s="138" t="n"/>
      <c r="B225" s="134" t="n"/>
      <c r="C225" s="134" t="n"/>
      <c r="D225" s="134" t="n"/>
      <c r="E225" s="134" t="n"/>
      <c r="F225" s="134" t="n"/>
      <c r="G225" s="134" t="n"/>
      <c r="H225" s="134" t="n"/>
      <c r="I225" s="134" t="n"/>
      <c r="J225" s="139">
        <f>IF($A225="","",TEXT($A225,"DD/MM/YYYY")&amp;"  —  "&amp;$B225&amp;IF($E225="",""," [Referral: "&amp;$E225&amp;"]")&amp;IF($G225="",""," [Competency: "&amp;$G225&amp;"]")&amp;IF($C225="",""," How it developed the skill: "&amp;$C225))</f>
        <v/>
      </c>
    </row>
    <row r="226" ht="15" customHeight="1" s="128">
      <c r="A226" s="138" t="n"/>
      <c r="B226" s="134" t="n"/>
      <c r="C226" s="134" t="n"/>
      <c r="D226" s="134" t="n"/>
      <c r="E226" s="134" t="n"/>
      <c r="F226" s="134" t="n"/>
      <c r="G226" s="134" t="n"/>
      <c r="H226" s="134" t="n"/>
      <c r="I226" s="134" t="n"/>
      <c r="J226" s="139">
        <f>IF($A226="","",TEXT($A226,"DD/MM/YYYY")&amp;"  —  "&amp;$B226&amp;IF($E226="",""," [Referral: "&amp;$E226&amp;"]")&amp;IF($G226="",""," [Competency: "&amp;$G226&amp;"]")&amp;IF($C226="",""," How it developed the skill: "&amp;$C226))</f>
        <v/>
      </c>
    </row>
    <row r="227" ht="15" customHeight="1" s="128">
      <c r="A227" s="138" t="n"/>
      <c r="B227" s="134" t="n"/>
      <c r="C227" s="134" t="n"/>
      <c r="D227" s="134" t="n"/>
      <c r="E227" s="134" t="n"/>
      <c r="F227" s="134" t="n"/>
      <c r="G227" s="134" t="n"/>
      <c r="H227" s="134" t="n"/>
      <c r="I227" s="134" t="n"/>
      <c r="J227" s="139">
        <f>IF($A227="","",TEXT($A227,"DD/MM/YYYY")&amp;"  —  "&amp;$B227&amp;IF($E227="",""," [Referral: "&amp;$E227&amp;"]")&amp;IF($G227="",""," [Competency: "&amp;$G227&amp;"]")&amp;IF($C227="",""," How it developed the skill: "&amp;$C227))</f>
        <v/>
      </c>
    </row>
    <row r="228" ht="15" customHeight="1" s="128">
      <c r="A228" s="138" t="n"/>
      <c r="B228" s="134" t="n"/>
      <c r="C228" s="134" t="n"/>
      <c r="D228" s="134" t="n"/>
      <c r="E228" s="134" t="n"/>
      <c r="F228" s="134" t="n"/>
      <c r="G228" s="134" t="n"/>
      <c r="H228" s="134" t="n"/>
      <c r="I228" s="134" t="n"/>
      <c r="J228" s="139">
        <f>IF($A228="","",TEXT($A228,"DD/MM/YYYY")&amp;"  —  "&amp;$B228&amp;IF($E228="",""," [Referral: "&amp;$E228&amp;"]")&amp;IF($G228="",""," [Competency: "&amp;$G228&amp;"]")&amp;IF($C228="",""," How it developed the skill: "&amp;$C228))</f>
        <v/>
      </c>
    </row>
    <row r="229" ht="15" customHeight="1" s="128">
      <c r="A229" s="138" t="n"/>
      <c r="B229" s="134" t="n"/>
      <c r="C229" s="134" t="n"/>
      <c r="D229" s="134" t="n"/>
      <c r="E229" s="134" t="n"/>
      <c r="F229" s="134" t="n"/>
      <c r="G229" s="134" t="n"/>
      <c r="H229" s="134" t="n"/>
      <c r="I229" s="134" t="n"/>
      <c r="J229" s="139">
        <f>IF($A229="","",TEXT($A229,"DD/MM/YYYY")&amp;"  —  "&amp;$B229&amp;IF($E229="",""," [Referral: "&amp;$E229&amp;"]")&amp;IF($G229="",""," [Competency: "&amp;$G229&amp;"]")&amp;IF($C229="",""," How it developed the skill: "&amp;$C229))</f>
        <v/>
      </c>
    </row>
    <row r="230" ht="15" customHeight="1" s="128">
      <c r="A230" s="138" t="n"/>
      <c r="B230" s="134" t="n"/>
      <c r="C230" s="134" t="n"/>
      <c r="D230" s="134" t="n"/>
      <c r="E230" s="134" t="n"/>
      <c r="F230" s="134" t="n"/>
      <c r="G230" s="134" t="n"/>
      <c r="H230" s="134" t="n"/>
      <c r="I230" s="134" t="n"/>
      <c r="J230" s="139">
        <f>IF($A230="","",TEXT($A230,"DD/MM/YYYY")&amp;"  —  "&amp;$B230&amp;IF($E230="",""," [Referral: "&amp;$E230&amp;"]")&amp;IF($G230="",""," [Competency: "&amp;$G230&amp;"]")&amp;IF($C230="",""," How it developed the skill: "&amp;$C230))</f>
        <v/>
      </c>
    </row>
    <row r="231" ht="15" customHeight="1" s="128">
      <c r="A231" s="138" t="n"/>
      <c r="B231" s="134" t="n"/>
      <c r="C231" s="134" t="n"/>
      <c r="D231" s="134" t="n"/>
      <c r="E231" s="134" t="n"/>
      <c r="F231" s="134" t="n"/>
      <c r="G231" s="134" t="n"/>
      <c r="H231" s="134" t="n"/>
      <c r="I231" s="134" t="n"/>
      <c r="J231" s="139">
        <f>IF($A231="","",TEXT($A231,"DD/MM/YYYY")&amp;"  —  "&amp;$B231&amp;IF($E231="",""," [Referral: "&amp;$E231&amp;"]")&amp;IF($G231="",""," [Competency: "&amp;$G231&amp;"]")&amp;IF($C231="",""," How it developed the skill: "&amp;$C231))</f>
        <v/>
      </c>
    </row>
    <row r="232" ht="15" customHeight="1" s="128">
      <c r="A232" s="138" t="n"/>
      <c r="B232" s="134" t="n"/>
      <c r="C232" s="134" t="n"/>
      <c r="D232" s="134" t="n"/>
      <c r="E232" s="134" t="n"/>
      <c r="F232" s="134" t="n"/>
      <c r="G232" s="134" t="n"/>
      <c r="H232" s="134" t="n"/>
      <c r="I232" s="134" t="n"/>
      <c r="J232" s="139">
        <f>IF($A232="","",TEXT($A232,"DD/MM/YYYY")&amp;"  —  "&amp;$B232&amp;IF($E232="",""," [Referral: "&amp;$E232&amp;"]")&amp;IF($G232="",""," [Competency: "&amp;$G232&amp;"]")&amp;IF($C232="",""," How it developed the skill: "&amp;$C232))</f>
        <v/>
      </c>
    </row>
    <row r="233" ht="15" customHeight="1" s="128">
      <c r="A233" s="138" t="n"/>
      <c r="B233" s="134" t="n"/>
      <c r="C233" s="134" t="n"/>
      <c r="D233" s="134" t="n"/>
      <c r="E233" s="134" t="n"/>
      <c r="F233" s="134" t="n"/>
      <c r="G233" s="134" t="n"/>
      <c r="H233" s="134" t="n"/>
      <c r="I233" s="134" t="n"/>
      <c r="J233" s="139">
        <f>IF($A233="","",TEXT($A233,"DD/MM/YYYY")&amp;"  —  "&amp;$B233&amp;IF($E233="",""," [Referral: "&amp;$E233&amp;"]")&amp;IF($G233="",""," [Competency: "&amp;$G233&amp;"]")&amp;IF($C233="",""," How it developed the skill: "&amp;$C233))</f>
        <v/>
      </c>
    </row>
    <row r="234" ht="15" customHeight="1" s="128">
      <c r="A234" s="138" t="n"/>
      <c r="B234" s="134" t="n"/>
      <c r="C234" s="134" t="n"/>
      <c r="D234" s="134" t="n"/>
      <c r="E234" s="134" t="n"/>
      <c r="F234" s="134" t="n"/>
      <c r="G234" s="134" t="n"/>
      <c r="H234" s="134" t="n"/>
      <c r="I234" s="134" t="n"/>
      <c r="J234" s="139">
        <f>IF($A234="","",TEXT($A234,"DD/MM/YYYY")&amp;"  —  "&amp;$B234&amp;IF($E234="",""," [Referral: "&amp;$E234&amp;"]")&amp;IF($G234="",""," [Competency: "&amp;$G234&amp;"]")&amp;IF($C234="",""," How it developed the skill: "&amp;$C234))</f>
        <v/>
      </c>
    </row>
    <row r="235" ht="15" customHeight="1" s="128">
      <c r="A235" s="138" t="n"/>
      <c r="B235" s="134" t="n"/>
      <c r="C235" s="134" t="n"/>
      <c r="D235" s="134" t="n"/>
      <c r="E235" s="134" t="n"/>
      <c r="F235" s="134" t="n"/>
      <c r="G235" s="134" t="n"/>
      <c r="H235" s="134" t="n"/>
      <c r="I235" s="134" t="n"/>
      <c r="J235" s="139">
        <f>IF($A235="","",TEXT($A235,"DD/MM/YYYY")&amp;"  —  "&amp;$B235&amp;IF($E235="",""," [Referral: "&amp;$E235&amp;"]")&amp;IF($G235="",""," [Competency: "&amp;$G235&amp;"]")&amp;IF($C235="",""," How it developed the skill: "&amp;$C235))</f>
        <v/>
      </c>
    </row>
    <row r="236" ht="15" customHeight="1" s="128">
      <c r="A236" s="138" t="n"/>
      <c r="B236" s="134" t="n"/>
      <c r="C236" s="134" t="n"/>
      <c r="D236" s="134" t="n"/>
      <c r="E236" s="134" t="n"/>
      <c r="F236" s="134" t="n"/>
      <c r="G236" s="134" t="n"/>
      <c r="H236" s="134" t="n"/>
      <c r="I236" s="134" t="n"/>
      <c r="J236" s="139">
        <f>IF($A236="","",TEXT($A236,"DD/MM/YYYY")&amp;"  —  "&amp;$B236&amp;IF($E236="",""," [Referral: "&amp;$E236&amp;"]")&amp;IF($G236="",""," [Competency: "&amp;$G236&amp;"]")&amp;IF($C236="",""," How it developed the skill: "&amp;$C236))</f>
        <v/>
      </c>
    </row>
    <row r="237" ht="15" customHeight="1" s="128">
      <c r="A237" s="138" t="n"/>
      <c r="B237" s="134" t="n"/>
      <c r="C237" s="134" t="n"/>
      <c r="D237" s="134" t="n"/>
      <c r="E237" s="134" t="n"/>
      <c r="F237" s="134" t="n"/>
      <c r="G237" s="134" t="n"/>
      <c r="H237" s="134" t="n"/>
      <c r="I237" s="134" t="n"/>
      <c r="J237" s="139">
        <f>IF($A237="","",TEXT($A237,"DD/MM/YYYY")&amp;"  —  "&amp;$B237&amp;IF($E237="",""," [Referral: "&amp;$E237&amp;"]")&amp;IF($G237="",""," [Competency: "&amp;$G237&amp;"]")&amp;IF($C237="",""," How it developed the skill: "&amp;$C237))</f>
        <v/>
      </c>
    </row>
    <row r="238" ht="15" customHeight="1" s="128">
      <c r="A238" s="138" t="n"/>
      <c r="B238" s="134" t="n"/>
      <c r="C238" s="134" t="n"/>
      <c r="D238" s="134" t="n"/>
      <c r="E238" s="134" t="n"/>
      <c r="F238" s="134" t="n"/>
      <c r="G238" s="134" t="n"/>
      <c r="H238" s="134" t="n"/>
      <c r="I238" s="134" t="n"/>
      <c r="J238" s="139">
        <f>IF($A238="","",TEXT($A238,"DD/MM/YYYY")&amp;"  —  "&amp;$B238&amp;IF($E238="",""," [Referral: "&amp;$E238&amp;"]")&amp;IF($G238="",""," [Competency: "&amp;$G238&amp;"]")&amp;IF($C238="",""," How it developed the skill: "&amp;$C238))</f>
        <v/>
      </c>
    </row>
    <row r="239" ht="15" customHeight="1" s="128">
      <c r="A239" s="138" t="n"/>
      <c r="B239" s="134" t="n"/>
      <c r="C239" s="134" t="n"/>
      <c r="D239" s="134" t="n"/>
      <c r="E239" s="134" t="n"/>
      <c r="F239" s="134" t="n"/>
      <c r="G239" s="134" t="n"/>
      <c r="H239" s="134" t="n"/>
      <c r="I239" s="134" t="n"/>
      <c r="J239" s="139">
        <f>IF($A239="","",TEXT($A239,"DD/MM/YYYY")&amp;"  —  "&amp;$B239&amp;IF($E239="",""," [Referral: "&amp;$E239&amp;"]")&amp;IF($G239="",""," [Competency: "&amp;$G239&amp;"]")&amp;IF($C239="",""," How it developed the skill: "&amp;$C239))</f>
        <v/>
      </c>
    </row>
    <row r="240" ht="15" customHeight="1" s="128">
      <c r="A240" s="138" t="n"/>
      <c r="B240" s="134" t="n"/>
      <c r="C240" s="134" t="n"/>
      <c r="D240" s="134" t="n"/>
      <c r="E240" s="134" t="n"/>
      <c r="F240" s="134" t="n"/>
      <c r="G240" s="134" t="n"/>
      <c r="H240" s="134" t="n"/>
      <c r="I240" s="134" t="n"/>
      <c r="J240" s="139">
        <f>IF($A240="","",TEXT($A240,"DD/MM/YYYY")&amp;"  —  "&amp;$B240&amp;IF($E240="",""," [Referral: "&amp;$E240&amp;"]")&amp;IF($G240="",""," [Competency: "&amp;$G240&amp;"]")&amp;IF($C240="",""," How it developed the skill: "&amp;$C240))</f>
        <v/>
      </c>
    </row>
    <row r="241" ht="15" customHeight="1" s="128">
      <c r="A241" s="138" t="n"/>
      <c r="B241" s="134" t="n"/>
      <c r="C241" s="134" t="n"/>
      <c r="D241" s="134" t="n"/>
      <c r="E241" s="134" t="n"/>
      <c r="F241" s="134" t="n"/>
      <c r="G241" s="134" t="n"/>
      <c r="H241" s="134" t="n"/>
      <c r="I241" s="134" t="n"/>
      <c r="J241" s="139">
        <f>IF($A241="","",TEXT($A241,"DD/MM/YYYY")&amp;"  —  "&amp;$B241&amp;IF($E241="",""," [Referral: "&amp;$E241&amp;"]")&amp;IF($G241="",""," [Competency: "&amp;$G241&amp;"]")&amp;IF($C241="",""," How it developed the skill: "&amp;$C241))</f>
        <v/>
      </c>
    </row>
    <row r="242" ht="15" customHeight="1" s="128">
      <c r="A242" s="138" t="n"/>
      <c r="B242" s="134" t="n"/>
      <c r="C242" s="134" t="n"/>
      <c r="D242" s="134" t="n"/>
      <c r="E242" s="134" t="n"/>
      <c r="F242" s="134" t="n"/>
      <c r="G242" s="134" t="n"/>
      <c r="H242" s="134" t="n"/>
      <c r="I242" s="134" t="n"/>
      <c r="J242" s="139">
        <f>IF($A242="","",TEXT($A242,"DD/MM/YYYY")&amp;"  —  "&amp;$B242&amp;IF($E242="",""," [Referral: "&amp;$E242&amp;"]")&amp;IF($G242="",""," [Competency: "&amp;$G242&amp;"]")&amp;IF($C242="",""," How it developed the skill: "&amp;$C242))</f>
        <v/>
      </c>
    </row>
    <row r="243" ht="15" customHeight="1" s="128">
      <c r="A243" s="138" t="n"/>
      <c r="B243" s="134" t="n"/>
      <c r="C243" s="134" t="n"/>
      <c r="D243" s="134" t="n"/>
      <c r="E243" s="134" t="n"/>
      <c r="F243" s="134" t="n"/>
      <c r="G243" s="134" t="n"/>
      <c r="H243" s="134" t="n"/>
      <c r="I243" s="134" t="n"/>
      <c r="J243" s="139">
        <f>IF($A243="","",TEXT($A243,"DD/MM/YYYY")&amp;"  —  "&amp;$B243&amp;IF($E243="",""," [Referral: "&amp;$E243&amp;"]")&amp;IF($G243="",""," [Competency: "&amp;$G243&amp;"]")&amp;IF($C243="",""," How it developed the skill: "&amp;$C243))</f>
        <v/>
      </c>
    </row>
    <row r="244" ht="15" customHeight="1" s="128">
      <c r="A244" s="138" t="n"/>
      <c r="B244" s="134" t="n"/>
      <c r="C244" s="134" t="n"/>
      <c r="D244" s="134" t="n"/>
      <c r="E244" s="134" t="n"/>
      <c r="F244" s="134" t="n"/>
      <c r="G244" s="134" t="n"/>
      <c r="H244" s="134" t="n"/>
      <c r="I244" s="134" t="n"/>
      <c r="J244" s="139">
        <f>IF($A244="","",TEXT($A244,"DD/MM/YYYY")&amp;"  —  "&amp;$B244&amp;IF($E244="",""," [Referral: "&amp;$E244&amp;"]")&amp;IF($G244="",""," [Competency: "&amp;$G244&amp;"]")&amp;IF($C244="",""," How it developed the skill: "&amp;$C244))</f>
        <v/>
      </c>
    </row>
    <row r="245" ht="15" customHeight="1" s="128">
      <c r="A245" s="138" t="n"/>
      <c r="B245" s="134" t="n"/>
      <c r="C245" s="134" t="n"/>
      <c r="D245" s="134" t="n"/>
      <c r="E245" s="134" t="n"/>
      <c r="F245" s="134" t="n"/>
      <c r="G245" s="134" t="n"/>
      <c r="H245" s="134" t="n"/>
      <c r="I245" s="134" t="n"/>
      <c r="J245" s="139">
        <f>IF($A245="","",TEXT($A245,"DD/MM/YYYY")&amp;"  —  "&amp;$B245&amp;IF($E245="",""," [Referral: "&amp;$E245&amp;"]")&amp;IF($G245="",""," [Competency: "&amp;$G245&amp;"]")&amp;IF($C245="",""," How it developed the skill: "&amp;$C245))</f>
        <v/>
      </c>
    </row>
    <row r="246" ht="15" customHeight="1" s="128">
      <c r="A246" s="138" t="n"/>
      <c r="B246" s="134" t="n"/>
      <c r="C246" s="134" t="n"/>
      <c r="D246" s="134" t="n"/>
      <c r="E246" s="134" t="n"/>
      <c r="F246" s="134" t="n"/>
      <c r="G246" s="134" t="n"/>
      <c r="H246" s="134" t="n"/>
      <c r="I246" s="134" t="n"/>
      <c r="J246" s="139">
        <f>IF($A246="","",TEXT($A246,"DD/MM/YYYY")&amp;"  —  "&amp;$B246&amp;IF($E246="",""," [Referral: "&amp;$E246&amp;"]")&amp;IF($G246="",""," [Competency: "&amp;$G246&amp;"]")&amp;IF($C246="",""," How it developed the skill: "&amp;$C246))</f>
        <v/>
      </c>
    </row>
    <row r="247" ht="15" customHeight="1" s="128">
      <c r="A247" s="138" t="n"/>
      <c r="B247" s="134" t="n"/>
      <c r="C247" s="134" t="n"/>
      <c r="D247" s="134" t="n"/>
      <c r="E247" s="134" t="n"/>
      <c r="F247" s="134" t="n"/>
      <c r="G247" s="134" t="n"/>
      <c r="H247" s="134" t="n"/>
      <c r="I247" s="134" t="n"/>
      <c r="J247" s="139">
        <f>IF($A247="","",TEXT($A247,"DD/MM/YYYY")&amp;"  —  "&amp;$B247&amp;IF($E247="",""," [Referral: "&amp;$E247&amp;"]")&amp;IF($G247="",""," [Competency: "&amp;$G247&amp;"]")&amp;IF($C247="",""," How it developed the skill: "&amp;$C247))</f>
        <v/>
      </c>
    </row>
    <row r="248" ht="15" customHeight="1" s="128">
      <c r="A248" s="138" t="n"/>
      <c r="B248" s="134" t="n"/>
      <c r="C248" s="134" t="n"/>
      <c r="D248" s="134" t="n"/>
      <c r="E248" s="134" t="n"/>
      <c r="F248" s="134" t="n"/>
      <c r="G248" s="134" t="n"/>
      <c r="H248" s="134" t="n"/>
      <c r="I248" s="134" t="n"/>
      <c r="J248" s="139">
        <f>IF($A248="","",TEXT($A248,"DD/MM/YYYY")&amp;"  —  "&amp;$B248&amp;IF($E248="",""," [Referral: "&amp;$E248&amp;"]")&amp;IF($G248="",""," [Competency: "&amp;$G248&amp;"]")&amp;IF($C248="",""," How it developed the skill: "&amp;$C248))</f>
        <v/>
      </c>
    </row>
    <row r="249" ht="15" customHeight="1" s="128">
      <c r="A249" s="138" t="n"/>
      <c r="B249" s="134" t="n"/>
      <c r="C249" s="134" t="n"/>
      <c r="D249" s="134" t="n"/>
      <c r="E249" s="134" t="n"/>
      <c r="F249" s="134" t="n"/>
      <c r="G249" s="134" t="n"/>
      <c r="H249" s="134" t="n"/>
      <c r="I249" s="134" t="n"/>
      <c r="J249" s="139">
        <f>IF($A249="","",TEXT($A249,"DD/MM/YYYY")&amp;"  —  "&amp;$B249&amp;IF($E249="",""," [Referral: "&amp;$E249&amp;"]")&amp;IF($G249="",""," [Competency: "&amp;$G249&amp;"]")&amp;IF($C249="",""," How it developed the skill: "&amp;$C249))</f>
        <v/>
      </c>
    </row>
    <row r="250" ht="15" customHeight="1" s="128">
      <c r="A250" s="138" t="n"/>
      <c r="B250" s="134" t="n"/>
      <c r="C250" s="134" t="n"/>
      <c r="D250" s="134" t="n"/>
      <c r="E250" s="134" t="n"/>
      <c r="F250" s="134" t="n"/>
      <c r="G250" s="134" t="n"/>
      <c r="H250" s="134" t="n"/>
      <c r="I250" s="134" t="n"/>
      <c r="J250" s="139">
        <f>IF($A250="","",TEXT($A250,"DD/MM/YYYY")&amp;"  —  "&amp;$B250&amp;IF($E250="",""," [Referral: "&amp;$E250&amp;"]")&amp;IF($G250="",""," [Competency: "&amp;$G250&amp;"]")&amp;IF($C250="",""," How it developed the skill: "&amp;$C250))</f>
        <v/>
      </c>
    </row>
    <row r="251" ht="15" customHeight="1" s="128">
      <c r="A251" s="138" t="n"/>
      <c r="B251" s="134" t="n"/>
      <c r="C251" s="134" t="n"/>
      <c r="D251" s="134" t="n"/>
      <c r="E251" s="134" t="n"/>
      <c r="F251" s="134" t="n"/>
      <c r="G251" s="134" t="n"/>
      <c r="H251" s="134" t="n"/>
      <c r="I251" s="134" t="n"/>
      <c r="J251" s="139">
        <f>IF($A251="","",TEXT($A251,"DD/MM/YYYY")&amp;"  —  "&amp;$B251&amp;IF($E251="",""," [Referral: "&amp;$E251&amp;"]")&amp;IF($G251="",""," [Competency: "&amp;$G251&amp;"]")&amp;IF($C251="",""," How it developed the skill: "&amp;$C251))</f>
        <v/>
      </c>
    </row>
    <row r="252" ht="15" customHeight="1" s="128">
      <c r="A252" s="138" t="n"/>
      <c r="B252" s="134" t="n"/>
      <c r="C252" s="134" t="n"/>
      <c r="D252" s="134" t="n"/>
      <c r="E252" s="134" t="n"/>
      <c r="F252" s="134" t="n"/>
      <c r="G252" s="134" t="n"/>
      <c r="H252" s="134" t="n"/>
      <c r="I252" s="134" t="n"/>
      <c r="J252" s="139">
        <f>IF($A252="","",TEXT($A252,"DD/MM/YYYY")&amp;"  —  "&amp;$B252&amp;IF($E252="",""," [Referral: "&amp;$E252&amp;"]")&amp;IF($G252="",""," [Competency: "&amp;$G252&amp;"]")&amp;IF($C252="",""," How it developed the skill: "&amp;$C252))</f>
        <v/>
      </c>
    </row>
    <row r="253" ht="15" customHeight="1" s="128">
      <c r="A253" s="138" t="n"/>
      <c r="B253" s="134" t="n"/>
      <c r="C253" s="134" t="n"/>
      <c r="D253" s="134" t="n"/>
      <c r="E253" s="134" t="n"/>
      <c r="F253" s="134" t="n"/>
      <c r="G253" s="134" t="n"/>
      <c r="H253" s="134" t="n"/>
      <c r="I253" s="134" t="n"/>
      <c r="J253" s="139">
        <f>IF($A253="","",TEXT($A253,"DD/MM/YYYY")&amp;"  —  "&amp;$B253&amp;IF($E253="",""," [Referral: "&amp;$E253&amp;"]")&amp;IF($G253="",""," [Competency: "&amp;$G253&amp;"]")&amp;IF($C253="",""," How it developed the skill: "&amp;$C253))</f>
        <v/>
      </c>
    </row>
    <row r="254" ht="15" customHeight="1" s="128">
      <c r="A254" s="138" t="n"/>
      <c r="B254" s="134" t="n"/>
      <c r="C254" s="134" t="n"/>
      <c r="D254" s="134" t="n"/>
      <c r="E254" s="134" t="n"/>
      <c r="F254" s="134" t="n"/>
      <c r="G254" s="134" t="n"/>
      <c r="H254" s="134" t="n"/>
      <c r="I254" s="134" t="n"/>
      <c r="J254" s="139">
        <f>IF($A254="","",TEXT($A254,"DD/MM/YYYY")&amp;"  —  "&amp;$B254&amp;IF($E254="",""," [Referral: "&amp;$E254&amp;"]")&amp;IF($G254="",""," [Competency: "&amp;$G254&amp;"]")&amp;IF($C254="",""," How it developed the skill: "&amp;$C254))</f>
        <v/>
      </c>
    </row>
    <row r="255" ht="15" customHeight="1" s="128">
      <c r="A255" s="138" t="n"/>
      <c r="B255" s="134" t="n"/>
      <c r="C255" s="134" t="n"/>
      <c r="D255" s="134" t="n"/>
      <c r="E255" s="134" t="n"/>
      <c r="F255" s="134" t="n"/>
      <c r="G255" s="134" t="n"/>
      <c r="H255" s="134" t="n"/>
      <c r="I255" s="134" t="n"/>
      <c r="J255" s="139">
        <f>IF($A255="","",TEXT($A255,"DD/MM/YYYY")&amp;"  —  "&amp;$B255&amp;IF($E255="",""," [Referral: "&amp;$E255&amp;"]")&amp;IF($G255="",""," [Competency: "&amp;$G255&amp;"]")&amp;IF($C255="",""," How it developed the skill: "&amp;$C255))</f>
        <v/>
      </c>
    </row>
    <row r="256" ht="15" customHeight="1" s="128">
      <c r="A256" s="138" t="n"/>
      <c r="B256" s="134" t="n"/>
      <c r="C256" s="134" t="n"/>
      <c r="D256" s="134" t="n"/>
      <c r="E256" s="134" t="n"/>
      <c r="F256" s="134" t="n"/>
      <c r="G256" s="134" t="n"/>
      <c r="H256" s="134" t="n"/>
      <c r="I256" s="134" t="n"/>
      <c r="J256" s="139">
        <f>IF($A256="","",TEXT($A256,"DD/MM/YYYY")&amp;"  —  "&amp;$B256&amp;IF($E256="",""," [Referral: "&amp;$E256&amp;"]")&amp;IF($G256="",""," [Competency: "&amp;$G256&amp;"]")&amp;IF($C256="",""," How it developed the skill: "&amp;$C256))</f>
        <v/>
      </c>
    </row>
    <row r="257" ht="15" customHeight="1" s="128">
      <c r="A257" s="138" t="n"/>
      <c r="B257" s="134" t="n"/>
      <c r="C257" s="134" t="n"/>
      <c r="D257" s="134" t="n"/>
      <c r="E257" s="134" t="n"/>
      <c r="F257" s="134" t="n"/>
      <c r="G257" s="134" t="n"/>
      <c r="H257" s="134" t="n"/>
      <c r="I257" s="134" t="n"/>
      <c r="J257" s="139">
        <f>IF($A257="","",TEXT($A257,"DD/MM/YYYY")&amp;"  —  "&amp;$B257&amp;IF($E257="",""," [Referral: "&amp;$E257&amp;"]")&amp;IF($G257="",""," [Competency: "&amp;$G257&amp;"]")&amp;IF($C257="",""," How it developed the skill: "&amp;$C257))</f>
        <v/>
      </c>
    </row>
    <row r="258" ht="15" customHeight="1" s="128">
      <c r="A258" s="138" t="n"/>
      <c r="B258" s="134" t="n"/>
      <c r="C258" s="134" t="n"/>
      <c r="D258" s="134" t="n"/>
      <c r="E258" s="134" t="n"/>
      <c r="F258" s="134" t="n"/>
      <c r="G258" s="134" t="n"/>
      <c r="H258" s="134" t="n"/>
      <c r="I258" s="134" t="n"/>
      <c r="J258" s="139">
        <f>IF($A258="","",TEXT($A258,"DD/MM/YYYY")&amp;"  —  "&amp;$B258&amp;IF($E258="",""," [Referral: "&amp;$E258&amp;"]")&amp;IF($G258="",""," [Competency: "&amp;$G258&amp;"]")&amp;IF($C258="",""," How it developed the skill: "&amp;$C258))</f>
        <v/>
      </c>
    </row>
    <row r="259" ht="15" customHeight="1" s="128">
      <c r="A259" s="138" t="n"/>
      <c r="B259" s="134" t="n"/>
      <c r="C259" s="134" t="n"/>
      <c r="D259" s="134" t="n"/>
      <c r="E259" s="134" t="n"/>
      <c r="F259" s="134" t="n"/>
      <c r="G259" s="134" t="n"/>
      <c r="H259" s="134" t="n"/>
      <c r="I259" s="134" t="n"/>
      <c r="J259" s="139">
        <f>IF($A259="","",TEXT($A259,"DD/MM/YYYY")&amp;"  —  "&amp;$B259&amp;IF($E259="",""," [Referral: "&amp;$E259&amp;"]")&amp;IF($G259="",""," [Competency: "&amp;$G259&amp;"]")&amp;IF($C259="",""," How it developed the skill: "&amp;$C259))</f>
        <v/>
      </c>
    </row>
    <row r="260" ht="15" customHeight="1" s="128">
      <c r="A260" s="138" t="n"/>
      <c r="B260" s="134" t="n"/>
      <c r="C260" s="134" t="n"/>
      <c r="D260" s="134" t="n"/>
      <c r="E260" s="134" t="n"/>
      <c r="F260" s="134" t="n"/>
      <c r="G260" s="134" t="n"/>
      <c r="H260" s="134" t="n"/>
      <c r="I260" s="134" t="n"/>
      <c r="J260" s="139">
        <f>IF($A260="","",TEXT($A260,"DD/MM/YYYY")&amp;"  —  "&amp;$B260&amp;IF($E260="",""," [Referral: "&amp;$E260&amp;"]")&amp;IF($G260="",""," [Competency: "&amp;$G260&amp;"]")&amp;IF($C260="",""," How it developed the skill: "&amp;$C260))</f>
        <v/>
      </c>
    </row>
    <row r="261" ht="15" customHeight="1" s="128">
      <c r="A261" s="138" t="n"/>
      <c r="B261" s="134" t="n"/>
      <c r="C261" s="134" t="n"/>
      <c r="D261" s="134" t="n"/>
      <c r="E261" s="134" t="n"/>
      <c r="F261" s="134" t="n"/>
      <c r="G261" s="134" t="n"/>
      <c r="H261" s="134" t="n"/>
      <c r="I261" s="134" t="n"/>
      <c r="J261" s="139">
        <f>IF($A261="","",TEXT($A261,"DD/MM/YYYY")&amp;"  —  "&amp;$B261&amp;IF($E261="",""," [Referral: "&amp;$E261&amp;"]")&amp;IF($G261="",""," [Competency: "&amp;$G261&amp;"]")&amp;IF($C261="",""," How it developed the skill: "&amp;$C261))</f>
        <v/>
      </c>
    </row>
    <row r="262" ht="15" customHeight="1" s="128">
      <c r="A262" s="138" t="n"/>
      <c r="B262" s="134" t="n"/>
      <c r="C262" s="134" t="n"/>
      <c r="D262" s="134" t="n"/>
      <c r="E262" s="134" t="n"/>
      <c r="F262" s="134" t="n"/>
      <c r="G262" s="134" t="n"/>
      <c r="H262" s="134" t="n"/>
      <c r="I262" s="134" t="n"/>
      <c r="J262" s="139">
        <f>IF($A262="","",TEXT($A262,"DD/MM/YYYY")&amp;"  —  "&amp;$B262&amp;IF($E262="",""," [Referral: "&amp;$E262&amp;"]")&amp;IF($G262="",""," [Competency: "&amp;$G262&amp;"]")&amp;IF($C262="",""," How it developed the skill: "&amp;$C262))</f>
        <v/>
      </c>
    </row>
    <row r="263" ht="15" customHeight="1" s="128">
      <c r="A263" s="138" t="n"/>
      <c r="B263" s="134" t="n"/>
      <c r="C263" s="134" t="n"/>
      <c r="D263" s="134" t="n"/>
      <c r="E263" s="134" t="n"/>
      <c r="F263" s="134" t="n"/>
      <c r="G263" s="134" t="n"/>
      <c r="H263" s="134" t="n"/>
      <c r="I263" s="134" t="n"/>
      <c r="J263" s="139">
        <f>IF($A263="","",TEXT($A263,"DD/MM/YYYY")&amp;"  —  "&amp;$B263&amp;IF($E263="",""," [Referral: "&amp;$E263&amp;"]")&amp;IF($G263="",""," [Competency: "&amp;$G263&amp;"]")&amp;IF($C263="",""," How it developed the skill: "&amp;$C263))</f>
        <v/>
      </c>
    </row>
    <row r="264" ht="15" customHeight="1" s="128">
      <c r="A264" s="138" t="n"/>
      <c r="B264" s="134" t="n"/>
      <c r="C264" s="134" t="n"/>
      <c r="D264" s="134" t="n"/>
      <c r="E264" s="134" t="n"/>
      <c r="F264" s="134" t="n"/>
      <c r="G264" s="134" t="n"/>
      <c r="H264" s="134" t="n"/>
      <c r="I264" s="134" t="n"/>
      <c r="J264" s="139">
        <f>IF($A264="","",TEXT($A264,"DD/MM/YYYY")&amp;"  —  "&amp;$B264&amp;IF($E264="",""," [Referral: "&amp;$E264&amp;"]")&amp;IF($G264="",""," [Competency: "&amp;$G264&amp;"]")&amp;IF($C264="",""," How it developed the skill: "&amp;$C264))</f>
        <v/>
      </c>
    </row>
    <row r="265" ht="15" customHeight="1" s="128">
      <c r="A265" s="138" t="n"/>
      <c r="B265" s="134" t="n"/>
      <c r="C265" s="134" t="n"/>
      <c r="D265" s="134" t="n"/>
      <c r="E265" s="134" t="n"/>
      <c r="F265" s="134" t="n"/>
      <c r="G265" s="134" t="n"/>
      <c r="H265" s="134" t="n"/>
      <c r="I265" s="134" t="n"/>
      <c r="J265" s="139">
        <f>IF($A265="","",TEXT($A265,"DD/MM/YYYY")&amp;"  —  "&amp;$B265&amp;IF($E265="",""," [Referral: "&amp;$E265&amp;"]")&amp;IF($G265="",""," [Competency: "&amp;$G265&amp;"]")&amp;IF($C265="",""," How it developed the skill: "&amp;$C265))</f>
        <v/>
      </c>
    </row>
    <row r="266" ht="15" customHeight="1" s="128">
      <c r="A266" s="138" t="n"/>
      <c r="B266" s="134" t="n"/>
      <c r="C266" s="134" t="n"/>
      <c r="D266" s="134" t="n"/>
      <c r="E266" s="134" t="n"/>
      <c r="F266" s="134" t="n"/>
      <c r="G266" s="134" t="n"/>
      <c r="H266" s="134" t="n"/>
      <c r="I266" s="134" t="n"/>
      <c r="J266" s="139">
        <f>IF($A266="","",TEXT($A266,"DD/MM/YYYY")&amp;"  —  "&amp;$B266&amp;IF($E266="",""," [Referral: "&amp;$E266&amp;"]")&amp;IF($G266="",""," [Competency: "&amp;$G266&amp;"]")&amp;IF($C266="",""," How it developed the skill: "&amp;$C266))</f>
        <v/>
      </c>
    </row>
    <row r="267" ht="15" customHeight="1" s="128">
      <c r="A267" s="138" t="n"/>
      <c r="B267" s="134" t="n"/>
      <c r="C267" s="134" t="n"/>
      <c r="D267" s="134" t="n"/>
      <c r="E267" s="134" t="n"/>
      <c r="F267" s="134" t="n"/>
      <c r="G267" s="134" t="n"/>
      <c r="H267" s="134" t="n"/>
      <c r="I267" s="134" t="n"/>
      <c r="J267" s="139">
        <f>IF($A267="","",TEXT($A267,"DD/MM/YYYY")&amp;"  —  "&amp;$B267&amp;IF($E267="",""," [Referral: "&amp;$E267&amp;"]")&amp;IF($G267="",""," [Competency: "&amp;$G267&amp;"]")&amp;IF($C267="",""," How it developed the skill: "&amp;$C267))</f>
        <v/>
      </c>
    </row>
    <row r="268" ht="15" customHeight="1" s="128">
      <c r="A268" s="138" t="n"/>
      <c r="B268" s="134" t="n"/>
      <c r="C268" s="134" t="n"/>
      <c r="D268" s="134" t="n"/>
      <c r="E268" s="134" t="n"/>
      <c r="F268" s="134" t="n"/>
      <c r="G268" s="134" t="n"/>
      <c r="H268" s="134" t="n"/>
      <c r="I268" s="134" t="n"/>
      <c r="J268" s="139">
        <f>IF($A268="","",TEXT($A268,"DD/MM/YYYY")&amp;"  —  "&amp;$B268&amp;IF($E268="",""," [Referral: "&amp;$E268&amp;"]")&amp;IF($G268="",""," [Competency: "&amp;$G268&amp;"]")&amp;IF($C268="",""," How it developed the skill: "&amp;$C268))</f>
        <v/>
      </c>
    </row>
    <row r="269" ht="15" customHeight="1" s="128">
      <c r="A269" s="138" t="n"/>
      <c r="B269" s="134" t="n"/>
      <c r="C269" s="134" t="n"/>
      <c r="D269" s="134" t="n"/>
      <c r="E269" s="134" t="n"/>
      <c r="F269" s="134" t="n"/>
      <c r="G269" s="134" t="n"/>
      <c r="H269" s="134" t="n"/>
      <c r="I269" s="134" t="n"/>
      <c r="J269" s="139">
        <f>IF($A269="","",TEXT($A269,"DD/MM/YYYY")&amp;"  —  "&amp;$B269&amp;IF($E269="",""," [Referral: "&amp;$E269&amp;"]")&amp;IF($G269="",""," [Competency: "&amp;$G269&amp;"]")&amp;IF($C269="",""," How it developed the skill: "&amp;$C269))</f>
        <v/>
      </c>
    </row>
    <row r="270" ht="15" customHeight="1" s="128">
      <c r="A270" s="138" t="n"/>
      <c r="B270" s="134" t="n"/>
      <c r="C270" s="134" t="n"/>
      <c r="D270" s="134" t="n"/>
      <c r="E270" s="134" t="n"/>
      <c r="F270" s="134" t="n"/>
      <c r="G270" s="134" t="n"/>
      <c r="H270" s="134" t="n"/>
      <c r="I270" s="134" t="n"/>
      <c r="J270" s="139">
        <f>IF($A270="","",TEXT($A270,"DD/MM/YYYY")&amp;"  —  "&amp;$B270&amp;IF($E270="",""," [Referral: "&amp;$E270&amp;"]")&amp;IF($G270="",""," [Competency: "&amp;$G270&amp;"]")&amp;IF($C270="",""," How it developed the skill: "&amp;$C270))</f>
        <v/>
      </c>
    </row>
    <row r="271" ht="15" customHeight="1" s="128">
      <c r="A271" s="138" t="n"/>
      <c r="B271" s="134" t="n"/>
      <c r="C271" s="134" t="n"/>
      <c r="D271" s="134" t="n"/>
      <c r="E271" s="134" t="n"/>
      <c r="F271" s="134" t="n"/>
      <c r="G271" s="134" t="n"/>
      <c r="H271" s="134" t="n"/>
      <c r="I271" s="134" t="n"/>
      <c r="J271" s="139">
        <f>IF($A271="","",TEXT($A271,"DD/MM/YYYY")&amp;"  —  "&amp;$B271&amp;IF($E271="",""," [Referral: "&amp;$E271&amp;"]")&amp;IF($G271="",""," [Competency: "&amp;$G271&amp;"]")&amp;IF($C271="",""," How it developed the skill: "&amp;$C271))</f>
        <v/>
      </c>
    </row>
    <row r="272" ht="15" customHeight="1" s="128">
      <c r="A272" s="138" t="n"/>
      <c r="B272" s="134" t="n"/>
      <c r="C272" s="134" t="n"/>
      <c r="D272" s="134" t="n"/>
      <c r="E272" s="134" t="n"/>
      <c r="F272" s="134" t="n"/>
      <c r="G272" s="134" t="n"/>
      <c r="H272" s="134" t="n"/>
      <c r="I272" s="134" t="n"/>
      <c r="J272" s="139">
        <f>IF($A272="","",TEXT($A272,"DD/MM/YYYY")&amp;"  —  "&amp;$B272&amp;IF($E272="",""," [Referral: "&amp;$E272&amp;"]")&amp;IF($G272="",""," [Competency: "&amp;$G272&amp;"]")&amp;IF($C272="",""," How it developed the skill: "&amp;$C272))</f>
        <v/>
      </c>
    </row>
    <row r="273" ht="15" customHeight="1" s="128">
      <c r="A273" s="138" t="n"/>
      <c r="B273" s="134" t="n"/>
      <c r="C273" s="134" t="n"/>
      <c r="D273" s="134" t="n"/>
      <c r="E273" s="134" t="n"/>
      <c r="F273" s="134" t="n"/>
      <c r="G273" s="134" t="n"/>
      <c r="H273" s="134" t="n"/>
      <c r="I273" s="134" t="n"/>
      <c r="J273" s="139">
        <f>IF($A273="","",TEXT($A273,"DD/MM/YYYY")&amp;"  —  "&amp;$B273&amp;IF($E273="",""," [Referral: "&amp;$E273&amp;"]")&amp;IF($G273="",""," [Competency: "&amp;$G273&amp;"]")&amp;IF($C273="",""," How it developed the skill: "&amp;$C273))</f>
        <v/>
      </c>
    </row>
    <row r="274" ht="15" customHeight="1" s="128">
      <c r="A274" s="138" t="n"/>
      <c r="B274" s="134" t="n"/>
      <c r="C274" s="134" t="n"/>
      <c r="D274" s="134" t="n"/>
      <c r="E274" s="134" t="n"/>
      <c r="F274" s="134" t="n"/>
      <c r="G274" s="134" t="n"/>
      <c r="H274" s="134" t="n"/>
      <c r="I274" s="134" t="n"/>
      <c r="J274" s="139">
        <f>IF($A274="","",TEXT($A274,"DD/MM/YYYY")&amp;"  —  "&amp;$B274&amp;IF($E274="",""," [Referral: "&amp;$E274&amp;"]")&amp;IF($G274="",""," [Competency: "&amp;$G274&amp;"]")&amp;IF($C274="",""," How it developed the skill: "&amp;$C274))</f>
        <v/>
      </c>
    </row>
    <row r="275" ht="15" customHeight="1" s="128">
      <c r="A275" s="138" t="n"/>
      <c r="B275" s="134" t="n"/>
      <c r="C275" s="134" t="n"/>
      <c r="D275" s="134" t="n"/>
      <c r="E275" s="134" t="n"/>
      <c r="F275" s="134" t="n"/>
      <c r="G275" s="134" t="n"/>
      <c r="H275" s="134" t="n"/>
      <c r="I275" s="134" t="n"/>
      <c r="J275" s="139">
        <f>IF($A275="","",TEXT($A275,"DD/MM/YYYY")&amp;"  —  "&amp;$B275&amp;IF($E275="",""," [Referral: "&amp;$E275&amp;"]")&amp;IF($G275="",""," [Competency: "&amp;$G275&amp;"]")&amp;IF($C275="",""," How it developed the skill: "&amp;$C275))</f>
        <v/>
      </c>
    </row>
    <row r="276" ht="15" customHeight="1" s="128">
      <c r="A276" s="138" t="n"/>
      <c r="B276" s="134" t="n"/>
      <c r="C276" s="134" t="n"/>
      <c r="D276" s="134" t="n"/>
      <c r="E276" s="134" t="n"/>
      <c r="F276" s="134" t="n"/>
      <c r="G276" s="134" t="n"/>
      <c r="H276" s="134" t="n"/>
      <c r="I276" s="134" t="n"/>
      <c r="J276" s="139">
        <f>IF($A276="","",TEXT($A276,"DD/MM/YYYY")&amp;"  —  "&amp;$B276&amp;IF($E276="",""," [Referral: "&amp;$E276&amp;"]")&amp;IF($G276="",""," [Competency: "&amp;$G276&amp;"]")&amp;IF($C276="",""," How it developed the skill: "&amp;$C276))</f>
        <v/>
      </c>
    </row>
    <row r="277" ht="15" customHeight="1" s="128">
      <c r="A277" s="138" t="n"/>
      <c r="B277" s="134" t="n"/>
      <c r="C277" s="134" t="n"/>
      <c r="D277" s="134" t="n"/>
      <c r="E277" s="134" t="n"/>
      <c r="F277" s="134" t="n"/>
      <c r="G277" s="134" t="n"/>
      <c r="H277" s="134" t="n"/>
      <c r="I277" s="134" t="n"/>
      <c r="J277" s="139">
        <f>IF($A277="","",TEXT($A277,"DD/MM/YYYY")&amp;"  —  "&amp;$B277&amp;IF($E277="",""," [Referral: "&amp;$E277&amp;"]")&amp;IF($G277="",""," [Competency: "&amp;$G277&amp;"]")&amp;IF($C277="",""," How it developed the skill: "&amp;$C277))</f>
        <v/>
      </c>
    </row>
    <row r="278" ht="15" customHeight="1" s="128">
      <c r="A278" s="138" t="n"/>
      <c r="B278" s="134" t="n"/>
      <c r="C278" s="134" t="n"/>
      <c r="D278" s="134" t="n"/>
      <c r="E278" s="134" t="n"/>
      <c r="F278" s="134" t="n"/>
      <c r="G278" s="134" t="n"/>
      <c r="H278" s="134" t="n"/>
      <c r="I278" s="134" t="n"/>
      <c r="J278" s="139">
        <f>IF($A278="","",TEXT($A278,"DD/MM/YYYY")&amp;"  —  "&amp;$B278&amp;IF($E278="",""," [Referral: "&amp;$E278&amp;"]")&amp;IF($G278="",""," [Competency: "&amp;$G278&amp;"]")&amp;IF($C278="",""," How it developed the skill: "&amp;$C278))</f>
        <v/>
      </c>
    </row>
    <row r="279" ht="15" customHeight="1" s="128">
      <c r="A279" s="138" t="n"/>
      <c r="B279" s="134" t="n"/>
      <c r="C279" s="134" t="n"/>
      <c r="D279" s="134" t="n"/>
      <c r="E279" s="134" t="n"/>
      <c r="F279" s="134" t="n"/>
      <c r="G279" s="134" t="n"/>
      <c r="H279" s="134" t="n"/>
      <c r="I279" s="134" t="n"/>
      <c r="J279" s="139">
        <f>IF($A279="","",TEXT($A279,"DD/MM/YYYY")&amp;"  —  "&amp;$B279&amp;IF($E279="",""," [Referral: "&amp;$E279&amp;"]")&amp;IF($G279="",""," [Competency: "&amp;$G279&amp;"]")&amp;IF($C279="",""," How it developed the skill: "&amp;$C279))</f>
        <v/>
      </c>
    </row>
    <row r="280" ht="15" customHeight="1" s="128">
      <c r="A280" s="138" t="n"/>
      <c r="B280" s="134" t="n"/>
      <c r="C280" s="134" t="n"/>
      <c r="D280" s="134" t="n"/>
      <c r="E280" s="134" t="n"/>
      <c r="F280" s="134" t="n"/>
      <c r="G280" s="134" t="n"/>
      <c r="H280" s="134" t="n"/>
      <c r="I280" s="134" t="n"/>
      <c r="J280" s="139">
        <f>IF($A280="","",TEXT($A280,"DD/MM/YYYY")&amp;"  —  "&amp;$B280&amp;IF($E280="",""," [Referral: "&amp;$E280&amp;"]")&amp;IF($G280="",""," [Competency: "&amp;$G280&amp;"]")&amp;IF($C280="",""," How it developed the skill: "&amp;$C280))</f>
        <v/>
      </c>
    </row>
    <row r="281" ht="15" customHeight="1" s="128">
      <c r="A281" s="138" t="n"/>
      <c r="B281" s="134" t="n"/>
      <c r="C281" s="134" t="n"/>
      <c r="D281" s="134" t="n"/>
      <c r="E281" s="134" t="n"/>
      <c r="F281" s="134" t="n"/>
      <c r="G281" s="134" t="n"/>
      <c r="H281" s="134" t="n"/>
      <c r="I281" s="134" t="n"/>
      <c r="J281" s="139">
        <f>IF($A281="","",TEXT($A281,"DD/MM/YYYY")&amp;"  —  "&amp;$B281&amp;IF($E281="",""," [Referral: "&amp;$E281&amp;"]")&amp;IF($G281="",""," [Competency: "&amp;$G281&amp;"]")&amp;IF($C281="",""," How it developed the skill: "&amp;$C281))</f>
        <v/>
      </c>
    </row>
    <row r="282" ht="15" customHeight="1" s="128">
      <c r="A282" s="138" t="n"/>
      <c r="B282" s="134" t="n"/>
      <c r="C282" s="134" t="n"/>
      <c r="D282" s="134" t="n"/>
      <c r="E282" s="134" t="n"/>
      <c r="F282" s="134" t="n"/>
      <c r="G282" s="134" t="n"/>
      <c r="H282" s="134" t="n"/>
      <c r="I282" s="134" t="n"/>
      <c r="J282" s="139">
        <f>IF($A282="","",TEXT($A282,"DD/MM/YYYY")&amp;"  —  "&amp;$B282&amp;IF($E282="",""," [Referral: "&amp;$E282&amp;"]")&amp;IF($G282="",""," [Competency: "&amp;$G282&amp;"]")&amp;IF($C282="",""," How it developed the skill: "&amp;$C282))</f>
        <v/>
      </c>
    </row>
    <row r="283" ht="15" customHeight="1" s="128">
      <c r="A283" s="138" t="n"/>
      <c r="B283" s="134" t="n"/>
      <c r="C283" s="134" t="n"/>
      <c r="D283" s="134" t="n"/>
      <c r="E283" s="134" t="n"/>
      <c r="F283" s="134" t="n"/>
      <c r="G283" s="134" t="n"/>
      <c r="H283" s="134" t="n"/>
      <c r="I283" s="134" t="n"/>
      <c r="J283" s="139">
        <f>IF($A283="","",TEXT($A283,"DD/MM/YYYY")&amp;"  —  "&amp;$B283&amp;IF($E283="",""," [Referral: "&amp;$E283&amp;"]")&amp;IF($G283="",""," [Competency: "&amp;$G283&amp;"]")&amp;IF($C283="",""," How it developed the skill: "&amp;$C283))</f>
        <v/>
      </c>
    </row>
    <row r="284" ht="15" customHeight="1" s="128">
      <c r="A284" s="138" t="n"/>
      <c r="B284" s="134" t="n"/>
      <c r="C284" s="134" t="n"/>
      <c r="D284" s="134" t="n"/>
      <c r="E284" s="134" t="n"/>
      <c r="F284" s="134" t="n"/>
      <c r="G284" s="134" t="n"/>
      <c r="H284" s="134" t="n"/>
      <c r="I284" s="134" t="n"/>
      <c r="J284" s="139">
        <f>IF($A284="","",TEXT($A284,"DD/MM/YYYY")&amp;"  —  "&amp;$B284&amp;IF($E284="",""," [Referral: "&amp;$E284&amp;"]")&amp;IF($G284="",""," [Competency: "&amp;$G284&amp;"]")&amp;IF($C284="",""," How it developed the skill: "&amp;$C284))</f>
        <v/>
      </c>
    </row>
    <row r="285" ht="15" customHeight="1" s="128">
      <c r="A285" s="138" t="n"/>
      <c r="B285" s="134" t="n"/>
      <c r="C285" s="134" t="n"/>
      <c r="D285" s="134" t="n"/>
      <c r="E285" s="134" t="n"/>
      <c r="F285" s="134" t="n"/>
      <c r="G285" s="134" t="n"/>
      <c r="H285" s="134" t="n"/>
      <c r="I285" s="134" t="n"/>
      <c r="J285" s="139">
        <f>IF($A285="","",TEXT($A285,"DD/MM/YYYY")&amp;"  —  "&amp;$B285&amp;IF($E285="",""," [Referral: "&amp;$E285&amp;"]")&amp;IF($G285="",""," [Competency: "&amp;$G285&amp;"]")&amp;IF($C285="",""," How it developed the skill: "&amp;$C285))</f>
        <v/>
      </c>
    </row>
    <row r="286" ht="15" customHeight="1" s="128">
      <c r="A286" s="138" t="n"/>
      <c r="B286" s="134" t="n"/>
      <c r="C286" s="134" t="n"/>
      <c r="D286" s="134" t="n"/>
      <c r="E286" s="134" t="n"/>
      <c r="F286" s="134" t="n"/>
      <c r="G286" s="134" t="n"/>
      <c r="H286" s="134" t="n"/>
      <c r="I286" s="134" t="n"/>
      <c r="J286" s="139">
        <f>IF($A286="","",TEXT($A286,"DD/MM/YYYY")&amp;"  —  "&amp;$B286&amp;IF($E286="",""," [Referral: "&amp;$E286&amp;"]")&amp;IF($G286="",""," [Competency: "&amp;$G286&amp;"]")&amp;IF($C286="",""," How it developed the skill: "&amp;$C286))</f>
        <v/>
      </c>
    </row>
    <row r="287" ht="15" customHeight="1" s="128">
      <c r="A287" s="138" t="n"/>
      <c r="B287" s="134" t="n"/>
      <c r="C287" s="134" t="n"/>
      <c r="D287" s="134" t="n"/>
      <c r="E287" s="134" t="n"/>
      <c r="F287" s="134" t="n"/>
      <c r="G287" s="134" t="n"/>
      <c r="H287" s="134" t="n"/>
      <c r="I287" s="134" t="n"/>
      <c r="J287" s="139">
        <f>IF($A287="","",TEXT($A287,"DD/MM/YYYY")&amp;"  —  "&amp;$B287&amp;IF($E287="",""," [Referral: "&amp;$E287&amp;"]")&amp;IF($G287="",""," [Competency: "&amp;$G287&amp;"]")&amp;IF($C287="",""," How it developed the skill: "&amp;$C287))</f>
        <v/>
      </c>
    </row>
    <row r="288" ht="15" customHeight="1" s="128">
      <c r="A288" s="138" t="n"/>
      <c r="B288" s="134" t="n"/>
      <c r="C288" s="134" t="n"/>
      <c r="D288" s="134" t="n"/>
      <c r="E288" s="134" t="n"/>
      <c r="F288" s="134" t="n"/>
      <c r="G288" s="134" t="n"/>
      <c r="H288" s="134" t="n"/>
      <c r="I288" s="134" t="n"/>
      <c r="J288" s="139">
        <f>IF($A288="","",TEXT($A288,"DD/MM/YYYY")&amp;"  —  "&amp;$B288&amp;IF($E288="",""," [Referral: "&amp;$E288&amp;"]")&amp;IF($G288="",""," [Competency: "&amp;$G288&amp;"]")&amp;IF($C288="",""," How it developed the skill: "&amp;$C288))</f>
        <v/>
      </c>
    </row>
    <row r="289" ht="15" customHeight="1" s="128">
      <c r="A289" s="138" t="n"/>
      <c r="B289" s="134" t="n"/>
      <c r="C289" s="134" t="n"/>
      <c r="D289" s="134" t="n"/>
      <c r="E289" s="134" t="n"/>
      <c r="F289" s="134" t="n"/>
      <c r="G289" s="134" t="n"/>
      <c r="H289" s="134" t="n"/>
      <c r="I289" s="134" t="n"/>
      <c r="J289" s="139">
        <f>IF($A289="","",TEXT($A289,"DD/MM/YYYY")&amp;"  —  "&amp;$B289&amp;IF($E289="",""," [Referral: "&amp;$E289&amp;"]")&amp;IF($G289="",""," [Competency: "&amp;$G289&amp;"]")&amp;IF($C289="",""," How it developed the skill: "&amp;$C289))</f>
        <v/>
      </c>
    </row>
    <row r="290" ht="15" customHeight="1" s="128">
      <c r="A290" s="138" t="n"/>
      <c r="B290" s="134" t="n"/>
      <c r="C290" s="134" t="n"/>
      <c r="D290" s="134" t="n"/>
      <c r="E290" s="134" t="n"/>
      <c r="F290" s="134" t="n"/>
      <c r="G290" s="134" t="n"/>
      <c r="H290" s="134" t="n"/>
      <c r="I290" s="134" t="n"/>
      <c r="J290" s="139">
        <f>IF($A290="","",TEXT($A290,"DD/MM/YYYY")&amp;"  —  "&amp;$B290&amp;IF($E290="",""," [Referral: "&amp;$E290&amp;"]")&amp;IF($G290="",""," [Competency: "&amp;$G290&amp;"]")&amp;IF($C290="",""," How it developed the skill: "&amp;$C290))</f>
        <v/>
      </c>
    </row>
    <row r="291" ht="15" customHeight="1" s="128">
      <c r="A291" s="138" t="n"/>
      <c r="B291" s="134" t="n"/>
      <c r="C291" s="134" t="n"/>
      <c r="D291" s="134" t="n"/>
      <c r="E291" s="134" t="n"/>
      <c r="F291" s="134" t="n"/>
      <c r="G291" s="134" t="n"/>
      <c r="H291" s="134" t="n"/>
      <c r="I291" s="134" t="n"/>
      <c r="J291" s="139">
        <f>IF($A291="","",TEXT($A291,"DD/MM/YYYY")&amp;"  —  "&amp;$B291&amp;IF($E291="",""," [Referral: "&amp;$E291&amp;"]")&amp;IF($G291="",""," [Competency: "&amp;$G291&amp;"]")&amp;IF($C291="",""," How it developed the skill: "&amp;$C291))</f>
        <v/>
      </c>
    </row>
    <row r="292" ht="15" customHeight="1" s="128">
      <c r="A292" s="138" t="n"/>
      <c r="B292" s="134" t="n"/>
      <c r="C292" s="134" t="n"/>
      <c r="D292" s="134" t="n"/>
      <c r="E292" s="134" t="n"/>
      <c r="F292" s="134" t="n"/>
      <c r="G292" s="134" t="n"/>
      <c r="H292" s="134" t="n"/>
      <c r="I292" s="134" t="n"/>
      <c r="J292" s="139">
        <f>IF($A292="","",TEXT($A292,"DD/MM/YYYY")&amp;"  —  "&amp;$B292&amp;IF($E292="",""," [Referral: "&amp;$E292&amp;"]")&amp;IF($G292="",""," [Competency: "&amp;$G292&amp;"]")&amp;IF($C292="",""," How it developed the skill: "&amp;$C292))</f>
        <v/>
      </c>
    </row>
    <row r="293" ht="15" customHeight="1" s="128">
      <c r="A293" s="138" t="n"/>
      <c r="B293" s="134" t="n"/>
      <c r="C293" s="134" t="n"/>
      <c r="D293" s="134" t="n"/>
      <c r="E293" s="134" t="n"/>
      <c r="F293" s="134" t="n"/>
      <c r="G293" s="134" t="n"/>
      <c r="H293" s="134" t="n"/>
      <c r="I293" s="134" t="n"/>
      <c r="J293" s="139">
        <f>IF($A293="","",TEXT($A293,"DD/MM/YYYY")&amp;"  —  "&amp;$B293&amp;IF($E293="",""," [Referral: "&amp;$E293&amp;"]")&amp;IF($G293="",""," [Competency: "&amp;$G293&amp;"]")&amp;IF($C293="",""," How it developed the skill: "&amp;$C293))</f>
        <v/>
      </c>
    </row>
    <row r="294" ht="15" customHeight="1" s="128">
      <c r="A294" s="138" t="n"/>
      <c r="B294" s="134" t="n"/>
      <c r="C294" s="134" t="n"/>
      <c r="D294" s="134" t="n"/>
      <c r="E294" s="134" t="n"/>
      <c r="F294" s="134" t="n"/>
      <c r="G294" s="134" t="n"/>
      <c r="H294" s="134" t="n"/>
      <c r="I294" s="134" t="n"/>
      <c r="J294" s="139">
        <f>IF($A294="","",TEXT($A294,"DD/MM/YYYY")&amp;"  —  "&amp;$B294&amp;IF($E294="",""," [Referral: "&amp;$E294&amp;"]")&amp;IF($G294="",""," [Competency: "&amp;$G294&amp;"]")&amp;IF($C294="",""," How it developed the skill: "&amp;$C294))</f>
        <v/>
      </c>
    </row>
    <row r="295" ht="15" customHeight="1" s="128">
      <c r="A295" s="138" t="n"/>
      <c r="B295" s="134" t="n"/>
      <c r="C295" s="134" t="n"/>
      <c r="D295" s="134" t="n"/>
      <c r="E295" s="134" t="n"/>
      <c r="F295" s="134" t="n"/>
      <c r="G295" s="134" t="n"/>
      <c r="H295" s="134" t="n"/>
      <c r="I295" s="134" t="n"/>
      <c r="J295" s="139">
        <f>IF($A295="","",TEXT($A295,"DD/MM/YYYY")&amp;"  —  "&amp;$B295&amp;IF($E295="",""," [Referral: "&amp;$E295&amp;"]")&amp;IF($G295="",""," [Competency: "&amp;$G295&amp;"]")&amp;IF($C295="",""," How it developed the skill: "&amp;$C295))</f>
        <v/>
      </c>
    </row>
    <row r="296" ht="15" customHeight="1" s="128">
      <c r="A296" s="138" t="n"/>
      <c r="B296" s="134" t="n"/>
      <c r="C296" s="134" t="n"/>
      <c r="D296" s="134" t="n"/>
      <c r="E296" s="134" t="n"/>
      <c r="F296" s="134" t="n"/>
      <c r="G296" s="134" t="n"/>
      <c r="H296" s="134" t="n"/>
      <c r="I296" s="134" t="n"/>
      <c r="J296" s="139">
        <f>IF($A296="","",TEXT($A296,"DD/MM/YYYY")&amp;"  —  "&amp;$B296&amp;IF($E296="",""," [Referral: "&amp;$E296&amp;"]")&amp;IF($G296="",""," [Competency: "&amp;$G296&amp;"]")&amp;IF($C296="",""," How it developed the skill: "&amp;$C296))</f>
        <v/>
      </c>
    </row>
    <row r="297" ht="15" customHeight="1" s="128">
      <c r="A297" s="138" t="n"/>
      <c r="B297" s="134" t="n"/>
      <c r="C297" s="134" t="n"/>
      <c r="D297" s="134" t="n"/>
      <c r="E297" s="134" t="n"/>
      <c r="F297" s="134" t="n"/>
      <c r="G297" s="134" t="n"/>
      <c r="H297" s="134" t="n"/>
      <c r="I297" s="134" t="n"/>
      <c r="J297" s="139">
        <f>IF($A297="","",TEXT($A297,"DD/MM/YYYY")&amp;"  —  "&amp;$B297&amp;IF($E297="",""," [Referral: "&amp;$E297&amp;"]")&amp;IF($G297="",""," [Competency: "&amp;$G297&amp;"]")&amp;IF($C297="",""," How it developed the skill: "&amp;$C297))</f>
        <v/>
      </c>
    </row>
    <row r="298" ht="15" customHeight="1" s="128">
      <c r="A298" s="138" t="n"/>
      <c r="B298" s="134" t="n"/>
      <c r="C298" s="134" t="n"/>
      <c r="D298" s="134" t="n"/>
      <c r="E298" s="134" t="n"/>
      <c r="F298" s="134" t="n"/>
      <c r="G298" s="134" t="n"/>
      <c r="H298" s="134" t="n"/>
      <c r="I298" s="134" t="n"/>
      <c r="J298" s="139">
        <f>IF($A298="","",TEXT($A298,"DD/MM/YYYY")&amp;"  —  "&amp;$B298&amp;IF($E298="",""," [Referral: "&amp;$E298&amp;"]")&amp;IF($G298="",""," [Competency: "&amp;$G298&amp;"]")&amp;IF($C298="",""," How it developed the skill: "&amp;$C298))</f>
        <v/>
      </c>
    </row>
    <row r="299" ht="15" customHeight="1" s="128">
      <c r="A299" s="138" t="n"/>
      <c r="B299" s="134" t="n"/>
      <c r="C299" s="134" t="n"/>
      <c r="D299" s="134" t="n"/>
      <c r="E299" s="134" t="n"/>
      <c r="F299" s="134" t="n"/>
      <c r="G299" s="134" t="n"/>
      <c r="H299" s="134" t="n"/>
      <c r="I299" s="134" t="n"/>
      <c r="J299" s="139">
        <f>IF($A299="","",TEXT($A299,"DD/MM/YYYY")&amp;"  —  "&amp;$B299&amp;IF($E299="",""," [Referral: "&amp;$E299&amp;"]")&amp;IF($G299="",""," [Competency: "&amp;$G299&amp;"]")&amp;IF($C299="",""," How it developed the skill: "&amp;$C299))</f>
        <v/>
      </c>
    </row>
    <row r="300" ht="15" customHeight="1" s="128">
      <c r="A300" s="138" t="n"/>
      <c r="B300" s="134" t="n"/>
      <c r="C300" s="134" t="n"/>
      <c r="D300" s="134" t="n"/>
      <c r="E300" s="134" t="n"/>
      <c r="F300" s="134" t="n"/>
      <c r="G300" s="134" t="n"/>
      <c r="H300" s="134" t="n"/>
      <c r="I300" s="134" t="n"/>
      <c r="J300" s="139">
        <f>IF($A300="","",TEXT($A300,"DD/MM/YYYY")&amp;"  —  "&amp;$B300&amp;IF($E300="",""," [Referral: "&amp;$E300&amp;"]")&amp;IF($G300="",""," [Competency: "&amp;$G300&amp;"]")&amp;IF($C300="",""," How it developed the skill: "&amp;$C300))</f>
        <v/>
      </c>
    </row>
    <row r="301" ht="15" customHeight="1" s="128">
      <c r="A301" s="138" t="n"/>
      <c r="B301" s="134" t="n"/>
      <c r="C301" s="134" t="n"/>
      <c r="D301" s="134" t="n"/>
      <c r="E301" s="134" t="n"/>
      <c r="F301" s="134" t="n"/>
      <c r="G301" s="134" t="n"/>
      <c r="H301" s="134" t="n"/>
      <c r="I301" s="134" t="n"/>
      <c r="J301" s="139">
        <f>IF($A301="","",TEXT($A301,"DD/MM/YYYY")&amp;"  —  "&amp;$B301&amp;IF($E301="",""," [Referral: "&amp;$E301&amp;"]")&amp;IF($G301="",""," [Competency: "&amp;$G301&amp;"]")&amp;IF($C301="",""," How it developed the skill: "&amp;$C301))</f>
        <v/>
      </c>
    </row>
    <row r="302" ht="15" customHeight="1" s="128">
      <c r="A302" s="138" t="n"/>
      <c r="B302" s="134" t="n"/>
      <c r="C302" s="134" t="n"/>
      <c r="D302" s="134" t="n"/>
      <c r="E302" s="134" t="n"/>
      <c r="F302" s="134" t="n"/>
      <c r="G302" s="134" t="n"/>
      <c r="H302" s="134" t="n"/>
      <c r="I302" s="134" t="n"/>
      <c r="J302" s="139">
        <f>IF($A302="","",TEXT($A302,"DD/MM/YYYY")&amp;"  —  "&amp;$B302&amp;IF($E302="",""," [Referral: "&amp;$E302&amp;"]")&amp;IF($G302="",""," [Competency: "&amp;$G302&amp;"]")&amp;IF($C302="",""," How it developed the skill: "&amp;$C302))</f>
        <v/>
      </c>
    </row>
    <row r="303" ht="15" customHeight="1" s="128">
      <c r="A303" s="138" t="n"/>
      <c r="B303" s="134" t="n"/>
      <c r="C303" s="134" t="n"/>
      <c r="D303" s="134" t="n"/>
      <c r="E303" s="134" t="n"/>
      <c r="F303" s="134" t="n"/>
      <c r="G303" s="134" t="n"/>
      <c r="H303" s="134" t="n"/>
      <c r="I303" s="134" t="n"/>
      <c r="J303" s="139">
        <f>IF($A303="","",TEXT($A303,"DD/MM/YYYY")&amp;"  —  "&amp;$B303&amp;IF($E303="",""," [Referral: "&amp;$E303&amp;"]")&amp;IF($G303="",""," [Competency: "&amp;$G303&amp;"]")&amp;IF($C303="",""," How it developed the skill: "&amp;$C303))</f>
        <v/>
      </c>
    </row>
    <row r="304" ht="15" customHeight="1" s="128">
      <c r="A304" s="138" t="n"/>
      <c r="B304" s="134" t="n"/>
      <c r="C304" s="134" t="n"/>
      <c r="D304" s="134" t="n"/>
      <c r="E304" s="134" t="n"/>
      <c r="F304" s="134" t="n"/>
      <c r="G304" s="134" t="n"/>
      <c r="H304" s="134" t="n"/>
      <c r="I304" s="134" t="n"/>
      <c r="J304" s="139">
        <f>IF($A304="","",TEXT($A304,"DD/MM/YYYY")&amp;"  —  "&amp;$B304&amp;IF($E304="",""," [Referral: "&amp;$E304&amp;"]")&amp;IF($G304="",""," [Competency: "&amp;$G304&amp;"]")&amp;IF($C304="",""," How it developed the skill: "&amp;$C304))</f>
        <v/>
      </c>
    </row>
    <row r="305" ht="15" customHeight="1" s="128">
      <c r="A305" s="138" t="n"/>
      <c r="B305" s="134" t="n"/>
      <c r="C305" s="134" t="n"/>
      <c r="D305" s="134" t="n"/>
      <c r="E305" s="134" t="n"/>
      <c r="F305" s="134" t="n"/>
      <c r="G305" s="134" t="n"/>
      <c r="H305" s="134" t="n"/>
      <c r="I305" s="134" t="n"/>
      <c r="J305" s="139">
        <f>IF($A305="","",TEXT($A305,"DD/MM/YYYY")&amp;"  —  "&amp;$B305&amp;IF($E305="",""," [Referral: "&amp;$E305&amp;"]")&amp;IF($G305="",""," [Competency: "&amp;$G305&amp;"]")&amp;IF($C305="",""," How it developed the skill: "&amp;$C305))</f>
        <v/>
      </c>
    </row>
    <row r="306" ht="15" customHeight="1" s="128">
      <c r="A306" s="138" t="n"/>
      <c r="B306" s="134" t="n"/>
      <c r="C306" s="134" t="n"/>
      <c r="D306" s="134" t="n"/>
      <c r="E306" s="134" t="n"/>
      <c r="F306" s="134" t="n"/>
      <c r="G306" s="134" t="n"/>
      <c r="H306" s="134" t="n"/>
      <c r="I306" s="134" t="n"/>
      <c r="J306" s="139">
        <f>IF($A306="","",TEXT($A306,"DD/MM/YYYY")&amp;"  —  "&amp;$B306&amp;IF($E306="",""," [Referral: "&amp;$E306&amp;"]")&amp;IF($G306="",""," [Competency: "&amp;$G306&amp;"]")&amp;IF($C306="",""," How it developed the skill: "&amp;$C306))</f>
        <v/>
      </c>
    </row>
    <row r="307" ht="15" customHeight="1" s="128">
      <c r="A307" s="138" t="n"/>
      <c r="B307" s="134" t="n"/>
      <c r="C307" s="134" t="n"/>
      <c r="D307" s="134" t="n"/>
      <c r="E307" s="134" t="n"/>
      <c r="F307" s="134" t="n"/>
      <c r="G307" s="134" t="n"/>
      <c r="H307" s="134" t="n"/>
      <c r="I307" s="134" t="n"/>
      <c r="J307" s="139">
        <f>IF($A307="","",TEXT($A307,"DD/MM/YYYY")&amp;"  —  "&amp;$B307&amp;IF($E307="",""," [Referral: "&amp;$E307&amp;"]")&amp;IF($G307="",""," [Competency: "&amp;$G307&amp;"]")&amp;IF($C307="",""," How it developed the skill: "&amp;$C307))</f>
        <v/>
      </c>
    </row>
    <row r="308" ht="15" customHeight="1" s="128">
      <c r="A308" s="138" t="n"/>
      <c r="B308" s="134" t="n"/>
      <c r="C308" s="134" t="n"/>
      <c r="D308" s="134" t="n"/>
      <c r="E308" s="134" t="n"/>
      <c r="F308" s="134" t="n"/>
      <c r="G308" s="134" t="n"/>
      <c r="H308" s="134" t="n"/>
      <c r="I308" s="134" t="n"/>
      <c r="J308" s="139">
        <f>IF($A308="","",TEXT($A308,"DD/MM/YYYY")&amp;"  —  "&amp;$B308&amp;IF($E308="",""," [Referral: "&amp;$E308&amp;"]")&amp;IF($G308="",""," [Competency: "&amp;$G308&amp;"]")&amp;IF($C308="",""," How it developed the skill: "&amp;$C308))</f>
        <v/>
      </c>
    </row>
    <row r="309" ht="15" customHeight="1" s="128">
      <c r="A309" s="138" t="n"/>
      <c r="B309" s="134" t="n"/>
      <c r="C309" s="134" t="n"/>
      <c r="D309" s="134" t="n"/>
      <c r="E309" s="134" t="n"/>
      <c r="F309" s="134" t="n"/>
      <c r="G309" s="134" t="n"/>
      <c r="H309" s="134" t="n"/>
      <c r="I309" s="134" t="n"/>
      <c r="J309" s="139">
        <f>IF($A309="","",TEXT($A309,"DD/MM/YYYY")&amp;"  —  "&amp;$B309&amp;IF($E309="",""," [Referral: "&amp;$E309&amp;"]")&amp;IF($G309="",""," [Competency: "&amp;$G309&amp;"]")&amp;IF($C309="",""," How it developed the skill: "&amp;$C309))</f>
        <v/>
      </c>
    </row>
    <row r="310" ht="15" customHeight="1" s="128">
      <c r="A310" s="138" t="n"/>
      <c r="B310" s="134" t="n"/>
      <c r="C310" s="134" t="n"/>
      <c r="D310" s="134" t="n"/>
      <c r="E310" s="134" t="n"/>
      <c r="F310" s="134" t="n"/>
      <c r="G310" s="134" t="n"/>
      <c r="H310" s="134" t="n"/>
      <c r="I310" s="134" t="n"/>
      <c r="J310" s="139">
        <f>IF($A310="","",TEXT($A310,"DD/MM/YYYY")&amp;"  —  "&amp;$B310&amp;IF($E310="",""," [Referral: "&amp;$E310&amp;"]")&amp;IF($G310="",""," [Competency: "&amp;$G310&amp;"]")&amp;IF($C310="",""," How it developed the skill: "&amp;$C310))</f>
        <v/>
      </c>
    </row>
    <row r="311" ht="15" customHeight="1" s="128">
      <c r="A311" s="138" t="n"/>
      <c r="B311" s="134" t="n"/>
      <c r="C311" s="134" t="n"/>
      <c r="D311" s="134" t="n"/>
      <c r="E311" s="134" t="n"/>
      <c r="F311" s="134" t="n"/>
      <c r="G311" s="134" t="n"/>
      <c r="H311" s="134" t="n"/>
      <c r="I311" s="134" t="n"/>
      <c r="J311" s="139">
        <f>IF($A311="","",TEXT($A311,"DD/MM/YYYY")&amp;"  —  "&amp;$B311&amp;IF($E311="",""," [Referral: "&amp;$E311&amp;"]")&amp;IF($G311="",""," [Competency: "&amp;$G311&amp;"]")&amp;IF($C311="",""," How it developed the skill: "&amp;$C311))</f>
        <v/>
      </c>
    </row>
    <row r="312" ht="15" customHeight="1" s="128">
      <c r="A312" s="138" t="n"/>
      <c r="B312" s="134" t="n"/>
      <c r="C312" s="134" t="n"/>
      <c r="D312" s="134" t="n"/>
      <c r="E312" s="134" t="n"/>
      <c r="F312" s="134" t="n"/>
      <c r="G312" s="134" t="n"/>
      <c r="H312" s="134" t="n"/>
      <c r="I312" s="134" t="n"/>
      <c r="J312" s="139">
        <f>IF($A312="","",TEXT($A312,"DD/MM/YYYY")&amp;"  —  "&amp;$B312&amp;IF($E312="",""," [Referral: "&amp;$E312&amp;"]")&amp;IF($G312="",""," [Competency: "&amp;$G312&amp;"]")&amp;IF($C312="",""," How it developed the skill: "&amp;$C312))</f>
        <v/>
      </c>
    </row>
    <row r="313" ht="15" customHeight="1" s="128">
      <c r="A313" s="138" t="n"/>
      <c r="B313" s="134" t="n"/>
      <c r="C313" s="134" t="n"/>
      <c r="D313" s="134" t="n"/>
      <c r="E313" s="134" t="n"/>
      <c r="F313" s="134" t="n"/>
      <c r="G313" s="134" t="n"/>
      <c r="H313" s="134" t="n"/>
      <c r="I313" s="134" t="n"/>
      <c r="J313" s="139">
        <f>IF($A313="","",TEXT($A313,"DD/MM/YYYY")&amp;"  —  "&amp;$B313&amp;IF($E313="",""," [Referral: "&amp;$E313&amp;"]")&amp;IF($G313="",""," [Competency: "&amp;$G313&amp;"]")&amp;IF($C313="",""," How it developed the skill: "&amp;$C313))</f>
        <v/>
      </c>
    </row>
    <row r="314" ht="15" customHeight="1" s="128">
      <c r="A314" s="138" t="n"/>
      <c r="B314" s="134" t="n"/>
      <c r="C314" s="134" t="n"/>
      <c r="D314" s="134" t="n"/>
      <c r="E314" s="134" t="n"/>
      <c r="F314" s="134" t="n"/>
      <c r="G314" s="134" t="n"/>
      <c r="H314" s="134" t="n"/>
      <c r="I314" s="134" t="n"/>
      <c r="J314" s="139">
        <f>IF($A314="","",TEXT($A314,"DD/MM/YYYY")&amp;"  —  "&amp;$B314&amp;IF($E314="",""," [Referral: "&amp;$E314&amp;"]")&amp;IF($G314="",""," [Competency: "&amp;$G314&amp;"]")&amp;IF($C314="",""," How it developed the skill: "&amp;$C314))</f>
        <v/>
      </c>
    </row>
    <row r="315" ht="15" customHeight="1" s="128">
      <c r="A315" s="138" t="n"/>
      <c r="B315" s="134" t="n"/>
      <c r="C315" s="134" t="n"/>
      <c r="D315" s="134" t="n"/>
      <c r="E315" s="134" t="n"/>
      <c r="F315" s="134" t="n"/>
      <c r="G315" s="134" t="n"/>
      <c r="H315" s="134" t="n"/>
      <c r="I315" s="134" t="n"/>
      <c r="J315" s="139">
        <f>IF($A315="","",TEXT($A315,"DD/MM/YYYY")&amp;"  —  "&amp;$B315&amp;IF($E315="",""," [Referral: "&amp;$E315&amp;"]")&amp;IF($G315="",""," [Competency: "&amp;$G315&amp;"]")&amp;IF($C315="",""," How it developed the skill: "&amp;$C315))</f>
        <v/>
      </c>
    </row>
    <row r="316" ht="15" customHeight="1" s="128">
      <c r="A316" s="138" t="n"/>
      <c r="B316" s="134" t="n"/>
      <c r="C316" s="134" t="n"/>
      <c r="D316" s="134" t="n"/>
      <c r="E316" s="134" t="n"/>
      <c r="F316" s="134" t="n"/>
      <c r="G316" s="134" t="n"/>
      <c r="H316" s="134" t="n"/>
      <c r="I316" s="134" t="n"/>
      <c r="J316" s="139">
        <f>IF($A316="","",TEXT($A316,"DD/MM/YYYY")&amp;"  —  "&amp;$B316&amp;IF($E316="",""," [Referral: "&amp;$E316&amp;"]")&amp;IF($G316="",""," [Competency: "&amp;$G316&amp;"]")&amp;IF($C316="",""," How it developed the skill: "&amp;$C316))</f>
        <v/>
      </c>
    </row>
    <row r="317" ht="15" customHeight="1" s="128">
      <c r="A317" s="138" t="n"/>
      <c r="B317" s="134" t="n"/>
      <c r="C317" s="134" t="n"/>
      <c r="D317" s="134" t="n"/>
      <c r="E317" s="134" t="n"/>
      <c r="F317" s="134" t="n"/>
      <c r="G317" s="134" t="n"/>
      <c r="H317" s="134" t="n"/>
      <c r="I317" s="134" t="n"/>
      <c r="J317" s="139">
        <f>IF($A317="","",TEXT($A317,"DD/MM/YYYY")&amp;"  —  "&amp;$B317&amp;IF($E317="",""," [Referral: "&amp;$E317&amp;"]")&amp;IF($G317="",""," [Competency: "&amp;$G317&amp;"]")&amp;IF($C317="",""," How it developed the skill: "&amp;$C317))</f>
        <v/>
      </c>
    </row>
    <row r="318" ht="15" customHeight="1" s="128">
      <c r="A318" s="138" t="n"/>
      <c r="B318" s="134" t="n"/>
      <c r="C318" s="134" t="n"/>
      <c r="D318" s="134" t="n"/>
      <c r="E318" s="134" t="n"/>
      <c r="F318" s="134" t="n"/>
      <c r="G318" s="134" t="n"/>
      <c r="H318" s="134" t="n"/>
      <c r="I318" s="134" t="n"/>
      <c r="J318" s="139">
        <f>IF($A318="","",TEXT($A318,"DD/MM/YYYY")&amp;"  —  "&amp;$B318&amp;IF($E318="",""," [Referral: "&amp;$E318&amp;"]")&amp;IF($G318="",""," [Competency: "&amp;$G318&amp;"]")&amp;IF($C318="",""," How it developed the skill: "&amp;$C318))</f>
        <v/>
      </c>
    </row>
    <row r="319" ht="15" customHeight="1" s="128">
      <c r="A319" s="138" t="n"/>
      <c r="B319" s="134" t="n"/>
      <c r="C319" s="134" t="n"/>
      <c r="D319" s="134" t="n"/>
      <c r="E319" s="134" t="n"/>
      <c r="F319" s="134" t="n"/>
      <c r="G319" s="134" t="n"/>
      <c r="H319" s="134" t="n"/>
      <c r="I319" s="134" t="n"/>
      <c r="J319" s="139">
        <f>IF($A319="","",TEXT($A319,"DD/MM/YYYY")&amp;"  —  "&amp;$B319&amp;IF($E319="",""," [Referral: "&amp;$E319&amp;"]")&amp;IF($G319="",""," [Competency: "&amp;$G319&amp;"]")&amp;IF($C319="",""," How it developed the skill: "&amp;$C319))</f>
        <v/>
      </c>
    </row>
    <row r="320" ht="15" customHeight="1" s="128">
      <c r="A320" s="138" t="n"/>
      <c r="B320" s="134" t="n"/>
      <c r="C320" s="134" t="n"/>
      <c r="D320" s="134" t="n"/>
      <c r="E320" s="134" t="n"/>
      <c r="F320" s="134" t="n"/>
      <c r="G320" s="134" t="n"/>
      <c r="H320" s="134" t="n"/>
      <c r="I320" s="134" t="n"/>
      <c r="J320" s="139">
        <f>IF($A320="","",TEXT($A320,"DD/MM/YYYY")&amp;"  —  "&amp;$B320&amp;IF($E320="",""," [Referral: "&amp;$E320&amp;"]")&amp;IF($G320="",""," [Competency: "&amp;$G320&amp;"]")&amp;IF($C320="",""," How it developed the skill: "&amp;$C320))</f>
        <v/>
      </c>
    </row>
    <row r="321" ht="15" customHeight="1" s="128">
      <c r="A321" s="138" t="n"/>
      <c r="B321" s="134" t="n"/>
      <c r="C321" s="134" t="n"/>
      <c r="D321" s="134" t="n"/>
      <c r="E321" s="134" t="n"/>
      <c r="F321" s="134" t="n"/>
      <c r="G321" s="134" t="n"/>
      <c r="H321" s="134" t="n"/>
      <c r="I321" s="134" t="n"/>
      <c r="J321" s="139">
        <f>IF($A321="","",TEXT($A321,"DD/MM/YYYY")&amp;"  —  "&amp;$B321&amp;IF($E321="",""," [Referral: "&amp;$E321&amp;"]")&amp;IF($G321="",""," [Competency: "&amp;$G321&amp;"]")&amp;IF($C321="",""," How it developed the skill: "&amp;$C321))</f>
        <v/>
      </c>
    </row>
    <row r="322" ht="15" customHeight="1" s="128">
      <c r="A322" s="138" t="n"/>
      <c r="B322" s="134" t="n"/>
      <c r="C322" s="134" t="n"/>
      <c r="D322" s="134" t="n"/>
      <c r="E322" s="134" t="n"/>
      <c r="F322" s="134" t="n"/>
      <c r="G322" s="134" t="n"/>
      <c r="H322" s="134" t="n"/>
      <c r="I322" s="134" t="n"/>
      <c r="J322" s="139">
        <f>IF($A322="","",TEXT($A322,"DD/MM/YYYY")&amp;"  —  "&amp;$B322&amp;IF($E322="",""," [Referral: "&amp;$E322&amp;"]")&amp;IF($G322="",""," [Competency: "&amp;$G322&amp;"]")&amp;IF($C322="",""," How it developed the skill: "&amp;$C322))</f>
        <v/>
      </c>
    </row>
    <row r="323" ht="15" customHeight="1" s="128">
      <c r="A323" s="138" t="n"/>
      <c r="B323" s="134" t="n"/>
      <c r="C323" s="134" t="n"/>
      <c r="D323" s="134" t="n"/>
      <c r="E323" s="134" t="n"/>
      <c r="F323" s="134" t="n"/>
      <c r="G323" s="134" t="n"/>
      <c r="H323" s="134" t="n"/>
      <c r="I323" s="134" t="n"/>
      <c r="J323" s="139">
        <f>IF($A323="","",TEXT($A323,"DD/MM/YYYY")&amp;"  —  "&amp;$B323&amp;IF($E323="",""," [Referral: "&amp;$E323&amp;"]")&amp;IF($G323="",""," [Competency: "&amp;$G323&amp;"]")&amp;IF($C323="",""," How it developed the skill: "&amp;$C323))</f>
        <v/>
      </c>
    </row>
    <row r="324" ht="15" customHeight="1" s="128">
      <c r="A324" s="138" t="n"/>
      <c r="B324" s="134" t="n"/>
      <c r="C324" s="134" t="n"/>
      <c r="D324" s="134" t="n"/>
      <c r="E324" s="134" t="n"/>
      <c r="F324" s="134" t="n"/>
      <c r="G324" s="134" t="n"/>
      <c r="H324" s="134" t="n"/>
      <c r="I324" s="134" t="n"/>
      <c r="J324" s="139">
        <f>IF($A324="","",TEXT($A324,"DD/MM/YYYY")&amp;"  —  "&amp;$B324&amp;IF($E324="",""," [Referral: "&amp;$E324&amp;"]")&amp;IF($G324="",""," [Competency: "&amp;$G324&amp;"]")&amp;IF($C324="",""," How it developed the skill: "&amp;$C324))</f>
        <v/>
      </c>
    </row>
    <row r="325" ht="15" customHeight="1" s="128">
      <c r="A325" s="138" t="n"/>
      <c r="B325" s="134" t="n"/>
      <c r="C325" s="134" t="n"/>
      <c r="D325" s="134" t="n"/>
      <c r="E325" s="134" t="n"/>
      <c r="F325" s="134" t="n"/>
      <c r="G325" s="134" t="n"/>
      <c r="H325" s="134" t="n"/>
      <c r="I325" s="134" t="n"/>
      <c r="J325" s="139">
        <f>IF($A325="","",TEXT($A325,"DD/MM/YYYY")&amp;"  —  "&amp;$B325&amp;IF($E325="",""," [Referral: "&amp;$E325&amp;"]")&amp;IF($G325="",""," [Competency: "&amp;$G325&amp;"]")&amp;IF($C325="",""," How it developed the skill: "&amp;$C325))</f>
        <v/>
      </c>
    </row>
    <row r="326" ht="15" customHeight="1" s="128">
      <c r="A326" s="138" t="n"/>
      <c r="B326" s="134" t="n"/>
      <c r="C326" s="134" t="n"/>
      <c r="D326" s="134" t="n"/>
      <c r="E326" s="134" t="n"/>
      <c r="F326" s="134" t="n"/>
      <c r="G326" s="134" t="n"/>
      <c r="H326" s="134" t="n"/>
      <c r="I326" s="134" t="n"/>
      <c r="J326" s="139">
        <f>IF($A326="","",TEXT($A326,"DD/MM/YYYY")&amp;"  —  "&amp;$B326&amp;IF($E326="",""," [Referral: "&amp;$E326&amp;"]")&amp;IF($G326="",""," [Competency: "&amp;$G326&amp;"]")&amp;IF($C326="",""," How it developed the skill: "&amp;$C326))</f>
        <v/>
      </c>
    </row>
    <row r="327" ht="15" customHeight="1" s="128">
      <c r="A327" s="138" t="n"/>
      <c r="B327" s="134" t="n"/>
      <c r="C327" s="134" t="n"/>
      <c r="D327" s="134" t="n"/>
      <c r="E327" s="134" t="n"/>
      <c r="F327" s="134" t="n"/>
      <c r="G327" s="134" t="n"/>
      <c r="H327" s="134" t="n"/>
      <c r="I327" s="134" t="n"/>
      <c r="J327" s="139">
        <f>IF($A327="","",TEXT($A327,"DD/MM/YYYY")&amp;"  —  "&amp;$B327&amp;IF($E327="",""," [Referral: "&amp;$E327&amp;"]")&amp;IF($G327="",""," [Competency: "&amp;$G327&amp;"]")&amp;IF($C327="",""," How it developed the skill: "&amp;$C327))</f>
        <v/>
      </c>
    </row>
    <row r="328" ht="15" customHeight="1" s="128">
      <c r="A328" s="138" t="n"/>
      <c r="B328" s="134" t="n"/>
      <c r="C328" s="134" t="n"/>
      <c r="D328" s="134" t="n"/>
      <c r="E328" s="134" t="n"/>
      <c r="F328" s="134" t="n"/>
      <c r="G328" s="134" t="n"/>
      <c r="H328" s="134" t="n"/>
      <c r="I328" s="134" t="n"/>
      <c r="J328" s="139">
        <f>IF($A328="","",TEXT($A328,"DD/MM/YYYY")&amp;"  —  "&amp;$B328&amp;IF($E328="",""," [Referral: "&amp;$E328&amp;"]")&amp;IF($G328="",""," [Competency: "&amp;$G328&amp;"]")&amp;IF($C328="",""," How it developed the skill: "&amp;$C328))</f>
        <v/>
      </c>
    </row>
    <row r="329" ht="15" customHeight="1" s="128">
      <c r="A329" s="138" t="n"/>
      <c r="B329" s="134" t="n"/>
      <c r="C329" s="134" t="n"/>
      <c r="D329" s="134" t="n"/>
      <c r="E329" s="134" t="n"/>
      <c r="F329" s="134" t="n"/>
      <c r="G329" s="134" t="n"/>
      <c r="H329" s="134" t="n"/>
      <c r="I329" s="134" t="n"/>
      <c r="J329" s="139">
        <f>IF($A329="","",TEXT($A329,"DD/MM/YYYY")&amp;"  —  "&amp;$B329&amp;IF($E329="",""," [Referral: "&amp;$E329&amp;"]")&amp;IF($G329="",""," [Competency: "&amp;$G329&amp;"]")&amp;IF($C329="",""," How it developed the skill: "&amp;$C329))</f>
        <v/>
      </c>
    </row>
    <row r="330" ht="15" customHeight="1" s="128">
      <c r="A330" s="138" t="n"/>
      <c r="B330" s="134" t="n"/>
      <c r="C330" s="134" t="n"/>
      <c r="D330" s="134" t="n"/>
      <c r="E330" s="134" t="n"/>
      <c r="F330" s="134" t="n"/>
      <c r="G330" s="134" t="n"/>
      <c r="H330" s="134" t="n"/>
      <c r="I330" s="134" t="n"/>
      <c r="J330" s="139">
        <f>IF($A330="","",TEXT($A330,"DD/MM/YYYY")&amp;"  —  "&amp;$B330&amp;IF($E330="",""," [Referral: "&amp;$E330&amp;"]")&amp;IF($G330="",""," [Competency: "&amp;$G330&amp;"]")&amp;IF($C330="",""," How it developed the skill: "&amp;$C330))</f>
        <v/>
      </c>
    </row>
    <row r="331" ht="15" customHeight="1" s="128">
      <c r="A331" s="138" t="n"/>
      <c r="B331" s="134" t="n"/>
      <c r="C331" s="134" t="n"/>
      <c r="D331" s="134" t="n"/>
      <c r="E331" s="134" t="n"/>
      <c r="F331" s="134" t="n"/>
      <c r="G331" s="134" t="n"/>
      <c r="H331" s="134" t="n"/>
      <c r="I331" s="134" t="n"/>
      <c r="J331" s="139">
        <f>IF($A331="","",TEXT($A331,"DD/MM/YYYY")&amp;"  —  "&amp;$B331&amp;IF($E331="",""," [Referral: "&amp;$E331&amp;"]")&amp;IF($G331="",""," [Competency: "&amp;$G331&amp;"]")&amp;IF($C331="",""," How it developed the skill: "&amp;$C331))</f>
        <v/>
      </c>
    </row>
    <row r="332" ht="15" customHeight="1" s="128">
      <c r="A332" s="138" t="n"/>
      <c r="B332" s="134" t="n"/>
      <c r="C332" s="134" t="n"/>
      <c r="D332" s="134" t="n"/>
      <c r="E332" s="134" t="n"/>
      <c r="F332" s="134" t="n"/>
      <c r="G332" s="134" t="n"/>
      <c r="H332" s="134" t="n"/>
      <c r="I332" s="134" t="n"/>
      <c r="J332" s="139">
        <f>IF($A332="","",TEXT($A332,"DD/MM/YYYY")&amp;"  —  "&amp;$B332&amp;IF($E332="",""," [Referral: "&amp;$E332&amp;"]")&amp;IF($G332="",""," [Competency: "&amp;$G332&amp;"]")&amp;IF($C332="",""," How it developed the skill: "&amp;$C332))</f>
        <v/>
      </c>
    </row>
    <row r="333" ht="15" customHeight="1" s="128">
      <c r="A333" s="138" t="n"/>
      <c r="B333" s="134" t="n"/>
      <c r="C333" s="134" t="n"/>
      <c r="D333" s="134" t="n"/>
      <c r="E333" s="134" t="n"/>
      <c r="F333" s="134" t="n"/>
      <c r="G333" s="134" t="n"/>
      <c r="H333" s="134" t="n"/>
      <c r="I333" s="134" t="n"/>
      <c r="J333" s="139">
        <f>IF($A333="","",TEXT($A333,"DD/MM/YYYY")&amp;"  —  "&amp;$B333&amp;IF($E333="",""," [Referral: "&amp;$E333&amp;"]")&amp;IF($G333="",""," [Competency: "&amp;$G333&amp;"]")&amp;IF($C333="",""," How it developed the skill: "&amp;$C333))</f>
        <v/>
      </c>
    </row>
    <row r="334" ht="15" customHeight="1" s="128">
      <c r="A334" s="138" t="n"/>
      <c r="B334" s="134" t="n"/>
      <c r="C334" s="134" t="n"/>
      <c r="D334" s="134" t="n"/>
      <c r="E334" s="134" t="n"/>
      <c r="F334" s="134" t="n"/>
      <c r="G334" s="134" t="n"/>
      <c r="H334" s="134" t="n"/>
      <c r="I334" s="134" t="n"/>
      <c r="J334" s="139">
        <f>IF($A334="","",TEXT($A334,"DD/MM/YYYY")&amp;"  —  "&amp;$B334&amp;IF($E334="",""," [Referral: "&amp;$E334&amp;"]")&amp;IF($G334="",""," [Competency: "&amp;$G334&amp;"]")&amp;IF($C334="",""," How it developed the skill: "&amp;$C334))</f>
        <v/>
      </c>
    </row>
    <row r="335" ht="15" customHeight="1" s="128">
      <c r="A335" s="138" t="n"/>
      <c r="B335" s="134" t="n"/>
      <c r="C335" s="134" t="n"/>
      <c r="D335" s="134" t="n"/>
      <c r="E335" s="134" t="n"/>
      <c r="F335" s="134" t="n"/>
      <c r="G335" s="134" t="n"/>
      <c r="H335" s="134" t="n"/>
      <c r="I335" s="134" t="n"/>
      <c r="J335" s="139">
        <f>IF($A335="","",TEXT($A335,"DD/MM/YYYY")&amp;"  —  "&amp;$B335&amp;IF($E335="",""," [Referral: "&amp;$E335&amp;"]")&amp;IF($G335="",""," [Competency: "&amp;$G335&amp;"]")&amp;IF($C335="",""," How it developed the skill: "&amp;$C335))</f>
        <v/>
      </c>
    </row>
    <row r="336" ht="15" customHeight="1" s="128">
      <c r="A336" s="138" t="n"/>
      <c r="B336" s="134" t="n"/>
      <c r="C336" s="134" t="n"/>
      <c r="D336" s="134" t="n"/>
      <c r="E336" s="134" t="n"/>
      <c r="F336" s="134" t="n"/>
      <c r="G336" s="134" t="n"/>
      <c r="H336" s="134" t="n"/>
      <c r="I336" s="134" t="n"/>
      <c r="J336" s="139">
        <f>IF($A336="","",TEXT($A336,"DD/MM/YYYY")&amp;"  —  "&amp;$B336&amp;IF($E336="",""," [Referral: "&amp;$E336&amp;"]")&amp;IF($G336="",""," [Competency: "&amp;$G336&amp;"]")&amp;IF($C336="",""," How it developed the skill: "&amp;$C336))</f>
        <v/>
      </c>
    </row>
    <row r="337" ht="15" customHeight="1" s="128">
      <c r="A337" s="138" t="n"/>
      <c r="B337" s="134" t="n"/>
      <c r="C337" s="134" t="n"/>
      <c r="D337" s="134" t="n"/>
      <c r="E337" s="134" t="n"/>
      <c r="F337" s="134" t="n"/>
      <c r="G337" s="134" t="n"/>
      <c r="H337" s="134" t="n"/>
      <c r="I337" s="134" t="n"/>
      <c r="J337" s="139">
        <f>IF($A337="","",TEXT($A337,"DD/MM/YYYY")&amp;"  —  "&amp;$B337&amp;IF($E337="",""," [Referral: "&amp;$E337&amp;"]")&amp;IF($G337="",""," [Competency: "&amp;$G337&amp;"]")&amp;IF($C337="",""," How it developed the skill: "&amp;$C337))</f>
        <v/>
      </c>
    </row>
    <row r="338" ht="15" customHeight="1" s="128">
      <c r="A338" s="138" t="n"/>
      <c r="B338" s="134" t="n"/>
      <c r="C338" s="134" t="n"/>
      <c r="D338" s="134" t="n"/>
      <c r="E338" s="134" t="n"/>
      <c r="F338" s="134" t="n"/>
      <c r="G338" s="134" t="n"/>
      <c r="H338" s="134" t="n"/>
      <c r="I338" s="134" t="n"/>
      <c r="J338" s="139">
        <f>IF($A338="","",TEXT($A338,"DD/MM/YYYY")&amp;"  —  "&amp;$B338&amp;IF($E338="",""," [Referral: "&amp;$E338&amp;"]")&amp;IF($G338="",""," [Competency: "&amp;$G338&amp;"]")&amp;IF($C338="",""," How it developed the skill: "&amp;$C338))</f>
        <v/>
      </c>
    </row>
    <row r="339" ht="15" customHeight="1" s="128">
      <c r="A339" s="138" t="n"/>
      <c r="B339" s="134" t="n"/>
      <c r="C339" s="134" t="n"/>
      <c r="D339" s="134" t="n"/>
      <c r="E339" s="134" t="n"/>
      <c r="F339" s="134" t="n"/>
      <c r="G339" s="134" t="n"/>
      <c r="H339" s="134" t="n"/>
      <c r="I339" s="134" t="n"/>
      <c r="J339" s="139">
        <f>IF($A339="","",TEXT($A339,"DD/MM/YYYY")&amp;"  —  "&amp;$B339&amp;IF($E339="",""," [Referral: "&amp;$E339&amp;"]")&amp;IF($G339="",""," [Competency: "&amp;$G339&amp;"]")&amp;IF($C339="",""," How it developed the skill: "&amp;$C339))</f>
        <v/>
      </c>
    </row>
    <row r="340" ht="15" customHeight="1" s="128">
      <c r="A340" s="138" t="n"/>
      <c r="B340" s="134" t="n"/>
      <c r="C340" s="134" t="n"/>
      <c r="D340" s="134" t="n"/>
      <c r="E340" s="134" t="n"/>
      <c r="F340" s="134" t="n"/>
      <c r="G340" s="134" t="n"/>
      <c r="H340" s="134" t="n"/>
      <c r="I340" s="134" t="n"/>
      <c r="J340" s="139">
        <f>IF($A340="","",TEXT($A340,"DD/MM/YYYY")&amp;"  —  "&amp;$B340&amp;IF($E340="",""," [Referral: "&amp;$E340&amp;"]")&amp;IF($G340="",""," [Competency: "&amp;$G340&amp;"]")&amp;IF($C340="",""," How it developed the skill: "&amp;$C340))</f>
        <v/>
      </c>
    </row>
    <row r="341" ht="15" customHeight="1" s="128">
      <c r="A341" s="138" t="n"/>
      <c r="B341" s="134" t="n"/>
      <c r="C341" s="134" t="n"/>
      <c r="D341" s="134" t="n"/>
      <c r="E341" s="134" t="n"/>
      <c r="F341" s="134" t="n"/>
      <c r="G341" s="134" t="n"/>
      <c r="H341" s="134" t="n"/>
      <c r="I341" s="134" t="n"/>
      <c r="J341" s="139">
        <f>IF($A341="","",TEXT($A341,"DD/MM/YYYY")&amp;"  —  "&amp;$B341&amp;IF($E341="",""," [Referral: "&amp;$E341&amp;"]")&amp;IF($G341="",""," [Competency: "&amp;$G341&amp;"]")&amp;IF($C341="",""," How it developed the skill: "&amp;$C341))</f>
        <v/>
      </c>
    </row>
    <row r="342" ht="15" customHeight="1" s="128">
      <c r="A342" s="138" t="n"/>
      <c r="B342" s="134" t="n"/>
      <c r="C342" s="134" t="n"/>
      <c r="D342" s="134" t="n"/>
      <c r="E342" s="134" t="n"/>
      <c r="F342" s="134" t="n"/>
      <c r="G342" s="134" t="n"/>
      <c r="H342" s="134" t="n"/>
      <c r="I342" s="134" t="n"/>
      <c r="J342" s="139">
        <f>IF($A342="","",TEXT($A342,"DD/MM/YYYY")&amp;"  —  "&amp;$B342&amp;IF($E342="",""," [Referral: "&amp;$E342&amp;"]")&amp;IF($G342="",""," [Competency: "&amp;$G342&amp;"]")&amp;IF($C342="",""," How it developed the skill: "&amp;$C342))</f>
        <v/>
      </c>
    </row>
    <row r="343" ht="15" customHeight="1" s="128">
      <c r="A343" s="138" t="n"/>
      <c r="B343" s="134" t="n"/>
      <c r="C343" s="134" t="n"/>
      <c r="D343" s="134" t="n"/>
      <c r="E343" s="134" t="n"/>
      <c r="F343" s="134" t="n"/>
      <c r="G343" s="134" t="n"/>
      <c r="H343" s="134" t="n"/>
      <c r="I343" s="134" t="n"/>
      <c r="J343" s="139">
        <f>IF($A343="","",TEXT($A343,"DD/MM/YYYY")&amp;"  —  "&amp;$B343&amp;IF($E343="",""," [Referral: "&amp;$E343&amp;"]")&amp;IF($G343="",""," [Competency: "&amp;$G343&amp;"]")&amp;IF($C343="",""," How it developed the skill: "&amp;$C343))</f>
        <v/>
      </c>
    </row>
    <row r="344" ht="15" customHeight="1" s="128">
      <c r="A344" s="138" t="n"/>
      <c r="B344" s="134" t="n"/>
      <c r="C344" s="134" t="n"/>
      <c r="D344" s="134" t="n"/>
      <c r="E344" s="134" t="n"/>
      <c r="F344" s="134" t="n"/>
      <c r="G344" s="134" t="n"/>
      <c r="H344" s="134" t="n"/>
      <c r="I344" s="134" t="n"/>
      <c r="J344" s="139">
        <f>IF($A344="","",TEXT($A344,"DD/MM/YYYY")&amp;"  —  "&amp;$B344&amp;IF($E344="",""," [Referral: "&amp;$E344&amp;"]")&amp;IF($G344="",""," [Competency: "&amp;$G344&amp;"]")&amp;IF($C344="",""," How it developed the skill: "&amp;$C344))</f>
        <v/>
      </c>
    </row>
    <row r="345" ht="15" customHeight="1" s="128">
      <c r="A345" s="138" t="n"/>
      <c r="B345" s="134" t="n"/>
      <c r="C345" s="134" t="n"/>
      <c r="D345" s="134" t="n"/>
      <c r="E345" s="134" t="n"/>
      <c r="F345" s="134" t="n"/>
      <c r="G345" s="134" t="n"/>
      <c r="H345" s="134" t="n"/>
      <c r="I345" s="134" t="n"/>
      <c r="J345" s="139">
        <f>IF($A345="","",TEXT($A345,"DD/MM/YYYY")&amp;"  —  "&amp;$B345&amp;IF($E345="",""," [Referral: "&amp;$E345&amp;"]")&amp;IF($G345="",""," [Competency: "&amp;$G345&amp;"]")&amp;IF($C345="",""," How it developed the skill: "&amp;$C345))</f>
        <v/>
      </c>
    </row>
    <row r="346" ht="15" customHeight="1" s="128">
      <c r="A346" s="138" t="n"/>
      <c r="B346" s="134" t="n"/>
      <c r="C346" s="134" t="n"/>
      <c r="D346" s="134" t="n"/>
      <c r="E346" s="134" t="n"/>
      <c r="F346" s="134" t="n"/>
      <c r="G346" s="134" t="n"/>
      <c r="H346" s="134" t="n"/>
      <c r="I346" s="134" t="n"/>
      <c r="J346" s="139">
        <f>IF($A346="","",TEXT($A346,"DD/MM/YYYY")&amp;"  —  "&amp;$B346&amp;IF($E346="",""," [Referral: "&amp;$E346&amp;"]")&amp;IF($G346="",""," [Competency: "&amp;$G346&amp;"]")&amp;IF($C346="",""," How it developed the skill: "&amp;$C346))</f>
        <v/>
      </c>
    </row>
    <row r="347" ht="15" customHeight="1" s="128">
      <c r="A347" s="138" t="n"/>
      <c r="B347" s="134" t="n"/>
      <c r="C347" s="134" t="n"/>
      <c r="D347" s="134" t="n"/>
      <c r="E347" s="134" t="n"/>
      <c r="F347" s="134" t="n"/>
      <c r="G347" s="134" t="n"/>
      <c r="H347" s="134" t="n"/>
      <c r="I347" s="134" t="n"/>
      <c r="J347" s="139">
        <f>IF($A347="","",TEXT($A347,"DD/MM/YYYY")&amp;"  —  "&amp;$B347&amp;IF($E347="",""," [Referral: "&amp;$E347&amp;"]")&amp;IF($G347="",""," [Competency: "&amp;$G347&amp;"]")&amp;IF($C347="",""," How it developed the skill: "&amp;$C347))</f>
        <v/>
      </c>
    </row>
    <row r="348" ht="15" customHeight="1" s="128">
      <c r="A348" s="138" t="n"/>
      <c r="B348" s="134" t="n"/>
      <c r="C348" s="134" t="n"/>
      <c r="D348" s="134" t="n"/>
      <c r="E348" s="134" t="n"/>
      <c r="F348" s="134" t="n"/>
      <c r="G348" s="134" t="n"/>
      <c r="H348" s="134" t="n"/>
      <c r="I348" s="134" t="n"/>
      <c r="J348" s="139">
        <f>IF($A348="","",TEXT($A348,"DD/MM/YYYY")&amp;"  —  "&amp;$B348&amp;IF($E348="",""," [Referral: "&amp;$E348&amp;"]")&amp;IF($G348="",""," [Competency: "&amp;$G348&amp;"]")&amp;IF($C348="",""," How it developed the skill: "&amp;$C348))</f>
        <v/>
      </c>
    </row>
    <row r="349" ht="15" customHeight="1" s="128">
      <c r="A349" s="138" t="n"/>
      <c r="B349" s="134" t="n"/>
      <c r="C349" s="134" t="n"/>
      <c r="D349" s="134" t="n"/>
      <c r="E349" s="134" t="n"/>
      <c r="F349" s="134" t="n"/>
      <c r="G349" s="134" t="n"/>
      <c r="H349" s="134" t="n"/>
      <c r="I349" s="134" t="n"/>
      <c r="J349" s="139">
        <f>IF($A349="","",TEXT($A349,"DD/MM/YYYY")&amp;"  —  "&amp;$B349&amp;IF($E349="",""," [Referral: "&amp;$E349&amp;"]")&amp;IF($G349="",""," [Competency: "&amp;$G349&amp;"]")&amp;IF($C349="",""," How it developed the skill: "&amp;$C349))</f>
        <v/>
      </c>
    </row>
    <row r="350" ht="15" customHeight="1" s="128">
      <c r="A350" s="138" t="n"/>
      <c r="B350" s="134" t="n"/>
      <c r="C350" s="134" t="n"/>
      <c r="D350" s="134" t="n"/>
      <c r="E350" s="134" t="n"/>
      <c r="F350" s="134" t="n"/>
      <c r="G350" s="134" t="n"/>
      <c r="H350" s="134" t="n"/>
      <c r="I350" s="134" t="n"/>
      <c r="J350" s="139">
        <f>IF($A350="","",TEXT($A350,"DD/MM/YYYY")&amp;"  —  "&amp;$B350&amp;IF($E350="",""," [Referral: "&amp;$E350&amp;"]")&amp;IF($G350="",""," [Competency: "&amp;$G350&amp;"]")&amp;IF($C350="",""," How it developed the skill: "&amp;$C350))</f>
        <v/>
      </c>
    </row>
    <row r="351" ht="15" customHeight="1" s="128">
      <c r="A351" s="138" t="n"/>
      <c r="B351" s="134" t="n"/>
      <c r="C351" s="134" t="n"/>
      <c r="D351" s="134" t="n"/>
      <c r="E351" s="134" t="n"/>
      <c r="F351" s="134" t="n"/>
      <c r="G351" s="134" t="n"/>
      <c r="H351" s="134" t="n"/>
      <c r="I351" s="134" t="n"/>
      <c r="J351" s="139">
        <f>IF($A351="","",TEXT($A351,"DD/MM/YYYY")&amp;"  —  "&amp;$B351&amp;IF($E351="",""," [Referral: "&amp;$E351&amp;"]")&amp;IF($G351="",""," [Competency: "&amp;$G351&amp;"]")&amp;IF($C351="",""," How it developed the skill: "&amp;$C351))</f>
        <v/>
      </c>
    </row>
    <row r="352" ht="15" customHeight="1" s="128">
      <c r="A352" s="138" t="n"/>
      <c r="B352" s="134" t="n"/>
      <c r="C352" s="134" t="n"/>
      <c r="D352" s="134" t="n"/>
      <c r="E352" s="134" t="n"/>
      <c r="F352" s="134" t="n"/>
      <c r="G352" s="134" t="n"/>
      <c r="H352" s="134" t="n"/>
      <c r="I352" s="134" t="n"/>
      <c r="J352" s="139">
        <f>IF($A352="","",TEXT($A352,"DD/MM/YYYY")&amp;"  —  "&amp;$B352&amp;IF($E352="",""," [Referral: "&amp;$E352&amp;"]")&amp;IF($G352="",""," [Competency: "&amp;$G352&amp;"]")&amp;IF($C352="",""," How it developed the skill: "&amp;$C352))</f>
        <v/>
      </c>
    </row>
    <row r="353" ht="15" customHeight="1" s="128">
      <c r="A353" s="138" t="n"/>
      <c r="B353" s="134" t="n"/>
      <c r="C353" s="134" t="n"/>
      <c r="D353" s="134" t="n"/>
      <c r="E353" s="134" t="n"/>
      <c r="F353" s="134" t="n"/>
      <c r="G353" s="134" t="n"/>
      <c r="H353" s="134" t="n"/>
      <c r="I353" s="134" t="n"/>
      <c r="J353" s="139">
        <f>IF($A353="","",TEXT($A353,"DD/MM/YYYY")&amp;"  —  "&amp;$B353&amp;IF($E353="",""," [Referral: "&amp;$E353&amp;"]")&amp;IF($G353="",""," [Competency: "&amp;$G353&amp;"]")&amp;IF($C353="",""," How it developed the skill: "&amp;$C353))</f>
        <v/>
      </c>
    </row>
    <row r="354" ht="15" customHeight="1" s="128">
      <c r="A354" s="138" t="n"/>
      <c r="B354" s="134" t="n"/>
      <c r="C354" s="134" t="n"/>
      <c r="D354" s="134" t="n"/>
      <c r="E354" s="134" t="n"/>
      <c r="F354" s="134" t="n"/>
      <c r="G354" s="134" t="n"/>
      <c r="H354" s="134" t="n"/>
      <c r="I354" s="134" t="n"/>
      <c r="J354" s="139">
        <f>IF($A354="","",TEXT($A354,"DD/MM/YYYY")&amp;"  —  "&amp;$B354&amp;IF($E354="",""," [Referral: "&amp;$E354&amp;"]")&amp;IF($G354="",""," [Competency: "&amp;$G354&amp;"]")&amp;IF($C354="",""," How it developed the skill: "&amp;$C354))</f>
        <v/>
      </c>
    </row>
    <row r="355" ht="15" customHeight="1" s="128">
      <c r="A355" s="138" t="n"/>
      <c r="B355" s="134" t="n"/>
      <c r="C355" s="134" t="n"/>
      <c r="D355" s="134" t="n"/>
      <c r="E355" s="134" t="n"/>
      <c r="F355" s="134" t="n"/>
      <c r="G355" s="134" t="n"/>
      <c r="H355" s="134" t="n"/>
      <c r="I355" s="134" t="n"/>
      <c r="J355" s="139">
        <f>IF($A355="","",TEXT($A355,"DD/MM/YYYY")&amp;"  —  "&amp;$B355&amp;IF($E355="",""," [Referral: "&amp;$E355&amp;"]")&amp;IF($G355="",""," [Competency: "&amp;$G355&amp;"]")&amp;IF($C355="",""," How it developed the skill: "&amp;$C355))</f>
        <v/>
      </c>
    </row>
    <row r="356" ht="15" customHeight="1" s="128">
      <c r="A356" s="138" t="n"/>
      <c r="B356" s="134" t="n"/>
      <c r="C356" s="134" t="n"/>
      <c r="D356" s="134" t="n"/>
      <c r="E356" s="134" t="n"/>
      <c r="F356" s="134" t="n"/>
      <c r="G356" s="134" t="n"/>
      <c r="H356" s="134" t="n"/>
      <c r="I356" s="134" t="n"/>
      <c r="J356" s="139">
        <f>IF($A356="","",TEXT($A356,"DD/MM/YYYY")&amp;"  —  "&amp;$B356&amp;IF($E356="",""," [Referral: "&amp;$E356&amp;"]")&amp;IF($G356="",""," [Competency: "&amp;$G356&amp;"]")&amp;IF($C356="",""," How it developed the skill: "&amp;$C356))</f>
        <v/>
      </c>
    </row>
    <row r="357" ht="15" customHeight="1" s="128">
      <c r="A357" s="138" t="n"/>
      <c r="B357" s="134" t="n"/>
      <c r="C357" s="134" t="n"/>
      <c r="D357" s="134" t="n"/>
      <c r="E357" s="134" t="n"/>
      <c r="F357" s="134" t="n"/>
      <c r="G357" s="134" t="n"/>
      <c r="H357" s="134" t="n"/>
      <c r="I357" s="134" t="n"/>
      <c r="J357" s="139">
        <f>IF($A357="","",TEXT($A357,"DD/MM/YYYY")&amp;"  —  "&amp;$B357&amp;IF($E357="",""," [Referral: "&amp;$E357&amp;"]")&amp;IF($G357="",""," [Competency: "&amp;$G357&amp;"]")&amp;IF($C357="",""," How it developed the skill: "&amp;$C357))</f>
        <v/>
      </c>
    </row>
    <row r="358" ht="15" customHeight="1" s="128">
      <c r="A358" s="138" t="n"/>
      <c r="B358" s="134" t="n"/>
      <c r="C358" s="134" t="n"/>
      <c r="D358" s="134" t="n"/>
      <c r="E358" s="134" t="n"/>
      <c r="F358" s="134" t="n"/>
      <c r="G358" s="134" t="n"/>
      <c r="H358" s="134" t="n"/>
      <c r="I358" s="134" t="n"/>
      <c r="J358" s="139">
        <f>IF($A358="","",TEXT($A358,"DD/MM/YYYY")&amp;"  —  "&amp;$B358&amp;IF($E358="",""," [Referral: "&amp;$E358&amp;"]")&amp;IF($G358="",""," [Competency: "&amp;$G358&amp;"]")&amp;IF($C358="",""," How it developed the skill: "&amp;$C358))</f>
        <v/>
      </c>
    </row>
    <row r="359" ht="15" customHeight="1" s="128">
      <c r="A359" s="138" t="n"/>
      <c r="B359" s="134" t="n"/>
      <c r="C359" s="134" t="n"/>
      <c r="D359" s="134" t="n"/>
      <c r="E359" s="134" t="n"/>
      <c r="F359" s="134" t="n"/>
      <c r="G359" s="134" t="n"/>
      <c r="H359" s="134" t="n"/>
      <c r="I359" s="134" t="n"/>
      <c r="J359" s="139">
        <f>IF($A359="","",TEXT($A359,"DD/MM/YYYY")&amp;"  —  "&amp;$B359&amp;IF($E359="",""," [Referral: "&amp;$E359&amp;"]")&amp;IF($G359="",""," [Competency: "&amp;$G359&amp;"]")&amp;IF($C359="",""," How it developed the skill: "&amp;$C359))</f>
        <v/>
      </c>
    </row>
    <row r="360" ht="15" customHeight="1" s="128">
      <c r="A360" s="138" t="n"/>
      <c r="B360" s="134" t="n"/>
      <c r="C360" s="134" t="n"/>
      <c r="D360" s="134" t="n"/>
      <c r="E360" s="134" t="n"/>
      <c r="F360" s="134" t="n"/>
      <c r="G360" s="134" t="n"/>
      <c r="H360" s="134" t="n"/>
      <c r="I360" s="134" t="n"/>
      <c r="J360" s="139">
        <f>IF($A360="","",TEXT($A360,"DD/MM/YYYY")&amp;"  —  "&amp;$B360&amp;IF($E360="",""," [Referral: "&amp;$E360&amp;"]")&amp;IF($G360="",""," [Competency: "&amp;$G360&amp;"]")&amp;IF($C360="",""," How it developed the skill: "&amp;$C360))</f>
        <v/>
      </c>
    </row>
    <row r="361" ht="15" customHeight="1" s="128">
      <c r="A361" s="138" t="n"/>
      <c r="B361" s="134" t="n"/>
      <c r="C361" s="134" t="n"/>
      <c r="D361" s="134" t="n"/>
      <c r="E361" s="134" t="n"/>
      <c r="F361" s="134" t="n"/>
      <c r="G361" s="134" t="n"/>
      <c r="H361" s="134" t="n"/>
      <c r="I361" s="134" t="n"/>
      <c r="J361" s="139">
        <f>IF($A361="","",TEXT($A361,"DD/MM/YYYY")&amp;"  —  "&amp;$B361&amp;IF($E361="",""," [Referral: "&amp;$E361&amp;"]")&amp;IF($G361="",""," [Competency: "&amp;$G361&amp;"]")&amp;IF($C361="",""," How it developed the skill: "&amp;$C361))</f>
        <v/>
      </c>
    </row>
    <row r="362" ht="15" customHeight="1" s="128">
      <c r="A362" s="138" t="n"/>
      <c r="B362" s="134" t="n"/>
      <c r="C362" s="134" t="n"/>
      <c r="D362" s="134" t="n"/>
      <c r="E362" s="134" t="n"/>
      <c r="F362" s="134" t="n"/>
      <c r="G362" s="134" t="n"/>
      <c r="H362" s="134" t="n"/>
      <c r="I362" s="134" t="n"/>
      <c r="J362" s="139">
        <f>IF($A362="","",TEXT($A362,"DD/MM/YYYY")&amp;"  —  "&amp;$B362&amp;IF($E362="",""," [Referral: "&amp;$E362&amp;"]")&amp;IF($G362="",""," [Competency: "&amp;$G362&amp;"]")&amp;IF($C362="",""," How it developed the skill: "&amp;$C362))</f>
        <v/>
      </c>
    </row>
    <row r="363" ht="15" customHeight="1" s="128">
      <c r="A363" s="138" t="n"/>
      <c r="B363" s="134" t="n"/>
      <c r="C363" s="134" t="n"/>
      <c r="D363" s="134" t="n"/>
      <c r="E363" s="134" t="n"/>
      <c r="F363" s="134" t="n"/>
      <c r="G363" s="134" t="n"/>
      <c r="H363" s="134" t="n"/>
      <c r="I363" s="134" t="n"/>
      <c r="J363" s="139">
        <f>IF($A363="","",TEXT($A363,"DD/MM/YYYY")&amp;"  —  "&amp;$B363&amp;IF($E363="",""," [Referral: "&amp;$E363&amp;"]")&amp;IF($G363="",""," [Competency: "&amp;$G363&amp;"]")&amp;IF($C363="",""," How it developed the skill: "&amp;$C363))</f>
        <v/>
      </c>
    </row>
    <row r="364" ht="15" customHeight="1" s="128">
      <c r="A364" s="138" t="n"/>
      <c r="B364" s="134" t="n"/>
      <c r="C364" s="134" t="n"/>
      <c r="D364" s="134" t="n"/>
      <c r="E364" s="134" t="n"/>
      <c r="F364" s="134" t="n"/>
      <c r="G364" s="134" t="n"/>
      <c r="H364" s="134" t="n"/>
      <c r="I364" s="134" t="n"/>
      <c r="J364" s="139">
        <f>IF($A364="","",TEXT($A364,"DD/MM/YYYY")&amp;"  —  "&amp;$B364&amp;IF($E364="",""," [Referral: "&amp;$E364&amp;"]")&amp;IF($G364="",""," [Competency: "&amp;$G364&amp;"]")&amp;IF($C364="",""," How it developed the skill: "&amp;$C364))</f>
        <v/>
      </c>
    </row>
    <row r="365" ht="15" customHeight="1" s="128">
      <c r="A365" s="138" t="n"/>
      <c r="B365" s="134" t="n"/>
      <c r="C365" s="134" t="n"/>
      <c r="D365" s="134" t="n"/>
      <c r="E365" s="134" t="n"/>
      <c r="F365" s="134" t="n"/>
      <c r="G365" s="134" t="n"/>
      <c r="H365" s="134" t="n"/>
      <c r="I365" s="134" t="n"/>
      <c r="J365" s="139">
        <f>IF($A365="","",TEXT($A365,"DD/MM/YYYY")&amp;"  —  "&amp;$B365&amp;IF($E365="",""," [Referral: "&amp;$E365&amp;"]")&amp;IF($G365="",""," [Competency: "&amp;$G365&amp;"]")&amp;IF($C365="",""," How it developed the skill: "&amp;$C365))</f>
        <v/>
      </c>
    </row>
    <row r="366" ht="15" customHeight="1" s="128">
      <c r="A366" s="138" t="n"/>
      <c r="B366" s="134" t="n"/>
      <c r="C366" s="134" t="n"/>
      <c r="D366" s="134" t="n"/>
      <c r="E366" s="134" t="n"/>
      <c r="F366" s="134" t="n"/>
      <c r="G366" s="134" t="n"/>
      <c r="H366" s="134" t="n"/>
      <c r="I366" s="134" t="n"/>
      <c r="J366" s="139">
        <f>IF($A366="","",TEXT($A366,"DD/MM/YYYY")&amp;"  —  "&amp;$B366&amp;IF($E366="",""," [Referral: "&amp;$E366&amp;"]")&amp;IF($G366="",""," [Competency: "&amp;$G366&amp;"]")&amp;IF($C366="",""," How it developed the skill: "&amp;$C366))</f>
        <v/>
      </c>
    </row>
    <row r="367" ht="15" customHeight="1" s="128">
      <c r="A367" s="138" t="n"/>
      <c r="B367" s="134" t="n"/>
      <c r="C367" s="134" t="n"/>
      <c r="D367" s="134" t="n"/>
      <c r="E367" s="134" t="n"/>
      <c r="F367" s="134" t="n"/>
      <c r="G367" s="134" t="n"/>
      <c r="H367" s="134" t="n"/>
      <c r="I367" s="134" t="n"/>
      <c r="J367" s="139">
        <f>IF($A367="","",TEXT($A367,"DD/MM/YYYY")&amp;"  —  "&amp;$B367&amp;IF($E367="",""," [Referral: "&amp;$E367&amp;"]")&amp;IF($G367="",""," [Competency: "&amp;$G367&amp;"]")&amp;IF($C367="",""," How it developed the skill: "&amp;$C367))</f>
        <v/>
      </c>
    </row>
    <row r="368" ht="15" customHeight="1" s="128">
      <c r="A368" s="138" t="n"/>
      <c r="B368" s="134" t="n"/>
      <c r="C368" s="134" t="n"/>
      <c r="D368" s="134" t="n"/>
      <c r="E368" s="134" t="n"/>
      <c r="F368" s="134" t="n"/>
      <c r="G368" s="134" t="n"/>
      <c r="H368" s="134" t="n"/>
      <c r="I368" s="134" t="n"/>
      <c r="J368" s="139">
        <f>IF($A368="","",TEXT($A368,"DD/MM/YYYY")&amp;"  —  "&amp;$B368&amp;IF($E368="",""," [Referral: "&amp;$E368&amp;"]")&amp;IF($G368="",""," [Competency: "&amp;$G368&amp;"]")&amp;IF($C368="",""," How it developed the skill: "&amp;$C368))</f>
        <v/>
      </c>
    </row>
    <row r="369" ht="15" customHeight="1" s="128">
      <c r="A369" s="138" t="n"/>
      <c r="B369" s="134" t="n"/>
      <c r="C369" s="134" t="n"/>
      <c r="D369" s="134" t="n"/>
      <c r="E369" s="134" t="n"/>
      <c r="F369" s="134" t="n"/>
      <c r="G369" s="134" t="n"/>
      <c r="H369" s="134" t="n"/>
      <c r="I369" s="134" t="n"/>
      <c r="J369" s="139">
        <f>IF($A369="","",TEXT($A369,"DD/MM/YYYY")&amp;"  —  "&amp;$B369&amp;IF($E369="",""," [Referral: "&amp;$E369&amp;"]")&amp;IF($G369="",""," [Competency: "&amp;$G369&amp;"]")&amp;IF($C369="",""," How it developed the skill: "&amp;$C369))</f>
        <v/>
      </c>
    </row>
    <row r="370" ht="15" customHeight="1" s="128">
      <c r="A370" s="138" t="n"/>
      <c r="B370" s="134" t="n"/>
      <c r="C370" s="134" t="n"/>
      <c r="D370" s="134" t="n"/>
      <c r="E370" s="134" t="n"/>
      <c r="F370" s="134" t="n"/>
      <c r="G370" s="134" t="n"/>
      <c r="H370" s="134" t="n"/>
      <c r="I370" s="134" t="n"/>
      <c r="J370" s="139">
        <f>IF($A370="","",TEXT($A370,"DD/MM/YYYY")&amp;"  —  "&amp;$B370&amp;IF($E370="",""," [Referral: "&amp;$E370&amp;"]")&amp;IF($G370="",""," [Competency: "&amp;$G370&amp;"]")&amp;IF($C370="",""," How it developed the skill: "&amp;$C370))</f>
        <v/>
      </c>
    </row>
    <row r="371" ht="15" customHeight="1" s="128">
      <c r="A371" s="138" t="n"/>
      <c r="B371" s="134" t="n"/>
      <c r="C371" s="134" t="n"/>
      <c r="D371" s="134" t="n"/>
      <c r="E371" s="134" t="n"/>
      <c r="F371" s="134" t="n"/>
      <c r="G371" s="134" t="n"/>
      <c r="H371" s="134" t="n"/>
      <c r="I371" s="134" t="n"/>
      <c r="J371" s="139">
        <f>IF($A371="","",TEXT($A371,"DD/MM/YYYY")&amp;"  —  "&amp;$B371&amp;IF($E371="",""," [Referral: "&amp;$E371&amp;"]")&amp;IF($G371="",""," [Competency: "&amp;$G371&amp;"]")&amp;IF($C371="",""," How it developed the skill: "&amp;$C371))</f>
        <v/>
      </c>
    </row>
    <row r="372" ht="15" customHeight="1" s="128">
      <c r="A372" s="138" t="n"/>
      <c r="B372" s="134" t="n"/>
      <c r="C372" s="134" t="n"/>
      <c r="D372" s="134" t="n"/>
      <c r="E372" s="134" t="n"/>
      <c r="F372" s="134" t="n"/>
      <c r="G372" s="134" t="n"/>
      <c r="H372" s="134" t="n"/>
      <c r="I372" s="134" t="n"/>
      <c r="J372" s="139">
        <f>IF($A372="","",TEXT($A372,"DD/MM/YYYY")&amp;"  —  "&amp;$B372&amp;IF($E372="",""," [Referral: "&amp;$E372&amp;"]")&amp;IF($G372="",""," [Competency: "&amp;$G372&amp;"]")&amp;IF($C372="",""," How it developed the skill: "&amp;$C372))</f>
        <v/>
      </c>
    </row>
    <row r="373" ht="15" customHeight="1" s="128">
      <c r="A373" s="138" t="n"/>
      <c r="B373" s="134" t="n"/>
      <c r="C373" s="134" t="n"/>
      <c r="D373" s="134" t="n"/>
      <c r="E373" s="134" t="n"/>
      <c r="F373" s="134" t="n"/>
      <c r="G373" s="134" t="n"/>
      <c r="H373" s="134" t="n"/>
      <c r="I373" s="134" t="n"/>
      <c r="J373" s="139">
        <f>IF($A373="","",TEXT($A373,"DD/MM/YYYY")&amp;"  —  "&amp;$B373&amp;IF($E373="",""," [Referral: "&amp;$E373&amp;"]")&amp;IF($G373="",""," [Competency: "&amp;$G373&amp;"]")&amp;IF($C373="",""," How it developed the skill: "&amp;$C373))</f>
        <v/>
      </c>
    </row>
    <row r="374" ht="15" customHeight="1" s="128">
      <c r="A374" s="138" t="n"/>
      <c r="B374" s="134" t="n"/>
      <c r="C374" s="134" t="n"/>
      <c r="D374" s="134" t="n"/>
      <c r="E374" s="134" t="n"/>
      <c r="F374" s="134" t="n"/>
      <c r="G374" s="134" t="n"/>
      <c r="H374" s="134" t="n"/>
      <c r="I374" s="134" t="n"/>
      <c r="J374" s="139">
        <f>IF($A374="","",TEXT($A374,"DD/MM/YYYY")&amp;"  —  "&amp;$B374&amp;IF($E374="",""," [Referral: "&amp;$E374&amp;"]")&amp;IF($G374="",""," [Competency: "&amp;$G374&amp;"]")&amp;IF($C374="",""," How it developed the skill: "&amp;$C374))</f>
        <v/>
      </c>
    </row>
    <row r="375" ht="15" customHeight="1" s="128">
      <c r="A375" s="138" t="n"/>
      <c r="B375" s="134" t="n"/>
      <c r="C375" s="134" t="n"/>
      <c r="D375" s="134" t="n"/>
      <c r="E375" s="134" t="n"/>
      <c r="F375" s="134" t="n"/>
      <c r="G375" s="134" t="n"/>
      <c r="H375" s="134" t="n"/>
      <c r="I375" s="134" t="n"/>
      <c r="J375" s="139">
        <f>IF($A375="","",TEXT($A375,"DD/MM/YYYY")&amp;"  —  "&amp;$B375&amp;IF($E375="",""," [Referral: "&amp;$E375&amp;"]")&amp;IF($G375="",""," [Competency: "&amp;$G375&amp;"]")&amp;IF($C375="",""," How it developed the skill: "&amp;$C375))</f>
        <v/>
      </c>
    </row>
    <row r="376" ht="15" customHeight="1" s="128">
      <c r="A376" s="138" t="n"/>
      <c r="B376" s="134" t="n"/>
      <c r="C376" s="134" t="n"/>
      <c r="D376" s="134" t="n"/>
      <c r="E376" s="134" t="n"/>
      <c r="F376" s="134" t="n"/>
      <c r="G376" s="134" t="n"/>
      <c r="H376" s="134" t="n"/>
      <c r="I376" s="134" t="n"/>
      <c r="J376" s="139">
        <f>IF($A376="","",TEXT($A376,"DD/MM/YYYY")&amp;"  —  "&amp;$B376&amp;IF($E376="",""," [Referral: "&amp;$E376&amp;"]")&amp;IF($G376="",""," [Competency: "&amp;$G376&amp;"]")&amp;IF($C376="",""," How it developed the skill: "&amp;$C376))</f>
        <v/>
      </c>
    </row>
    <row r="377" ht="15" customHeight="1" s="128">
      <c r="A377" s="138" t="n"/>
      <c r="B377" s="134" t="n"/>
      <c r="C377" s="134" t="n"/>
      <c r="D377" s="134" t="n"/>
      <c r="E377" s="134" t="n"/>
      <c r="F377" s="134" t="n"/>
      <c r="G377" s="134" t="n"/>
      <c r="H377" s="134" t="n"/>
      <c r="I377" s="134" t="n"/>
      <c r="J377" s="139">
        <f>IF($A377="","",TEXT($A377,"DD/MM/YYYY")&amp;"  —  "&amp;$B377&amp;IF($E377="",""," [Referral: "&amp;$E377&amp;"]")&amp;IF($G377="",""," [Competency: "&amp;$G377&amp;"]")&amp;IF($C377="",""," How it developed the skill: "&amp;$C377))</f>
        <v/>
      </c>
    </row>
    <row r="378" ht="15" customHeight="1" s="128">
      <c r="A378" s="138" t="n"/>
      <c r="B378" s="134" t="n"/>
      <c r="C378" s="134" t="n"/>
      <c r="D378" s="134" t="n"/>
      <c r="E378" s="134" t="n"/>
      <c r="F378" s="134" t="n"/>
      <c r="G378" s="134" t="n"/>
      <c r="H378" s="134" t="n"/>
      <c r="I378" s="134" t="n"/>
      <c r="J378" s="139">
        <f>IF($A378="","",TEXT($A378,"DD/MM/YYYY")&amp;"  —  "&amp;$B378&amp;IF($E378="",""," [Referral: "&amp;$E378&amp;"]")&amp;IF($G378="",""," [Competency: "&amp;$G378&amp;"]")&amp;IF($C378="",""," How it developed the skill: "&amp;$C378))</f>
        <v/>
      </c>
    </row>
    <row r="379" ht="15" customHeight="1" s="128">
      <c r="A379" s="138" t="n"/>
      <c r="B379" s="134" t="n"/>
      <c r="C379" s="134" t="n"/>
      <c r="D379" s="134" t="n"/>
      <c r="E379" s="134" t="n"/>
      <c r="F379" s="134" t="n"/>
      <c r="G379" s="134" t="n"/>
      <c r="H379" s="134" t="n"/>
      <c r="I379" s="134" t="n"/>
      <c r="J379" s="139">
        <f>IF($A379="","",TEXT($A379,"DD/MM/YYYY")&amp;"  —  "&amp;$B379&amp;IF($E379="",""," [Referral: "&amp;$E379&amp;"]")&amp;IF($G379="",""," [Competency: "&amp;$G379&amp;"]")&amp;IF($C379="",""," How it developed the skill: "&amp;$C379))</f>
        <v/>
      </c>
    </row>
    <row r="380" ht="15" customHeight="1" s="128">
      <c r="A380" s="138" t="n"/>
      <c r="B380" s="134" t="n"/>
      <c r="C380" s="134" t="n"/>
      <c r="D380" s="134" t="n"/>
      <c r="E380" s="134" t="n"/>
      <c r="F380" s="134" t="n"/>
      <c r="G380" s="134" t="n"/>
      <c r="H380" s="134" t="n"/>
      <c r="I380" s="134" t="n"/>
      <c r="J380" s="139">
        <f>IF($A380="","",TEXT($A380,"DD/MM/YYYY")&amp;"  —  "&amp;$B380&amp;IF($E380="",""," [Referral: "&amp;$E380&amp;"]")&amp;IF($G380="",""," [Competency: "&amp;$G380&amp;"]")&amp;IF($C380="",""," How it developed the skill: "&amp;$C380))</f>
        <v/>
      </c>
    </row>
    <row r="381" ht="15" customHeight="1" s="128">
      <c r="A381" s="138" t="n"/>
      <c r="B381" s="134" t="n"/>
      <c r="C381" s="134" t="n"/>
      <c r="D381" s="134" t="n"/>
      <c r="E381" s="134" t="n"/>
      <c r="F381" s="134" t="n"/>
      <c r="G381" s="134" t="n"/>
      <c r="H381" s="134" t="n"/>
      <c r="I381" s="134" t="n"/>
      <c r="J381" s="139">
        <f>IF($A381="","",TEXT($A381,"DD/MM/YYYY")&amp;"  —  "&amp;$B381&amp;IF($E381="",""," [Referral: "&amp;$E381&amp;"]")&amp;IF($G381="",""," [Competency: "&amp;$G381&amp;"]")&amp;IF($C381="",""," How it developed the skill: "&amp;$C381))</f>
        <v/>
      </c>
    </row>
    <row r="382" ht="15" customHeight="1" s="128">
      <c r="A382" s="138" t="n"/>
      <c r="B382" s="134" t="n"/>
      <c r="C382" s="134" t="n"/>
      <c r="D382" s="134" t="n"/>
      <c r="E382" s="134" t="n"/>
      <c r="F382" s="134" t="n"/>
      <c r="G382" s="134" t="n"/>
      <c r="H382" s="134" t="n"/>
      <c r="I382" s="134" t="n"/>
      <c r="J382" s="139">
        <f>IF($A382="","",TEXT($A382,"DD/MM/YYYY")&amp;"  —  "&amp;$B382&amp;IF($E382="",""," [Referral: "&amp;$E382&amp;"]")&amp;IF($G382="",""," [Competency: "&amp;$G382&amp;"]")&amp;IF($C382="",""," How it developed the skill: "&amp;$C382))</f>
        <v/>
      </c>
    </row>
    <row r="383" ht="15" customHeight="1" s="128">
      <c r="A383" s="138" t="n"/>
      <c r="B383" s="134" t="n"/>
      <c r="C383" s="134" t="n"/>
      <c r="D383" s="134" t="n"/>
      <c r="E383" s="134" t="n"/>
      <c r="F383" s="134" t="n"/>
      <c r="G383" s="134" t="n"/>
      <c r="H383" s="134" t="n"/>
      <c r="I383" s="134" t="n"/>
      <c r="J383" s="139">
        <f>IF($A383="","",TEXT($A383,"DD/MM/YYYY")&amp;"  —  "&amp;$B383&amp;IF($E383="",""," [Referral: "&amp;$E383&amp;"]")&amp;IF($G383="",""," [Competency: "&amp;$G383&amp;"]")&amp;IF($C383="",""," How it developed the skill: "&amp;$C383))</f>
        <v/>
      </c>
    </row>
    <row r="384" ht="15" customHeight="1" s="128">
      <c r="A384" s="138" t="n"/>
      <c r="B384" s="134" t="n"/>
      <c r="C384" s="134" t="n"/>
      <c r="D384" s="134" t="n"/>
      <c r="E384" s="134" t="n"/>
      <c r="F384" s="134" t="n"/>
      <c r="G384" s="134" t="n"/>
      <c r="H384" s="134" t="n"/>
      <c r="I384" s="134" t="n"/>
      <c r="J384" s="139">
        <f>IF($A384="","",TEXT($A384,"DD/MM/YYYY")&amp;"  —  "&amp;$B384&amp;IF($E384="",""," [Referral: "&amp;$E384&amp;"]")&amp;IF($G384="",""," [Competency: "&amp;$G384&amp;"]")&amp;IF($C384="",""," How it developed the skill: "&amp;$C384))</f>
        <v/>
      </c>
    </row>
    <row r="385" ht="15" customHeight="1" s="128">
      <c r="A385" s="138" t="n"/>
      <c r="B385" s="134" t="n"/>
      <c r="C385" s="134" t="n"/>
      <c r="D385" s="134" t="n"/>
      <c r="E385" s="134" t="n"/>
      <c r="F385" s="134" t="n"/>
      <c r="G385" s="134" t="n"/>
      <c r="H385" s="134" t="n"/>
      <c r="I385" s="134" t="n"/>
      <c r="J385" s="139">
        <f>IF($A385="","",TEXT($A385,"DD/MM/YYYY")&amp;"  —  "&amp;$B385&amp;IF($E385="",""," [Referral: "&amp;$E385&amp;"]")&amp;IF($G385="",""," [Competency: "&amp;$G385&amp;"]")&amp;IF($C385="",""," How it developed the skill: "&amp;$C385))</f>
        <v/>
      </c>
    </row>
    <row r="386" ht="15" customHeight="1" s="128">
      <c r="A386" s="138" t="n"/>
      <c r="B386" s="134" t="n"/>
      <c r="C386" s="134" t="n"/>
      <c r="D386" s="134" t="n"/>
      <c r="E386" s="134" t="n"/>
      <c r="F386" s="134" t="n"/>
      <c r="G386" s="134" t="n"/>
      <c r="H386" s="134" t="n"/>
      <c r="I386" s="134" t="n"/>
      <c r="J386" s="139">
        <f>IF($A386="","",TEXT($A386,"DD/MM/YYYY")&amp;"  —  "&amp;$B386&amp;IF($E386="",""," [Referral: "&amp;$E386&amp;"]")&amp;IF($G386="",""," [Competency: "&amp;$G386&amp;"]")&amp;IF($C386="",""," How it developed the skill: "&amp;$C386))</f>
        <v/>
      </c>
    </row>
    <row r="387" ht="15" customHeight="1" s="128">
      <c r="A387" s="138" t="n"/>
      <c r="B387" s="134" t="n"/>
      <c r="C387" s="134" t="n"/>
      <c r="D387" s="134" t="n"/>
      <c r="E387" s="134" t="n"/>
      <c r="F387" s="134" t="n"/>
      <c r="G387" s="134" t="n"/>
      <c r="H387" s="134" t="n"/>
      <c r="I387" s="134" t="n"/>
      <c r="J387" s="139">
        <f>IF($A387="","",TEXT($A387,"DD/MM/YYYY")&amp;"  —  "&amp;$B387&amp;IF($E387="",""," [Referral: "&amp;$E387&amp;"]")&amp;IF($G387="",""," [Competency: "&amp;$G387&amp;"]")&amp;IF($C387="",""," How it developed the skill: "&amp;$C387))</f>
        <v/>
      </c>
    </row>
    <row r="388" ht="15" customHeight="1" s="128">
      <c r="A388" s="138" t="n"/>
      <c r="B388" s="134" t="n"/>
      <c r="C388" s="134" t="n"/>
      <c r="D388" s="134" t="n"/>
      <c r="E388" s="134" t="n"/>
      <c r="F388" s="134" t="n"/>
      <c r="G388" s="134" t="n"/>
      <c r="H388" s="134" t="n"/>
      <c r="I388" s="134" t="n"/>
      <c r="J388" s="139">
        <f>IF($A388="","",TEXT($A388,"DD/MM/YYYY")&amp;"  —  "&amp;$B388&amp;IF($E388="",""," [Referral: "&amp;$E388&amp;"]")&amp;IF($G388="",""," [Competency: "&amp;$G388&amp;"]")&amp;IF($C388="",""," How it developed the skill: "&amp;$C388))</f>
        <v/>
      </c>
    </row>
    <row r="389" ht="15" customHeight="1" s="128">
      <c r="A389" s="138" t="n"/>
      <c r="B389" s="134" t="n"/>
      <c r="C389" s="134" t="n"/>
      <c r="D389" s="134" t="n"/>
      <c r="E389" s="134" t="n"/>
      <c r="F389" s="134" t="n"/>
      <c r="G389" s="134" t="n"/>
      <c r="H389" s="134" t="n"/>
      <c r="I389" s="134" t="n"/>
      <c r="J389" s="139">
        <f>IF($A389="","",TEXT($A389,"DD/MM/YYYY")&amp;"  —  "&amp;$B389&amp;IF($E389="",""," [Referral: "&amp;$E389&amp;"]")&amp;IF($G389="",""," [Competency: "&amp;$G389&amp;"]")&amp;IF($C389="",""," How it developed the skill: "&amp;$C389))</f>
        <v/>
      </c>
    </row>
    <row r="390" ht="15" customHeight="1" s="128">
      <c r="A390" s="138" t="n"/>
      <c r="B390" s="134" t="n"/>
      <c r="C390" s="134" t="n"/>
      <c r="D390" s="134" t="n"/>
      <c r="E390" s="134" t="n"/>
      <c r="F390" s="134" t="n"/>
      <c r="G390" s="134" t="n"/>
      <c r="H390" s="134" t="n"/>
      <c r="I390" s="134" t="n"/>
      <c r="J390" s="139">
        <f>IF($A390="","",TEXT($A390,"DD/MM/YYYY")&amp;"  —  "&amp;$B390&amp;IF($E390="",""," [Referral: "&amp;$E390&amp;"]")&amp;IF($G390="",""," [Competency: "&amp;$G390&amp;"]")&amp;IF($C390="",""," How it developed the skill: "&amp;$C390))</f>
        <v/>
      </c>
    </row>
    <row r="391" ht="15" customHeight="1" s="128">
      <c r="A391" s="138" t="n"/>
      <c r="B391" s="134" t="n"/>
      <c r="C391" s="134" t="n"/>
      <c r="D391" s="134" t="n"/>
      <c r="E391" s="134" t="n"/>
      <c r="F391" s="134" t="n"/>
      <c r="G391" s="134" t="n"/>
      <c r="H391" s="134" t="n"/>
      <c r="I391" s="134" t="n"/>
      <c r="J391" s="139">
        <f>IF($A391="","",TEXT($A391,"DD/MM/YYYY")&amp;"  —  "&amp;$B391&amp;IF($E391="",""," [Referral: "&amp;$E391&amp;"]")&amp;IF($G391="",""," [Competency: "&amp;$G391&amp;"]")&amp;IF($C391="",""," How it developed the skill: "&amp;$C391))</f>
        <v/>
      </c>
    </row>
    <row r="392" ht="15" customHeight="1" s="128">
      <c r="A392" s="138" t="n"/>
      <c r="B392" s="134" t="n"/>
      <c r="C392" s="134" t="n"/>
      <c r="D392" s="134" t="n"/>
      <c r="E392" s="134" t="n"/>
      <c r="F392" s="134" t="n"/>
      <c r="G392" s="134" t="n"/>
      <c r="H392" s="134" t="n"/>
      <c r="I392" s="134" t="n"/>
      <c r="J392" s="139">
        <f>IF($A392="","",TEXT($A392,"DD/MM/YYYY")&amp;"  —  "&amp;$B392&amp;IF($E392="",""," [Referral: "&amp;$E392&amp;"]")&amp;IF($G392="",""," [Competency: "&amp;$G392&amp;"]")&amp;IF($C392="",""," How it developed the skill: "&amp;$C392))</f>
        <v/>
      </c>
    </row>
    <row r="393" ht="15" customHeight="1" s="128">
      <c r="A393" s="138" t="n"/>
      <c r="B393" s="134" t="n"/>
      <c r="C393" s="134" t="n"/>
      <c r="D393" s="134" t="n"/>
      <c r="E393" s="134" t="n"/>
      <c r="F393" s="134" t="n"/>
      <c r="G393" s="134" t="n"/>
      <c r="H393" s="134" t="n"/>
      <c r="I393" s="134" t="n"/>
      <c r="J393" s="139">
        <f>IF($A393="","",TEXT($A393,"DD/MM/YYYY")&amp;"  —  "&amp;$B393&amp;IF($E393="",""," [Referral: "&amp;$E393&amp;"]")&amp;IF($G393="",""," [Competency: "&amp;$G393&amp;"]")&amp;IF($C393="",""," How it developed the skill: "&amp;$C393))</f>
        <v/>
      </c>
    </row>
    <row r="394" ht="15" customHeight="1" s="128">
      <c r="A394" s="138" t="n"/>
      <c r="B394" s="134" t="n"/>
      <c r="C394" s="134" t="n"/>
      <c r="D394" s="134" t="n"/>
      <c r="E394" s="134" t="n"/>
      <c r="F394" s="134" t="n"/>
      <c r="G394" s="134" t="n"/>
      <c r="H394" s="134" t="n"/>
      <c r="I394" s="134" t="n"/>
      <c r="J394" s="139">
        <f>IF($A394="","",TEXT($A394,"DD/MM/YYYY")&amp;"  —  "&amp;$B394&amp;IF($E394="",""," [Referral: "&amp;$E394&amp;"]")&amp;IF($G394="",""," [Competency: "&amp;$G394&amp;"]")&amp;IF($C394="",""," How it developed the skill: "&amp;$C394))</f>
        <v/>
      </c>
    </row>
    <row r="395" ht="15" customHeight="1" s="128">
      <c r="A395" s="138" t="n"/>
      <c r="B395" s="134" t="n"/>
      <c r="C395" s="134" t="n"/>
      <c r="D395" s="134" t="n"/>
      <c r="E395" s="134" t="n"/>
      <c r="F395" s="134" t="n"/>
      <c r="G395" s="134" t="n"/>
      <c r="H395" s="134" t="n"/>
      <c r="I395" s="134" t="n"/>
      <c r="J395" s="139">
        <f>IF($A395="","",TEXT($A395,"DD/MM/YYYY")&amp;"  —  "&amp;$B395&amp;IF($E395="",""," [Referral: "&amp;$E395&amp;"]")&amp;IF($G395="",""," [Competency: "&amp;$G395&amp;"]")&amp;IF($C395="",""," How it developed the skill: "&amp;$C395))</f>
        <v/>
      </c>
    </row>
    <row r="396" ht="15" customHeight="1" s="128">
      <c r="A396" s="138" t="n"/>
      <c r="B396" s="134" t="n"/>
      <c r="C396" s="134" t="n"/>
      <c r="D396" s="134" t="n"/>
      <c r="E396" s="134" t="n"/>
      <c r="F396" s="134" t="n"/>
      <c r="G396" s="134" t="n"/>
      <c r="H396" s="134" t="n"/>
      <c r="I396" s="134" t="n"/>
      <c r="J396" s="139">
        <f>IF($A396="","",TEXT($A396,"DD/MM/YYYY")&amp;"  —  "&amp;$B396&amp;IF($E396="",""," [Referral: "&amp;$E396&amp;"]")&amp;IF($G396="",""," [Competency: "&amp;$G396&amp;"]")&amp;IF($C396="",""," How it developed the skill: "&amp;$C396))</f>
        <v/>
      </c>
    </row>
    <row r="397" ht="15" customHeight="1" s="128">
      <c r="A397" s="138" t="n"/>
      <c r="B397" s="134" t="n"/>
      <c r="C397" s="134" t="n"/>
      <c r="D397" s="134" t="n"/>
      <c r="E397" s="134" t="n"/>
      <c r="F397" s="134" t="n"/>
      <c r="G397" s="134" t="n"/>
      <c r="H397" s="134" t="n"/>
      <c r="I397" s="134" t="n"/>
      <c r="J397" s="139">
        <f>IF($A397="","",TEXT($A397,"DD/MM/YYYY")&amp;"  —  "&amp;$B397&amp;IF($E397="",""," [Referral: "&amp;$E397&amp;"]")&amp;IF($G397="",""," [Competency: "&amp;$G397&amp;"]")&amp;IF($C397="",""," How it developed the skill: "&amp;$C397))</f>
        <v/>
      </c>
    </row>
    <row r="398" ht="15" customHeight="1" s="128">
      <c r="A398" s="138" t="n"/>
      <c r="B398" s="134" t="n"/>
      <c r="C398" s="134" t="n"/>
      <c r="D398" s="134" t="n"/>
      <c r="E398" s="134" t="n"/>
      <c r="F398" s="134" t="n"/>
      <c r="G398" s="134" t="n"/>
      <c r="H398" s="134" t="n"/>
      <c r="I398" s="134" t="n"/>
      <c r="J398" s="139">
        <f>IF($A398="","",TEXT($A398,"DD/MM/YYYY")&amp;"  —  "&amp;$B398&amp;IF($E398="",""," [Referral: "&amp;$E398&amp;"]")&amp;IF($G398="",""," [Competency: "&amp;$G398&amp;"]")&amp;IF($C398="",""," How it developed the skill: "&amp;$C398))</f>
        <v/>
      </c>
    </row>
    <row r="399" ht="15" customHeight="1" s="128">
      <c r="A399" s="138" t="n"/>
      <c r="B399" s="134" t="n"/>
      <c r="C399" s="134" t="n"/>
      <c r="D399" s="134" t="n"/>
      <c r="E399" s="134" t="n"/>
      <c r="F399" s="134" t="n"/>
      <c r="G399" s="134" t="n"/>
      <c r="H399" s="134" t="n"/>
      <c r="I399" s="134" t="n"/>
      <c r="J399" s="139">
        <f>IF($A399="","",TEXT($A399,"DD/MM/YYYY")&amp;"  —  "&amp;$B399&amp;IF($E399="",""," [Referral: "&amp;$E399&amp;"]")&amp;IF($G399="",""," [Competency: "&amp;$G399&amp;"]")&amp;IF($C399="",""," How it developed the skill: "&amp;$C399))</f>
        <v/>
      </c>
    </row>
    <row r="400" ht="15" customHeight="1" s="128">
      <c r="A400" s="138" t="n"/>
      <c r="B400" s="134" t="n"/>
      <c r="C400" s="134" t="n"/>
      <c r="D400" s="134" t="n"/>
      <c r="E400" s="134" t="n"/>
      <c r="F400" s="134" t="n"/>
      <c r="G400" s="134" t="n"/>
      <c r="H400" s="134" t="n"/>
      <c r="I400" s="134" t="n"/>
      <c r="J400" s="139">
        <f>IF($A400="","",TEXT($A400,"DD/MM/YYYY")&amp;"  —  "&amp;$B400&amp;IF($E400="",""," [Referral: "&amp;$E400&amp;"]")&amp;IF($G400="",""," [Competency: "&amp;$G400&amp;"]")&amp;IF($C400="",""," How it developed the skill: "&amp;$C400))</f>
        <v/>
      </c>
    </row>
    <row r="401" ht="15" customHeight="1" s="128">
      <c r="A401" s="138" t="n"/>
      <c r="B401" s="134" t="n"/>
      <c r="C401" s="134" t="n"/>
      <c r="D401" s="134" t="n"/>
      <c r="E401" s="134" t="n"/>
      <c r="F401" s="134" t="n"/>
      <c r="G401" s="134" t="n"/>
      <c r="H401" s="134" t="n"/>
      <c r="I401" s="134" t="n"/>
      <c r="J401" s="139">
        <f>IF($A401="","",TEXT($A401,"DD/MM/YYYY")&amp;"  —  "&amp;$B401&amp;IF($E401="",""," [Referral: "&amp;$E401&amp;"]")&amp;IF($G401="",""," [Competency: "&amp;$G401&amp;"]")&amp;IF($C401="",""," How it developed the skill: "&amp;$C401))</f>
        <v/>
      </c>
    </row>
    <row r="402" ht="15" customHeight="1" s="128">
      <c r="A402" s="138" t="n"/>
      <c r="B402" s="134" t="n"/>
      <c r="C402" s="134" t="n"/>
      <c r="D402" s="134" t="n"/>
      <c r="E402" s="134" t="n"/>
      <c r="F402" s="134" t="n"/>
      <c r="G402" s="134" t="n"/>
      <c r="H402" s="134" t="n"/>
      <c r="I402" s="134" t="n"/>
      <c r="J402" s="139">
        <f>IF($A402="","",TEXT($A402,"DD/MM/YYYY")&amp;"  —  "&amp;$B402&amp;IF($E402="",""," [Referral: "&amp;$E402&amp;"]")&amp;IF($G402="",""," [Competency: "&amp;$G402&amp;"]")&amp;IF($C402="",""," How it developed the skill: "&amp;$C402))</f>
        <v/>
      </c>
    </row>
  </sheetData>
  <autoFilter ref="A1:J402"/>
  <dataValidations count="5">
    <dataValidation sqref="D3:D402" showDropDown="0" showInputMessage="0" showErrorMessage="0" allowBlank="1" type="list" errorStyle="stop" operator="between">
      <formula1>CatList</formula1>
      <formula2>0</formula2>
    </dataValidation>
    <dataValidation sqref="F3:F402" showDropDown="0" showInputMessage="0" showErrorMessage="0" allowBlank="1" type="list" errorStyle="stop" operator="between">
      <formula1>CompList</formula1>
      <formula2>0</formula2>
    </dataValidation>
    <dataValidation sqref="H3:H402" showDropDown="0" showInputMessage="0" showErrorMessage="0" allowBlank="1" type="list" errorStyle="stop" operator="between">
      <formula1>BandList</formula1>
      <formula2>0</formula2>
    </dataValidation>
    <dataValidation sqref="E3:E402" showDropDown="0" showInputMessage="0" showErrorMessage="0" allowBlank="1" type="list" errorStyle="stop" operator="between">
      <formula1>INDIRECT("Ref"&amp;LEFT($D3,1))</formula1>
      <formula2>0</formula2>
    </dataValidation>
    <dataValidation sqref="G3:G402" showDropDown="0" showInputMessage="0" showErrorMessage="0" allowBlank="1" type="list" errorStyle="stop" operator="between">
      <formula1>INDIRECT("Comp"&amp;LEFT($F3,1))</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1B5E38"/>
    <outlinePr summaryBelow="1" summaryRight="1"/>
    <pageSetUpPr fitToPage="0"/>
  </sheetPr>
  <dimension ref="A1:AK787"/>
  <sheetViews>
    <sheetView showFormulas="0" showGridLines="1" showRowColHeaders="1" showZeros="1" rightToLeft="0" tabSelected="0" showOutlineSymbols="1" defaultGridColor="1" view="normal" topLeftCell="A1" colorId="64" zoomScale="100" zoomScaleNormal="100" zoomScalePageLayoutView="100" workbookViewId="0">
      <pane xSplit="4" ySplit="26" topLeftCell="E27" activePane="bottomRight" state="frozen"/>
      <selection pane="topLeft" activeCell="A1" activeCellId="0" sqref="A1"/>
      <selection pane="topRight" activeCell="E1" activeCellId="0" sqref="E1"/>
      <selection pane="bottomLeft" activeCell="A27" activeCellId="0" sqref="A27"/>
      <selection pane="bottomRight" activeCell="A1" activeCellId="0" sqref="A1"/>
    </sheetView>
  </sheetViews>
  <sheetFormatPr baseColWidth="8" defaultColWidth="8.6796875" defaultRowHeight="15" zeroHeight="0" outlineLevelRow="2"/>
  <cols>
    <col width="8" customWidth="1" style="127" min="1" max="1"/>
    <col width="20" customWidth="1" style="127" min="2" max="2"/>
    <col width="30" customWidth="1" style="127" min="3" max="3"/>
    <col width="32" customWidth="1" style="127" min="4" max="4"/>
    <col width="22" customWidth="1" style="127" min="5" max="5"/>
    <col width="32" customWidth="1" style="127" min="6" max="6"/>
    <col width="58" customWidth="1" style="127" min="7" max="7"/>
    <col width="28" customWidth="1" style="127" min="8" max="8"/>
    <col width="30" customWidth="1" style="127" min="9" max="9"/>
    <col width="22" customWidth="1" style="127" min="10" max="10"/>
    <col width="12" customWidth="1" style="127" min="11" max="11"/>
    <col width="13" customWidth="1" style="127" min="12" max="12"/>
    <col width="52" customWidth="1" style="127" min="13" max="32"/>
    <col width="50" customWidth="1" style="127" min="33" max="37"/>
  </cols>
  <sheetData>
    <row r="1" ht="23.25" customHeight="1" s="128">
      <c r="A1" s="129" t="inlineStr">
        <is>
          <t>Level</t>
        </is>
      </c>
      <c r="B1" s="129" t="inlineStr">
        <is>
          <t>UCD competency</t>
        </is>
      </c>
      <c r="C1" s="129" t="inlineStr">
        <is>
          <t>Blocks within it</t>
        </is>
      </c>
      <c r="D1" s="129" t="inlineStr">
        <is>
          <t>Macro skill</t>
        </is>
      </c>
      <c r="E1" s="129" t="inlineStr">
        <is>
          <t>Section</t>
        </is>
      </c>
      <c r="F1" s="129" t="inlineStr">
        <is>
          <t>Item</t>
        </is>
      </c>
      <c r="G1" s="129" t="inlineStr">
        <is>
          <t>Detail / why it matters</t>
        </is>
      </c>
      <c r="H1" s="129" t="inlineStr">
        <is>
          <t>Law and policy</t>
        </is>
      </c>
      <c r="I1" s="129" t="inlineStr">
        <is>
          <t>Where the evidence goes</t>
        </is>
      </c>
      <c r="J1" s="129" t="inlineStr">
        <is>
          <t>Time · phase · type</t>
        </is>
      </c>
      <c r="K1" s="140" t="inlineStr">
        <is>
          <t>Times logged</t>
        </is>
      </c>
      <c r="L1" s="140" t="inlineStr">
        <is>
          <t>Last logged</t>
        </is>
      </c>
      <c r="M1" s="140" t="inlineStr">
        <is>
          <t>1</t>
        </is>
      </c>
      <c r="N1" s="140" t="inlineStr">
        <is>
          <t>2</t>
        </is>
      </c>
      <c r="O1" s="140" t="inlineStr">
        <is>
          <t>3</t>
        </is>
      </c>
      <c r="P1" s="140" t="inlineStr">
        <is>
          <t>4</t>
        </is>
      </c>
      <c r="Q1" s="140" t="inlineStr">
        <is>
          <t>5</t>
        </is>
      </c>
      <c r="R1" s="140" t="inlineStr">
        <is>
          <t>6</t>
        </is>
      </c>
      <c r="S1" s="140" t="inlineStr">
        <is>
          <t>7</t>
        </is>
      </c>
      <c r="T1" s="140" t="inlineStr">
        <is>
          <t>8</t>
        </is>
      </c>
      <c r="U1" s="140" t="inlineStr">
        <is>
          <t>9</t>
        </is>
      </c>
      <c r="V1" s="140" t="inlineStr">
        <is>
          <t>10</t>
        </is>
      </c>
      <c r="W1" s="140" t="inlineStr">
        <is>
          <t>11</t>
        </is>
      </c>
      <c r="X1" s="140" t="inlineStr">
        <is>
          <t>12</t>
        </is>
      </c>
      <c r="Y1" s="140" t="inlineStr">
        <is>
          <t>13</t>
        </is>
      </c>
      <c r="Z1" s="140" t="inlineStr">
        <is>
          <t>14</t>
        </is>
      </c>
      <c r="AA1" s="140" t="inlineStr">
        <is>
          <t>15</t>
        </is>
      </c>
      <c r="AB1" s="140" t="inlineStr">
        <is>
          <t>16</t>
        </is>
      </c>
      <c r="AC1" s="140" t="inlineStr">
        <is>
          <t>17</t>
        </is>
      </c>
      <c r="AD1" s="140" t="inlineStr">
        <is>
          <t>18</t>
        </is>
      </c>
      <c r="AE1" s="140" t="inlineStr">
        <is>
          <t>19</t>
        </is>
      </c>
      <c r="AF1" s="140" t="inlineStr">
        <is>
          <t>20</t>
        </is>
      </c>
      <c r="AG1" s="141" t="inlineStr">
        <is>
          <t>IFF · Environmental</t>
        </is>
      </c>
      <c r="AH1" s="141" t="inlineStr">
        <is>
          <t>IFF · Biological</t>
        </is>
      </c>
      <c r="AI1" s="141" t="inlineStr">
        <is>
          <t>IFF · Cognitive</t>
        </is>
      </c>
      <c r="AJ1" s="141" t="inlineStr">
        <is>
          <t>IFF · Affective</t>
        </is>
      </c>
      <c r="AK1" s="141" t="inlineStr">
        <is>
          <t>IFF · Behavioural</t>
        </is>
      </c>
    </row>
    <row r="2" ht="21.75" customHeight="1" s="128">
      <c r="A2" s="142" t="inlineStr">
        <is>
          <t>INDEX</t>
        </is>
      </c>
      <c r="B2" s="142" t="inlineStr">
        <is>
          <t>JUMP TO</t>
        </is>
      </c>
      <c r="C2" s="142" t="n"/>
      <c r="D2" s="142" t="n"/>
      <c r="E2" s="142" t="inlineStr">
        <is>
          <t>Click any line. Use the 1 / 2 / 3 buttons in the left margin to collapse and expand: 1 = headings only, 2 = skill names, 3 = everything.</t>
        </is>
      </c>
      <c r="F2" s="142" t="n"/>
      <c r="G2" s="142" t="n"/>
      <c r="H2" s="142" t="n"/>
      <c r="I2" s="142" t="n"/>
      <c r="J2" s="142" t="n"/>
      <c r="K2" s="142" t="n"/>
      <c r="L2" s="142" t="n"/>
      <c r="M2" s="142" t="n"/>
    </row>
    <row r="3" ht="15" customHeight="1" s="128">
      <c r="C3" s="143" t="inlineStr">
        <is>
          <t>1. Assessment</t>
        </is>
      </c>
      <c r="E3" s="135" t="inlineStr">
        <is>
          <t>10 macro skills</t>
        </is>
      </c>
      <c r="F3" s="144" t="inlineStr">
        <is>
          <t>teaching written for 10 of 10</t>
        </is>
      </c>
    </row>
    <row r="4" ht="15" customHeight="1" s="128">
      <c r="C4" s="143" t="inlineStr">
        <is>
          <t>2. Formulation</t>
        </is>
      </c>
      <c r="E4" s="135" t="inlineStr">
        <is>
          <t>6 macro skills</t>
        </is>
      </c>
      <c r="F4" s="144" t="inlineStr">
        <is>
          <t>teaching written for 6 of 6</t>
        </is>
      </c>
    </row>
    <row r="5" ht="15" customHeight="1" s="128">
      <c r="C5" s="143" t="inlineStr">
        <is>
          <t>3. Intervention</t>
        </is>
      </c>
      <c r="E5" s="135" t="inlineStr">
        <is>
          <t>7 macro skills</t>
        </is>
      </c>
      <c r="F5" s="144" t="inlineStr">
        <is>
          <t>teaching written for 7 of 7</t>
        </is>
      </c>
    </row>
    <row r="6" ht="15" customHeight="1" s="128">
      <c r="C6" s="143" t="inlineStr">
        <is>
          <t>4. Systemic Change</t>
        </is>
      </c>
      <c r="E6" s="135" t="inlineStr">
        <is>
          <t>6 macro skills</t>
        </is>
      </c>
      <c r="F6" s="144" t="inlineStr">
        <is>
          <t>teaching written for 6 of 6</t>
        </is>
      </c>
    </row>
    <row r="7" ht="15" customHeight="1" s="128">
      <c r="C7" s="143" t="inlineStr">
        <is>
          <t>5. Working with Others</t>
        </is>
      </c>
      <c r="E7" s="135" t="inlineStr">
        <is>
          <t>6 macro skills</t>
        </is>
      </c>
      <c r="F7" s="144" t="inlineStr">
        <is>
          <t>teaching written for 6 of 6</t>
        </is>
      </c>
    </row>
    <row r="8" ht="15" customHeight="1" s="128">
      <c r="C8" s="143" t="inlineStr">
        <is>
          <t>6. Ethical Practice</t>
        </is>
      </c>
      <c r="E8" s="135" t="inlineStr">
        <is>
          <t>7 macro skills</t>
        </is>
      </c>
      <c r="F8" s="144" t="inlineStr">
        <is>
          <t>teaching written for 7 of 7</t>
        </is>
      </c>
    </row>
    <row r="9" ht="15" customHeight="1" s="128">
      <c r="C9" s="143" t="inlineStr">
        <is>
          <t>7. Supervision</t>
        </is>
      </c>
      <c r="E9" s="135" t="inlineStr">
        <is>
          <t>10 macro skills</t>
        </is>
      </c>
      <c r="F9" s="144" t="inlineStr">
        <is>
          <t>teaching written for 10 of 10</t>
        </is>
      </c>
    </row>
    <row r="10" ht="15" customHeight="1" s="128">
      <c r="C10" s="143" t="inlineStr">
        <is>
          <t>8. Research</t>
        </is>
      </c>
      <c r="E10" s="135" t="inlineStr">
        <is>
          <t>3 macro skills</t>
        </is>
      </c>
      <c r="F10" s="144" t="inlineStr">
        <is>
          <t>teaching written for 3 of 3</t>
        </is>
      </c>
    </row>
    <row r="11" ht="15" customHeight="1" s="128">
      <c r="C11" s="145" t="inlineStr">
        <is>
          <t>PART D — age band → category → what presents → who they go to → what you assess</t>
        </is>
      </c>
      <c r="F11" s="146" t="inlineStr">
        <is>
          <t>the four-level route</t>
        </is>
      </c>
    </row>
    <row r="12" ht="15" customHeight="1" s="128">
      <c r="C12" s="145" t="inlineStr">
        <is>
          <t>PART E — the three-year route to PSI membership and CORU registration</t>
        </is>
      </c>
      <c r="F12" s="146" t="inlineStr">
        <is>
          <t>shows where you do NOT currently meet a requirement</t>
        </is>
      </c>
    </row>
    <row r="13" ht="15" customHeight="1" s="128">
      <c r="C13" s="145" t="inlineStr">
        <is>
          <t>PART F — papers behind the tool choices</t>
        </is>
      </c>
      <c r="F13" s="146" t="inlineStr">
        <is>
          <t>found through Elicit, clickable</t>
        </is>
      </c>
    </row>
    <row r="14" ht="15" customHeight="1" s="128">
      <c r="C14" s="145" t="inlineStr">
        <is>
          <t>PART G — tool by tool, taught</t>
        </is>
      </c>
      <c r="F14" s="146" t="inlineStr">
        <is>
          <t>before · administer · score · interpret · errors · read</t>
        </is>
      </c>
    </row>
    <row r="15" ht="15" customHeight="1" s="128">
      <c r="C15" s="145" t="inlineStr">
        <is>
          <t>PART H — methods in full, everything on one row</t>
        </is>
      </c>
      <c r="F15" s="146" t="inlineStr">
        <is>
          <t>history · evidence · script · Q&amp;A · why this over alternatives</t>
        </is>
      </c>
    </row>
    <row r="16" ht="15" customHeight="1" s="128">
      <c r="C16" s="145" t="inlineStr">
        <is>
          <t>PART I — conditions explained at parent, teacher and child level</t>
        </is>
      </c>
      <c r="F16" s="146" t="inlineStr">
        <is>
          <t>misconceptions · analogies · Q&amp;A · supervision · reflection</t>
        </is>
      </c>
    </row>
    <row r="17" ht="15" customHeight="1" s="128">
      <c r="C17" s="145" t="inlineStr">
        <is>
          <t>PART J — what is complete and what is not</t>
        </is>
      </c>
      <c r="F17" s="146" t="inlineStr">
        <is>
          <t>the honest map, with priority order</t>
        </is>
      </c>
    </row>
    <row r="18" ht="15" customHeight="1" s="128">
      <c r="C18" s="145" t="inlineStr">
        <is>
          <t>PART C — Interactive Factors prompt, in full, with Irish equivalents</t>
        </is>
      </c>
      <c r="F18" s="146" t="inlineStr">
        <is>
          <t>also columns N to R — scroll right</t>
        </is>
      </c>
    </row>
    <row r="19" ht="15" customHeight="1" s="128">
      <c r="C19" s="143" t="inlineStr">
        <is>
          <t>PART B — all 102 CORU standards and 128 PSI clauses in full</t>
        </is>
      </c>
      <c r="F19" s="146" t="inlineStr">
        <is>
          <t>every standard number in Part A links here</t>
        </is>
      </c>
    </row>
    <row r="25" ht="21.75" customHeight="1" s="128">
      <c r="A25" s="142" t="inlineStr">
        <is>
          <t>PART A</t>
        </is>
      </c>
      <c r="B25" s="142" t="inlineStr">
        <is>
          <t>BY COMPETENCY</t>
        </is>
      </c>
      <c r="C25" s="142" t="n"/>
      <c r="D25" s="142" t="n"/>
      <c r="E25" s="142" t="inlineStr">
        <is>
          <t>One row per section. Columns A–L hold the context; the numbered columns to the right hold that section's items, spread across. Scroll right.</t>
        </is>
      </c>
      <c r="F25" s="142" t="n"/>
      <c r="G25" s="142" t="n"/>
      <c r="H25" s="142" t="n"/>
      <c r="I25" s="142" t="n"/>
      <c r="J25" s="142" t="n"/>
      <c r="K25" s="142" t="n"/>
      <c r="L25" s="142" t="n"/>
      <c r="M25" s="142" t="n"/>
      <c r="N25" s="142" t="n"/>
      <c r="O25" s="142" t="n"/>
      <c r="P25" s="142" t="n"/>
      <c r="Q25" s="142" t="n"/>
      <c r="R25" s="142" t="n"/>
      <c r="S25" s="142" t="n"/>
      <c r="T25" s="142" t="n"/>
      <c r="U25" s="142" t="n"/>
      <c r="V25" s="142" t="n"/>
      <c r="W25" s="142" t="n"/>
      <c r="X25" s="142" t="n"/>
      <c r="Y25" s="142" t="n"/>
      <c r="Z25" s="142" t="n"/>
      <c r="AA25" s="142" t="n"/>
      <c r="AB25" s="142" t="n"/>
      <c r="AC25" s="142" t="n"/>
      <c r="AD25" s="142" t="n"/>
      <c r="AE25" s="142" t="n"/>
      <c r="AF25" s="142" t="n"/>
      <c r="AG25" s="142" t="n"/>
      <c r="AH25" s="142" t="n"/>
      <c r="AI25" s="142" t="n"/>
      <c r="AJ25" s="142" t="n"/>
      <c r="AK25" s="142" t="n"/>
    </row>
    <row r="26" ht="19.5" customHeight="1" s="128">
      <c r="A26" s="147" t="inlineStr">
        <is>
          <t>COMP</t>
        </is>
      </c>
      <c r="B26" s="147" t="inlineStr">
        <is>
          <t>1. Assessment</t>
        </is>
      </c>
      <c r="C26" s="147" t="n"/>
      <c r="D26" s="147" t="n"/>
      <c r="E26" s="147" t="inlineStr">
        <is>
          <t>10 macro skills · 17 referral areas</t>
        </is>
      </c>
      <c r="F26" s="147" t="n"/>
      <c r="G26" s="147" t="n"/>
      <c r="H26" s="147" t="n"/>
      <c r="I26" s="147" t="n"/>
      <c r="J26" s="147" t="n"/>
      <c r="K26" s="147" t="n"/>
      <c r="L26" s="147" t="n"/>
      <c r="M26" s="147" t="n"/>
      <c r="N26" s="147" t="n"/>
      <c r="O26" s="147" t="n"/>
      <c r="P26" s="147" t="n"/>
      <c r="Q26" s="147" t="n"/>
      <c r="R26" s="147" t="n"/>
      <c r="S26" s="147" t="n"/>
      <c r="T26" s="147" t="n"/>
      <c r="U26" s="147" t="n"/>
      <c r="V26" s="147" t="n"/>
      <c r="W26" s="147" t="n"/>
      <c r="X26" s="147" t="n"/>
      <c r="Y26" s="147" t="n"/>
      <c r="Z26" s="147" t="n"/>
      <c r="AA26" s="147" t="n"/>
      <c r="AB26" s="147" t="n"/>
      <c r="AC26" s="147" t="n"/>
      <c r="AD26" s="147" t="n"/>
      <c r="AE26" s="147" t="n"/>
      <c r="AF26" s="147" t="n"/>
      <c r="AG26" s="147" t="n"/>
      <c r="AH26" s="147" t="n"/>
      <c r="AI26" s="147" t="n"/>
      <c r="AJ26" s="147" t="n"/>
      <c r="AK26" s="147" t="n"/>
    </row>
    <row r="27" ht="169.5" customHeight="1" s="128">
      <c r="A27" s="148" t="n"/>
      <c r="B27" s="149" t="inlineStr">
        <is>
          <t>1. Assessment</t>
        </is>
      </c>
      <c r="C27" s="149" t="n"/>
      <c r="D27" s="148" t="n"/>
      <c r="E27" s="148" t="inlineStr">
        <is>
          <t>What CORU asks of this competency — verbatim</t>
        </is>
      </c>
      <c r="F27" s="133" t="inlineStr">
        <is>
          <t>18 standards across this competency</t>
        </is>
      </c>
      <c r="G27" s="133" t="n"/>
      <c r="H27" s="149" t="n"/>
      <c r="I27" s="149" t="n"/>
      <c r="J27" s="149" t="n"/>
      <c r="K27" s="148" t="n"/>
      <c r="L27" s="148" t="n"/>
      <c r="M27" s="150" t="inlineStr">
        <is>
          <t>▸  CORU 1.2
     Be able to identify the limits of their practice and know when to seek advice and additional expertise or refer to another professional</t>
        </is>
      </c>
      <c r="N27" s="150" t="inlineStr">
        <is>
          <t>▸  CORU 2.2
     Be able to modify and adapt communication methods and styles, including verbal and non-verbal methods, to suit the individual service user, considering issues of language, age, culture, beliefs and health and/or social care needs</t>
        </is>
      </c>
      <c r="O27" s="150" t="inlineStr">
        <is>
          <t>▸  CORU 2.8
     Be able to produce clear, concise, accurate and objective documentation</t>
        </is>
      </c>
      <c r="P27" s="150" t="inlineStr">
        <is>
          <t>▸  CORU 3.1
     Be able to gather all appropriate background information relevant to the service user's health and social care needs</t>
        </is>
      </c>
      <c r="Q27" s="150" t="inlineStr">
        <is>
          <t>▸  CORU 3.2
     Be able to justify the selection of and implement appropriate assessment techniques and be able to undertake and record a thorough, sensitive and detailed assessment</t>
        </is>
      </c>
      <c r="R27" s="150" t="inlineStr">
        <is>
          <t>▸  CORU 3.3
     Be able to determine the appropriate tests/assessments required and undertake/arrange these tests</t>
        </is>
      </c>
      <c r="S27" s="150" t="inlineStr">
        <is>
          <t>▸  CORU 3.4
     Be able to analyse and critically evaluate the information collected in the assessment process</t>
        </is>
      </c>
      <c r="T27" s="150" t="inlineStr">
        <is>
          <t>▸  CORU 5.2
     Demonstrate a critical understanding of relevant biological sciences, human development, social and behavioural sciences and other related sciences, together with a knowledge of health and wellbeing</t>
        </is>
      </c>
      <c r="U27" s="150" t="inlineStr">
        <is>
          <t>▸  CORU 5.6
     Demonstrate safe and effective implementation of practical, technical and clinical/professional skills</t>
        </is>
      </c>
      <c r="V27" s="150" t="inlineStr">
        <is>
          <t>▸  CORU 5.12
     Know the psychological theories of education, human development, learning and teaching and their application in children, young people and adult learners</t>
        </is>
      </c>
      <c r="W27" s="150" t="inlineStr">
        <is>
          <t>▸  CORU 5.13
     Know the structures and systems of school, community and social settings in which educational, health and social care services are provided for children, young people and adult learners</t>
        </is>
      </c>
      <c r="X27" s="150" t="inlineStr">
        <is>
          <t>▸  CORU 5.14
     Know the impact of structures and systems in which educational services are provided on the development of children, young people and adult learners at individual, group and organisational levels</t>
        </is>
      </c>
      <c r="Y27" s="150" t="inlineStr">
        <is>
          <t>▸  CORU 5.21
     Establish, maintain and conclude a professional relationship with a service user, safely and ethically, recognising and managing professional boundaries</t>
        </is>
      </c>
      <c r="Z27" s="150" t="inlineStr">
        <is>
          <t>▸  CORU 5.24
     Identify and apply knowledge of the intersecting forms of diversity of service users, working in an inclusive, sensitive and equitable manner</t>
        </is>
      </c>
      <c r="AA27" s="150" t="inlineStr">
        <is>
          <t>▸  CORU 5.27
     Be able to produce clear, concise, accessible and accurate reports — devised in collaboration with service users, as appropriate — that are suitable for the intended audience and context of their use, in order to communicate and justify professional opinions made</t>
        </is>
      </c>
      <c r="AB27" s="150" t="inlineStr">
        <is>
          <t>▸  CORU 5.28
     Be able to critically evaluate the theory and application of a range of assessment methods used in educational psychology to identify psychological, educational and developmental needs at individual and group levels</t>
        </is>
      </c>
      <c r="AC27" s="150" t="inlineStr">
        <is>
          <t>▸  CORU 5.31
     Conduct a range of assessment methods safely and ethically, adapting and re-evaluating their application as appropriate</t>
        </is>
      </c>
      <c r="AD27" s="150" t="inlineStr">
        <is>
          <t>▸  CORU 5.32
     Interpret, synthesise and critically evaluate assessment data, within relevant conceptual frameworks, to inform case formulation and psychological intervention planning</t>
        </is>
      </c>
    </row>
    <row r="28" ht="169.5" customHeight="1" s="128">
      <c r="A28" s="148" t="n"/>
      <c r="B28" s="149" t="inlineStr">
        <is>
          <t>1. Assessment</t>
        </is>
      </c>
      <c r="C28" s="149" t="n"/>
      <c r="D28" s="148" t="n"/>
      <c r="E28" s="148" t="inlineStr">
        <is>
          <t>What the PSI Code asks of this competency — verbatim</t>
        </is>
      </c>
      <c r="F28" s="133" t="inlineStr">
        <is>
          <t>13 clauses across this competency</t>
        </is>
      </c>
      <c r="G28" s="133" t="n"/>
      <c r="H28" s="149" t="n"/>
      <c r="I28" s="149" t="n"/>
      <c r="J28" s="149" t="n"/>
      <c r="K28" s="148" t="n"/>
      <c r="L28" s="148" t="n"/>
      <c r="M28" s="150" t="inlineStr">
        <is>
          <t>▸  PSI 1.1.1
     Have sensible regard for individual clients' moral and cultural values.</t>
        </is>
      </c>
      <c r="N28" s="150" t="inlineStr">
        <is>
          <t>▸  PSI 1.1.3
     Convey respect for and abide by prevailing community mores, social customs, and cultural expectations in their scientific and professional activities.</t>
        </is>
      </c>
      <c r="O28" s="150" t="inlineStr">
        <is>
          <t>▸  PSI 1.3.5
     Ensure at least the following are understood: purpose and nature of the activity; mutual responsibilities; likely benefits and risks; alternatives; consequences of non-action; the option to refuse or withdraw at any time without prejudice; the period the consent applies to; and how to rescind consent.</t>
        </is>
      </c>
      <c r="P28" s="150" t="inlineStr">
        <is>
          <t>▸  PSI 1.4.1
     Seek as full and active participation as possible from others in decisions which affect them.</t>
        </is>
      </c>
      <c r="Q28" s="150" t="inlineStr">
        <is>
          <t>▸  PSI 1.4.3
     Respect the right of individuals to discontinue participation or service at any time, and be responsive to non-verbal indications of a desire to discontinue.</t>
        </is>
      </c>
      <c r="R28" s="150" t="inlineStr">
        <is>
          <t>▸  PSI 2.2.2
     Recognise the boundaries of their competence, and do not exceed these.</t>
        </is>
      </c>
      <c r="S28" s="150" t="inlineStr">
        <is>
          <t>▸  PSI 2.3.1
     Be mindful, when making decisions based on psychological data and techniques, of the limitations of such data and techniques.</t>
        </is>
      </c>
      <c r="T28" s="150" t="inlineStr">
        <is>
          <t>▸  PSI 2.3.3
     Terminate an activity when it is clear the activity is more harmful than beneficial, or when it is no longer needed.</t>
        </is>
      </c>
      <c r="U28" s="150" t="inlineStr">
        <is>
          <t>▸  PSI 3.3.6
     Take all reasonable steps to ensure tests and assessment methods are only used by those qualified and trained to do so.</t>
        </is>
      </c>
      <c r="V28" s="150" t="inlineStr">
        <is>
          <t>▸  PSI 4.2.2
     Take due care to avoid misrepresentation, exaggeration, distortion or errors in reporting assessment results, research findings or service effectiveness, and act quickly to correct any such error.</t>
        </is>
      </c>
      <c r="W28" s="150" t="inlineStr">
        <is>
          <t>▸  PSI 4.2.5
     Take care in communicating their knowledge, findings and views to clearly differentiate facts, opinions, theories, hypotheses and ideas.</t>
        </is>
      </c>
      <c r="X28" s="150" t="inlineStr">
        <is>
          <t>▸  PSI 4.2.6
     Not suppress disconfirming evidence of their findings and views, and acknowledge alternative hypotheses and explanations.</t>
        </is>
      </c>
      <c r="Y28" s="150" t="inlineStr">
        <is>
          <t>▸  PSI 4.3.1
     Respect the right of clients and research participants to receive an appropriate explanation of the nature, purpose and results of investigations, assessments and research findings, in language they can understand.</t>
        </is>
      </c>
    </row>
    <row r="29" ht="109.5" customHeight="1" s="128">
      <c r="A29" s="151" t="n"/>
      <c r="B29" s="152" t="inlineStr">
        <is>
          <t>1. Assessment</t>
        </is>
      </c>
      <c r="C29" s="152" t="n"/>
      <c r="D29" s="151" t="n"/>
      <c r="E29" s="151" t="inlineStr">
        <is>
          <t>Three-year arc</t>
        </is>
      </c>
      <c r="F29" s="153" t="inlineStr">
        <is>
          <t>What good looks like each year</t>
        </is>
      </c>
      <c r="G29" s="153" t="n"/>
      <c r="H29" s="152" t="n"/>
      <c r="I29" s="152" t="n"/>
      <c r="J29" s="152" t="n"/>
      <c r="K29" s="151" t="n"/>
      <c r="L29" s="151" t="n"/>
      <c r="M29" s="154" t="inlineStr">
        <is>
          <t>Year 1 — You learn the instruments and administer them to standard. Accuracy is the whole task. A good Year 1 assessment is one where another psychologist could re-score your protocol and reach the same numbers.</t>
        </is>
      </c>
      <c r="N29" s="154" t="inlineStr">
        <is>
          <t>Year 2 — You choose the battery rather than administering the one you were given. Selection becomes the skill, and you start assessing in health settings where the referral questions differ.</t>
        </is>
      </c>
      <c r="O29" s="154" t="inlineStr">
        <is>
          <t>Year 3 — You assess in complex and high-risk contexts, build cross-battery approaches deliberately, and can justify not assessing at all.</t>
        </is>
      </c>
    </row>
    <row r="30" ht="30" customHeight="1" s="128">
      <c r="A30" s="155" t="n"/>
      <c r="B30" s="155" t="n"/>
      <c r="C30" s="155" t="n"/>
      <c r="D30" s="155" t="n"/>
      <c r="E30" s="155" t="n"/>
      <c r="F30" s="156" t="inlineStr">
        <is>
          <t>one skill = one row →</t>
        </is>
      </c>
      <c r="G30" s="155" t="n"/>
      <c r="H30" s="155" t="n"/>
      <c r="I30" s="155" t="n"/>
      <c r="J30" s="155" t="n"/>
      <c r="K30" s="155" t="n"/>
      <c r="L30" s="155" t="n"/>
      <c r="M30" s="157" t="inlineStr">
        <is>
          <t>1 · CORU — number and focus</t>
        </is>
      </c>
      <c r="N30" s="157" t="inlineStr">
        <is>
          <t>2 · PSI — number and focus</t>
        </is>
      </c>
      <c r="O30" s="157" t="inlineStr">
        <is>
          <t>3 · Why this matters</t>
        </is>
      </c>
      <c r="P30" s="157" t="inlineStr">
        <is>
          <t>4 · Teaching — how you build it</t>
        </is>
      </c>
      <c r="Q30" s="157" t="inlineStr">
        <is>
          <t>5 · What to read</t>
        </is>
      </c>
      <c r="R30" s="157" t="inlineStr">
        <is>
          <t>6 · Common errors that cost marks</t>
        </is>
      </c>
      <c r="S30" s="157" t="inlineStr">
        <is>
          <t>7 · Rubric — grade 3, 4, 5</t>
        </is>
      </c>
      <c r="T30" s="157" t="inlineStr">
        <is>
          <t>8 · Blocks and micro-skills with pass tests</t>
        </is>
      </c>
      <c r="U30" s="157" t="inlineStr">
        <is>
          <t>9 · Full chapter, where written</t>
        </is>
      </c>
      <c r="V30" s="157" t="inlineStr">
        <is>
          <t>10 · Referral areas this skill serves</t>
        </is>
      </c>
      <c r="W30" s="157" t="inlineStr">
        <is>
          <t>11 · Where the evidence goes</t>
        </is>
      </c>
      <c r="X30" s="157" t="inlineStr">
        <is>
          <t>12 · Law and policy</t>
        </is>
      </c>
      <c r="Y30" s="157" t="inlineStr">
        <is>
          <t>13 · Year and how it extends</t>
        </is>
      </c>
      <c r="Z30" s="157" t="inlineStr">
        <is>
          <t>14 · —</t>
        </is>
      </c>
      <c r="AA30" s="157" t="inlineStr">
        <is>
          <t>15 · —</t>
        </is>
      </c>
      <c r="AB30" s="157" t="inlineStr">
        <is>
          <t>16 · —</t>
        </is>
      </c>
      <c r="AC30" s="157" t="inlineStr">
        <is>
          <t>17 · —</t>
        </is>
      </c>
      <c r="AD30" s="157" t="inlineStr">
        <is>
          <t>18 · —</t>
        </is>
      </c>
      <c r="AE30" s="157" t="inlineStr">
        <is>
          <t>19 · —</t>
        </is>
      </c>
      <c r="AF30" s="157" t="inlineStr">
        <is>
          <t>20 · —</t>
        </is>
      </c>
    </row>
    <row r="31" ht="408.75" customHeight="1" s="128">
      <c r="A31" s="158" t="inlineStr">
        <is>
          <t>SKILL</t>
        </is>
      </c>
      <c r="B31" s="159" t="inlineStr">
        <is>
          <t>1. Assessment</t>
        </is>
      </c>
      <c r="C31" s="160" t="inlineStr">
        <is>
          <t>▸  Knowing the methods
▸  Entering a setting
▸  Knowing what to look at
▸  Turning observation into data</t>
        </is>
      </c>
      <c r="D31" s="161" t="inlineStr">
        <is>
          <t>1. Observation in classroom, playground and clinic</t>
        </is>
      </c>
      <c r="E31" s="158" t="inlineStr">
        <is>
          <t>Macro skill</t>
        </is>
      </c>
      <c r="F31" s="161" t="inlineStr">
        <is>
          <t>1. Observation in classroom, playground and clinic</t>
        </is>
      </c>
      <c r="G31" s="162" t="inlineStr">
        <is>
          <t>Everything about this skill is on this row. Scroll right.</t>
        </is>
      </c>
      <c r="H31" s="158" t="n"/>
      <c r="I31" s="158" t="n"/>
      <c r="J31" s="158" t="n"/>
      <c r="K31" s="158">
        <f>COUNTIF(Log!$G$3:$G$402,"1. Observation in classroom, playground and clinic")</f>
        <v/>
      </c>
      <c r="L31" s="163">
        <f>IF(COUNTIF(Log!$G$3:$G$402,"1. Observation in classroom, playground and clinic")=0,"",SUMPRODUCT(MAX((Log!$G$3:$G$402="1. Observation in classroom, playground and clinic")*Log!$A$3:$A$402)))</f>
        <v/>
      </c>
      <c r="M31" s="164" t="inlineStr">
        <is>
          <t>▸  CORU 2.8
     Be able to produce clear, concise, accurate and objective documentation
▸  CORU 3.1
     Be able to gather all appropriate background information relevant to the service user's health and social care needs
▸  CORU 5.31
     Conduct a range of assessment methods safely and ethically, adapting and re-evaluating their application as appropriate</t>
        </is>
      </c>
      <c r="N31" s="164" t="inlineStr">
        <is>
          <t>▸  PSI 1.1.1
     Have sensible regard for individual clients' moral and cultural values.
▸  PSI 2.2.2
     Recognise the boundaries of their competence, and do not exceed these.
▸  PSI 2.3.1
     Be mindful, when making decisions based on psychological data and techniques, of the limitations of such data and techniques.
▸  PSI 4.2.5
     Take care in communicating their knowledge, findings and views to clearly differentiate facts, opinions, theories, hypotheses and ideas.</t>
        </is>
      </c>
      <c r="O31" s="165" t="inlineStr">
        <is>
          <t>Observation is the only assessment method that shows you the child in the environment the referral is actually about. A WISC-V tells you about a child in a quiet room with one adult and no competing demands — which is not where the difficulty is happening. Everything a teacher describes is mediated through their interpretation; observation is your one chance at unmediated data. It is also the method most often done badly, because it looks like something anyone can do.</t>
        </is>
      </c>
      <c r="P31" s="165" t="inlineStr">
        <is>
          <t>▸  The four methods and what each is for
     Narrative (running record) — you write continuous prose about what happens. Strength: captures sequence and context you did not anticipate. Weakness: you cannot quantify it, and your attention drifts to what is salient rather than what is frequent. Use it first, when you do not yet know what you are looking for.
Timed interval sampling — you divide the observation into fixed intervals (commonly 15 or 30 seconds) and record whether the behaviour occurred in each. Strength: gives you a percentage you can compare before and after an intervention. Weakness: tells you nothing about why. Use it when you need a baseline.
Event sampling (frequency count) — you count each occurrence of a defined behaviour. Strength: exact counts for discrete, countable behaviours. Weakness: useless for continuous states like off-task. Use it for hitting, calling out, leaving the seat.
ABC recording — for each occurrence you record what came immediately before (antecedent), the behaviour, and what followed (consequence). Strength: the only one of the four that generates a hypothesis about function. Weakness: slow, and you will miss things while writing. Use it when the referral question is why.
▸  Why the method must be chosen before you go
     If you arrive without a method you will default to narrative, and narrative confirms whatever you already believed. Choosing beforehand forces you to operationalise the behaviour — to turn 'disruptive' into something you could count. That operationalisation is half the assessment. If you cannot define the behaviour tightly enough to record it, the referral question is not yet clear, and that is worth discovering before you spend an hour in a classroom.
▸  Reactivity, and what to do about it
     Your presence changes behaviour. Children perform, or freeze, or seek your attention. This is not a flaw to eliminate but a variable to report. Two practical moves: stay long enough that novelty wears off (the first ten minutes are usually unrepresentative), and observe on more than one occasion where possible. In the report, say what you think your presence did. A sentence such as 'Over the first ten minutes the pupil looked towards me repeatedly; this reduced thereafter and the data below are drawn from the remaining period' is more credible than pretending you were invisible.
▸  Looking at the environment, not only the child
     The referral names a child, but the data you need is relational. Count how many times the teacher directs an instruction at this child compared with a peer. Note where the child is seated and what they can see. Note the transition points — most difficulties cluster at transitions rather than during tasks. If you leave with data only about the child, you have produced a within-child account by default, and your formulation will follow it.</t>
        </is>
      </c>
      <c r="Q31" s="165" t="inlineStr">
        <is>
          <t>▸  Sharp, P., Frederickson, N., &amp; Cline, T. (2015). Educational psychology in practice: Observation. In Frederickson &amp; Cline, Special educational needs, inclusion and diversity (3rd ed.). Open University Press. — the chapter on assessment methods.
▸  Department of Education and Skills (2017). Continuum of Support: Guidelines for teachers. NEPS. — read the section on classroom support, so you know what you are observing against.
▸  CORU (2023). Standards of proficiency for educational psychologists. Standards 3.1, 3.2, 5.31.</t>
        </is>
      </c>
      <c r="R31" s="166" t="inlineStr">
        <is>
          <t>✗  Recording interpretation as description — 'he was frustrated' is an inference; 'he pushed the worksheet away and put his head down' is an observation. Write the second and infer later.
✗  Observing only the target child, and producing a within-child formulation by accident.
✗  Generalising from one lesson. One maths lesson on a Friday afternoon is not a profile.
✗  Not agreeing an introduction, so the child is singled out or told something untrue.
✗  Choosing narrative every time because it requires no preparation.</t>
        </is>
      </c>
      <c r="S31" s="154" t="inlineStr">
        <is>
          <t>▸  GRADE 3
     You recorded what happened accurately but could not say why you chose that method.
▸  GRADE 4
     Method chosen and applied correctly; description and interpretation separated; context recorded alongside the child.
▸  GRADE 5
     You can name what your method was blind to, you observed across settings, and your observation answers the referral question rather than describing everything.</t>
        </is>
      </c>
      <c r="T31" s="165" t="inlineStr">
        <is>
          <t>▸  BLOCK 1 · Knowing the methods
     [3–4 hours, once  ·  Weeks 1–2  ·  Study]
     The four observation methods — timed interval, event sampling, ABC recording, narrative — and what each is good and bad at.
     How you build it: Read one methods chapter. Write a one-page comparison. Then use each once.
     ·  Choose a method suited to the referral question
          you have it when: You can say why this one and what another would have missed
          [CORU SoP 3.2]
     ·  Run a timed interval or event sample accurately
          you have it when: Intervals are consistent and the record is legible to someone else
          [CORU SoP 5.6]
     ·  Record antecedent, behaviour and consequence separately
          you have it when: You have not written the cause into the description
          [CORU SoP 2.8]
▸  BLOCK 2 · Entering a setting
     [1 hour, then practice  ·  Weeks 3–6  ·  Practice]
     How to be in a classroom without becoming the event — introduction, positioning, presence.
     How you build it: Ask your supervisor how they introduce themselves. Copy it until you have your own.
     ·  Agree with the teacher how you will be introduced
          you have it when: The child is told something true and is not singled out
          [CORU SoP 1.5 · PSI Code 1.1.1]
     ·  Position yourself to see without becoming the focus
          you have it when: The class settles within a few minutes
          [CORU SoP 5.31]
     ·  Observe without altering what you came to see
          you have it when: You can name how your presence may have changed things
          [PSI Code 2.3.1]
▸  BLOCK 3 · Knowing what to look at
     [Builds over 5–6 observations  ·  Weeks 3–6  ·  Practice]
     The things worth noticing beyond the target behaviour — peer positioning, adult prompting, task demand, transitions.
     How you build it: Observe one child for the referral question, then observe the same lesson again for the context. The second is where the learning is.
     ·  Note peer interaction and social positioning
          you have it when: You can describe where this child sits in the peer group
          [CORU SoP 5.16]
     ·  Note adult interaction and prompting patterns
          you have it when: You have characterised the level of support given
          [CORU SoP 5.14]
     ·  Observe the same child across two settings
          you have it when: You have not generalised from one lesson
          [CORU SoP 3.1]
▸  BLOCK 4 · Turning observation into data
     [2–3 hours, then habit  ·  Weeks 3–6  ·  Habit]
     Keeping description separate from interpretation, and linking what you saw to the question you were asked.
     How you build it: Write both sections separately for five observations. Have one checked.
     ·  Keep description and interpretation separate
          you have it when: Opinion is labelled as opinion throughout
          [CORU SoP 2.8 · PSI Code 4.2.5]
     ·  Link what you observed to the referral question
          you have it when: The observation answers something rather than describing everything
          [CORU SoP 3.4]</t>
        </is>
      </c>
      <c r="U31" s="165" t="inlineStr">
        <is>
          <t>▸  Stage 1 · 0–25%  What observation is actually for
     An observation answers a question that scores cannot. Scores tell you what a child can do under standardised, one-to-one, low-distraction conditions with an adult whose whole attention is on them. That is not a classroom. Observation tells you what the child does in the place where the difficulty was reported, which is almost always where the intervention will have to work.
Description is not interpretation, and the whole discipline rests on keeping them apart. "Pushed the worksheet away" is description. "Was frustrated" is interpretation. "Avoids tasks he finds difficult" is a hypothesis. Write only the first in the observation record. The second belongs in the formulation, where you can be challenged on it. Trainees blur these constantly and it is the single most common reason an observation record is worthless to anyone else.
Reactivity. Your presence changes the classroom. The teacher gives more directions, the target child either performs or freezes, the class watches you. This is not a flaw you can eliminate, only one you can reduce and report. Reduce it by staying longer than you need, sitting where you are not in sightlines, and agreeing a neutral introduction with the teacher beforehand. Report it by saying in the report that you observed for X minutes on one occasion and that your presence may have affected what you saw.
What observation cannot tell you. It cannot tell you why. It can tell you what happens, how often, what comes before and after, and how this child compares to a peer in the same room. Causation requires either a functional analysis in which you manipulate conditions, or convergence with other evidence. A single observation is a snapshot with an n of one.
▸  Stage 2 · 25–50%  Every method, and what each one is for
     There are seven methods you will actually use. Choosing between them before you enter the room is the skill; most trainees default to narrative because it requires no decision, and then find they have pages of prose that answer nothing.
MethodWhat you doUse it whenWhat it cannot tell you
Narrative / running recordWrite continuously in plain language, in sequence, with timestamps every few minutes.You do not yet know what the problem is. First observation of a new referral.Frequency, duration, or comparison. It is descriptive only and does not produce data.
Event / frequency samplingTally each occurrence of a defined behaviour. Define it tightly first — "calls out without hand up" not "disruptive".The behaviour is discrete, countable, and has a clear start and end.How long each episode lasts, or what triggered it.
Duration recordingTime each episode with a stopwatch, from a defined start to a defined end.How long matters more than how often — time off task, time to settle after transition.Frequency patterns, or context.
Whole-interval recordingDivide the period into intervals (say 15 seconds). Mark only if the behaviour occurred for the entire interval.Continuous behaviours you want to be conservative about — on-task engagement.It systematically underestimates. Known bias; say so.
Partial-interval recordingMark if the behaviour occurred at any point in the interval.Brief or high-frequency behaviours that are hard to count individually.It systematically overestimates. Known bias; say so.
Momentary time samplingAt the end of each interval, look up and record whether the behaviour is occurring at that instant.You need an unbiased estimate of how much of the time something occurs, and you want to observe other things in between.Anything about individual episodes. But it is the least biased of the three interval methods and the one to prefer for engagement.
ABC recordingThree columns. Antecedent, behaviour, consequence. Fill all three for every episode, in the moment.You are building a hypothesis about function.Function itself. ABC is descriptive functional assessment, not experimental. It generates a hypothesis; it does not confirm one.
The comparison peer. An observation of a target child alone is nearly uninterpretable, because you have no idea what normal looks like in that room. Pick a same-sex peer of average attainment sitting in a comparable position, and record them on the same schedule. "Target child off task 60% of intervals" means nothing. "Target child off task 60%, comparison peer 25%" is a finding.
▸  Stage 3 · 50–75%  Making it defensible
     Operational definitions. Before you observe, write down what counts. "Off task" must specify: not looking at the work, the teacher, or a peer who is helping, for more than three consecutive seconds. If you cannot write the definition, you cannot record the behaviour reliably, and neither can anyone else.
Inter-observer agreement. The standard check is to have a second observer record simultaneously and compute agreement. Simple percentage agreement is agreements divided by agreements plus disagreements; Cohen's kappa corrects for chance agreement and is the better statistic. You will rarely get a second observer on placement. The honest response is to say so in the report rather than to imply a reliability you did not establish.
Sampling adequacy. One twenty-minute observation in one lesson on one day is a very small sample of a child's week. Two settings minimum, and where you only have one, write in the report that one lesson is what you have. Vary time of day if you can — behaviour before lunch and after lunch are not the same behaviour.
Scheduling. Choose the lesson where the difficulty was reported, not the lesson that is convenient. If the referral is about literacy, observing PE tells you something but not the thing you were asked.
▸  Stage 4 · 75–100%  What experts know that the training does not say
     The psychometrics of classroom observation are weaker than practice assumes. Systematic direct observation has reasonable inter-observer reliability when definitions are tight, but temporal stability is poor — the same child observed on two different days can produce substantially different rates. Published work on observation of classroom behaviour has repeatedly found that a single session is an unreliable estimate of a child's typical behaviour, and that several sessions are needed for a stable estimate. Practising psychologists routinely report a single observation as though it were stable. Know that this is a compromise, and report the number of sessions.
Observer expectancy. You read the referral before you observe. That referral tells you what to look for, and you will find it. This is not carelessness; it is a well-documented effect. Mitigations: define behaviours before reading the referral where possible; record the comparison peer on the same schedule so your bias applies equally to both; record descriptively and interpret afterwards rather than in the room.
Descriptive versus experimental functional assessment. ABC recording is descriptive — you watch what naturally happens. Experimental functional analysis manipulates conditions systematically to test function. Descriptive methods agree with experimental methods less often than practitioners assume, particularly for behaviours maintained by automatic reinforcement. An ABC record supports a hypothesis; it does not establish a function. Write "consistent with" rather than "the function of this behaviour is".
Structured protocols exist and are mostly better than what you will invent. The BOSS (Behavioral Observation of Students in Schools) uses momentary time sampling with a built-in peer comparison. The Student Behavior Teacher Response and similar coded systems capture the interaction rather than the child alone. Using a published protocol gives you a defined behaviour set and an evidence base; inventing your own each time gives you neither.
When not to observe. If the referral question is about attainment rather than behaviour, observation adds little. If the child knows why you are there and is old enough to perform, the observation may be worse than useless. And if the teacher has already given you a clear behavioural account with frequencies, your observation may only confirm it at the cost of a morning.
▸  What to read
     SourceRead it for
Sattler, J. M. (2018). Assessment of children: Cognitive foundations (6th ed.). Sattler Publisher.The observation chapter. The most practical single treatment of the methods.
Frederickson, N., &amp; Cline, T. (2015). Special educational needs, inclusion and diversity (3rd ed.). Open University Press.Observation within an ecological and interactive frame, written for UK/Irish EP practice.
Shapiro, E. S. (2011). Academic skills problems workbook (4th ed.). Guilford.The BOSS protocol and how peer comparison is built into it.
Hintze, J. M. (2005). Psychometrics of direct observation. School Psychology Review, 34(4), 507–519.The reliability and stability problem, stated directly. This is the stage-four reading.
Thompson, R. H., &amp; Iwata, B. A. (2007). A comparison of outcomes from descriptive and functional analyses of problem behavior. Journal of Applied Behavior Analysis, 40(2), 333–338.Why ABC and experimental functional analysis disagree.
▸  Copy and paste
     Click any block to copy it.
Operational definition sheet
Behaviour · Counts as · Does not count as · Minimum duration · Method · Interval · Comparison peer · Settings · Date
ABC recording grid
Time · Antecedent · Behaviour · Consequence, with the descriptive-only caveat built in
Momentary time sampling grid, with peer comparison
20 intervals, target and comparison peer on the same schedule
Observation write-up paragraph
Method, definition, peer comparison, findings, and the limitations sentence that moves a report from a 3 to a 5</t>
        </is>
      </c>
      <c r="V31" s="165" t="inlineStr">
        <is>
          <t>▸  1.1 Attention, concentration and work skills
     FULL ENTRY HERE
▸  1.2 Language skills
     FULL ENTRY HERE
▸  1.6 Co-ordination — fine motor / handwriting, gross motor / PE skills
     FULL ENTRY HERE
▸  2.1 Behaviour in class
     FULL ENTRY HERE
▸  2.2 Behaviour during break times and around the school
     FULL ENTRY HERE
▸  4.1 Friendships and social skills
     full entry under 8. Social communication screening measures</t>
        </is>
      </c>
      <c r="W31" s="165" t="inlineStr">
        <is>
          <t>Table 2 area 1 · Appendix 5 tagged Assessment · Appendix 7 observation · Table 3 tools and categories</t>
        </is>
      </c>
      <c r="X31" s="165" t="inlineStr">
        <is>
          <t>Equal Status Acts 2000–2018 — reasonable accommodation · GDPR — lawful basis, minimisation</t>
        </is>
      </c>
      <c r="Y31" s="165" t="inlineStr">
        <is>
          <t>Year 1 — Extends to health and disability settings in Year 2.</t>
        </is>
      </c>
    </row>
    <row r="32" ht="408.75" customHeight="1" s="128">
      <c r="A32" s="167" t="inlineStr">
        <is>
          <t>AREA</t>
        </is>
      </c>
      <c r="B32" s="167" t="inlineStr">
        <is>
          <t>1. Assessment</t>
        </is>
      </c>
      <c r="C32" s="167" t="n"/>
      <c r="D32" s="167" t="inlineStr">
        <is>
          <t>1. Observation in classroom, playground and clinic</t>
        </is>
      </c>
      <c r="E32" s="167" t="inlineStr">
        <is>
          <t>Referral area</t>
        </is>
      </c>
      <c r="F32" s="168" t="inlineStr">
        <is>
          <t>1.1 Attention, concentration and work skills</t>
        </is>
      </c>
      <c r="G32" s="167" t="inlineStr">
        <is>
          <t>ON THE FORM — Section 5</t>
        </is>
      </c>
      <c r="H32" s="167" t="n"/>
      <c r="I32" s="167" t="n"/>
      <c r="J32" s="167" t="n"/>
      <c r="K32" s="167">
        <f>COUNTIF(Log!$E$3:$E$402,"1.1 Attention, concentration and work skills")</f>
        <v/>
      </c>
      <c r="L32" s="169">
        <f>IF(COUNTIF(Log!$E$3:$E$402,"1.1 Attention, concentration and work skills")=0,"",SUMPRODUCT(MAX((Log!$E$3:$E$402="1.1 Attention, concentration and work skills")*Log!$A$3:$A$402)))</f>
        <v/>
      </c>
      <c r="M32" s="165" t="inlineStr">
        <is>
          <t>DIAGNOSES
▸  ADHD — combined presentation
     DSM-5-TR / ICD-11 6A05
▸  ADHD — predominantly inattentive presentation
     DSM-5-TR / ICD-11 6A05
▸  ADHD — predominantly hyperactive/impulsive presentation
     DSM-5-TR / ICD-11 6A05
▸  Other specified ADHD
     DSM-5-TR / ICD-11 6A05
▸  Unspecified ADHD
     DSM-5-TR / ICD-11 6A05</t>
        </is>
      </c>
      <c r="N32" s="170" t="inlineStr">
        <is>
          <t>PRESENTATIONS WITH NO DIAGNOSIS
▸  Working memory difficulty
     Executive function profile, not a diagnosis
▸  Inhibition difficulty
     Executive function profile
▸  Cognitive flexibility difficulty
     Executive function profile
▸  Planning and organisation difficulty
     Executive function profile
▸  Task initiation difficulty
     Executive function profile
▸  Self-monitoring difficulty
     Executive function profile
▸  Motivation and engagement with work
     Added — not in the conditions index
▸  Work rate and pace of output
     Added
▸  Homework completion and follow-through
     Added
▸  Organisation of materials, books and equipment
     Added
▸  Sustained attention in whole-class vs one-to-one
     Added
▸  Note-taking and recording from the board
     Added
▸  Study skills and revision strategy
     Added
▸  Help-seeking — knowing when and how to ask
     Added
▸  Fatigue, sleep and time-of-day effects on attention
     Added</t>
        </is>
      </c>
      <c r="O32" s="165" t="inlineStr">
        <is>
          <t>REFER TO
▸  CAMHS (complex or medication)
▸  Primary Care
▸  CAMHS
▸  NEPS
▸  GP if persistent</t>
        </is>
      </c>
      <c r="P32" s="165" t="inlineStr">
        <is>
          <t>—</t>
        </is>
      </c>
      <c r="Q32" s="165" t="inlineStr">
        <is>
          <t>▸  Early Years / Pre-School (0–5)
     Structured play observation · developmental history with parent · Preschool/AIM staff consultation · Conners EC (3–6) · no standardised cognitive attention measure at this age — describe, do not score.</t>
        </is>
      </c>
      <c r="R32" s="165" t="inlineStr">
        <is>
          <t>▸  School Age (6–12)
     Classroom observation (momentary time sampling with a comparison peer) · Conners-4 parent and teacher · BRIEF-2 parent and teacher · WISC-V Working Memory and Processing Speed indices · TEA-Ch2 · work-sample analysis.</t>
        </is>
      </c>
      <c r="S32" s="165" t="inlineStr">
        <is>
          <t>▸  Adolescent (13–16)
     Conners-4 including self-report · BRIEF-2 self-report · WISC-V or WAIS-IV depending on age · subject-teacher survey (Form 2 page 8) · study-skills and homework interview · RACE evidence if exam access is in question.</t>
        </is>
      </c>
      <c r="T32" s="165" t="inlineStr">
        <is>
          <t>▸  Young Adult (17–26)
     WAIS-IV · BRIEF-A · self-report interview on study and workload · DSA/reasonable-accommodation evidence for third level · workplace or course demands analysis.</t>
        </is>
      </c>
      <c r="U32" s="165" t="inlineStr">
        <is>
          <t>▸  Special Setting (class or school)
     Same tools, but interpret against the setting norm rather than the mainstream norm · staff consultation on the support already in place · check the referral question is about the pupil and not the placement.</t>
        </is>
      </c>
      <c r="AG32" s="171" t="inlineStr">
        <is>
          <t>Environmental Factors — Family, School, Community
· Family dynamics (including CEC, adopted and CYP with SGOs)
· Siblings, extended family, links and relationship to school and education
· Family stressors
· Financial stress
· Housing
· Home learning environment
· Parental attitude to school/education
· Trauma/significant life events
· Adverse childhood events
· Family views
· Bereavements/relational losses
· Key adults / members of staff (significant relationships both positive and negative in and out of school) and level of school commitment to child
· Travel distance to school
· School attendance
· Child's views/preferences
· School-parent relationship
· Peer group dynamics
· School learning environment
· Access to interventions and support
· Curriculum/exam boards
· Teacher expectations
· Teacher/staff understanding/knowledge
· Attainment-based grouping
· Influences in school and the local community
· Other agency involvement — Police, YOT, CAMHS, Speech and Language Service, Fair Access, SENAT, Virtual School, SGO Advisor, Intensive Planning Team, Prevent, CSE, Early Years, School Nurse, Portage, Early Help, Social and Caring Services Health Services</t>
        </is>
      </c>
      <c r="AH32" s="171" t="inlineStr">
        <is>
          <t>Within-Child — Biological Factors
· Family history including early development, physical development, medical conditions and diagnoses/difficulties
· General health
· Medication
· Dietary needs
· Sensory needs
· Addictions e.g. smoking, drink, drugs</t>
        </is>
      </c>
      <c r="AI32" s="171" t="inlineStr">
        <is>
          <t>Within-Child — Cognitive Factors
ASSESSABLE
· Memory
· Language
· Executive functioning: including emotional and behavioural regulation/development
· Attention and concentration
· Visual spatial ability
· Phonological processing
· Processing speed
· Non-verbal reasoning
· Verbal ability (e.g. word problems, verbal presentation)
· Logical reasoning ability
· Literacy skills
· Attainment
OBSERVATION AND CONSULTATION
· Signs of developmental trauma impacting on ability to participate in learning
· Ability to problem-solve
· Flexibility of thought and action
· Self-awareness</t>
        </is>
      </c>
      <c r="AJ32" s="171" t="inlineStr">
        <is>
          <t>Within-Child — Affective Factors
· Experience of developmental trauma
· Confidence
· Self-esteem
· Emotional understanding and expression
· Sense of enablement
· Sense of self
· Sense of belonging
· Motivation (intrinsic or extrinsic)
· Resiliency
· Mood
· Anxiety
· Aspirations
· Perseverance / determination
· Sense of humour
· Self-control
· Social skills
· Empathy</t>
        </is>
      </c>
      <c r="AK32" s="171" t="inlineStr">
        <is>
          <t>Within-Child — Behavioural Factors
· Ability to develop and maintain friendships and relationships
· Positive achievements
· Care/concern for others, volunteering, helping
· Dangerous or risk-taking behaviour
· Verbal / physical abuse
· Self-harm
· Bullying
· Truancy</t>
        </is>
      </c>
    </row>
    <row r="33" ht="408.75" customHeight="1" s="128">
      <c r="A33" s="167" t="inlineStr">
        <is>
          <t>AREA</t>
        </is>
      </c>
      <c r="B33" s="167" t="inlineStr">
        <is>
          <t>1. Assessment</t>
        </is>
      </c>
      <c r="C33" s="167" t="n"/>
      <c r="D33" s="167" t="inlineStr">
        <is>
          <t>1. Observation in classroom, playground and clinic</t>
        </is>
      </c>
      <c r="E33" s="167" t="inlineStr">
        <is>
          <t>Referral area</t>
        </is>
      </c>
      <c r="F33" s="168" t="inlineStr">
        <is>
          <t>1.2 Language skills</t>
        </is>
      </c>
      <c r="G33" s="167" t="inlineStr">
        <is>
          <t>ON THE FORM — Section 5</t>
        </is>
      </c>
      <c r="H33" s="167" t="n"/>
      <c r="I33" s="167" t="n"/>
      <c r="J33" s="167" t="n"/>
      <c r="K33" s="167">
        <f>COUNTIF(Log!$E$3:$E$402,"1.2 Language skills")</f>
        <v/>
      </c>
      <c r="L33" s="169">
        <f>IF(COUNTIF(Log!$E$3:$E$402,"1.2 Language skills")=0,"",SUMPRODUCT(MAX((Log!$E$3:$E$402="1.2 Language skills")*Log!$A$3:$A$402)))</f>
        <v/>
      </c>
      <c r="M33" s="165" t="inlineStr">
        <is>
          <t>DIAGNOSES
▸  Language Disorder (expressive / receptive / mixed) — DLD
     DSM-5-TR / ICD-11 6A01
▸  Speech Sound Disorder
     DSM-5-TR / ICD-11 6A01
▸  Childhood-Onset Fluency Disorder (stuttering)
     DSM-5-TR / ICD-11 6A01
▸  Unspecified Communication Disorder
     DSM-5-TR / ICD-11 6A01
▸  Selective mutism
     DSM-5-TR anxiety / ICD-11 6B00–6B0Z</t>
        </is>
      </c>
      <c r="N33" s="170" t="inlineStr">
        <is>
          <t>PRESENTATIONS WITH NO DIAGNOSIS
▸  AAC and communication access
     Not a DSM diagnosis
▸  English as an Additional Language (EAL)
     Not a disorder — can mimic language disorder, rule out
▸  Bilingual language development
     Not a disorder
▸  Vocabulary gap from limited exposure
     Added
▸  Participation in oral work and classroom talk
     Added — Form 2 wording
▸  Following multi-step verbal instructions
     Added
▸  Narrative and sequencing in spoken account
     Added
▸  Word-finding difficulty
     Added
▸  Interpreter need and how it changes the assessment
     Added</t>
        </is>
      </c>
      <c r="O33" s="165" t="inlineStr">
        <is>
          <t>REFER TO
▸  NEPS with SLT
▸  NCSE speech and language class
▸  Primary Care (mild–moderate)
▸  CAMHS (severe) — also under 3.2
▸  SLT
▸  CDNT
▸  NEPS
▸  NEPS interpreter request form</t>
        </is>
      </c>
      <c r="P33" s="165" t="inlineStr">
        <is>
          <t>—</t>
        </is>
      </c>
      <c r="Q33" s="165" t="inlineStr">
        <is>
          <t>▸  Early Years / Pre-School (0–5)
     Preschool SLT report if any · parent developmental history (first words, phrases) · play-based language sample · Preschool Language Scales · always establish home language exposure before interpreting.</t>
        </is>
      </c>
      <c r="R33" s="165" t="inlineStr">
        <is>
          <t>▸  School Age (6–12)
     BPVS-3 receptive vocabulary · EVT-3 expressive · CELF-5 via SLT · WISC-V Verbal Comprehension Index · classroom observation of oral participation · teacher report on instruction-following.</t>
        </is>
      </c>
      <c r="S33" s="165" t="inlineStr">
        <is>
          <t>▸  Adolescent (13–16)
     CELF-5 (up to 21) via SLT · WISC-V/WAIS-IV VCI · subject-teacher survey on oral response · self-report on being understood · consider literacy consequences of unresolved DLD.</t>
        </is>
      </c>
      <c r="T33" s="165" t="inlineStr">
        <is>
          <t>▸  Young Adult (17–26)
     WAIS-IV VCI · functional communication interview · course or workplace demands · self-advocacy for communication access.</t>
        </is>
      </c>
      <c r="U33" s="165" t="inlineStr">
        <is>
          <t>▸  Special Setting (class or school)
     Language level of the setting itself · staff consultation on total communication approach · AAC in use and whether it is being used consistently.</t>
        </is>
      </c>
      <c r="AG33" s="171" t="inlineStr">
        <is>
          <t>Environmental Factors — Family, School, Community
· Family dynamics (including CEC, adopted and CYP with SGOs)
· Siblings, extended family, links and relationship to school and education
· Family stressors
· Financial stress
· Housing
· Home learning environment
· Parental attitude to school/education
· Trauma/significant life events
· Adverse childhood events
· Family views
· Bereavements/relational losses
· Key adults / members of staff (significant relationships both positive and negative in and out of school) and level of school commitment to child
· Travel distance to school
· School attendance
· Child's views/preferences
· School-parent relationship
· Peer group dynamics
· School learning environment
· Access to interventions and support
· Curriculum/exam boards
· Teacher expectations
· Teacher/staff understanding/knowledge
· Attainment-based grouping
· Influences in school and the local community
· Other agency involvement — Police, YOT, CAMHS, Speech and Language Service, Fair Access, SENAT, Virtual School, SGO Advisor, Intensive Planning Team, Prevent, CSE, Early Years, School Nurse, Portage, Early Help, Social and Caring Services Health Services</t>
        </is>
      </c>
      <c r="AH33" s="171" t="inlineStr">
        <is>
          <t>Within-Child — Biological Factors
· Family history including early development, physical development, medical conditions and diagnoses/difficulties
· General health
· Medication
· Dietary needs
· Sensory needs
· Addictions e.g. smoking, drink, drugs</t>
        </is>
      </c>
      <c r="AI33" s="171" t="inlineStr">
        <is>
          <t>Within-Child — Cognitive Factors
ASSESSABLE
· Memory
· Language
· Executive functioning: including emotional and behavioural regulation/development
· Attention and concentration
· Visual spatial ability
· Phonological processing
· Processing speed
· Non-verbal reasoning
· Verbal ability (e.g. word problems, verbal presentation)
· Logical reasoning ability
· Literacy skills
· Attainment
OBSERVATION AND CONSULTATION
· Signs of developmental trauma impacting on ability to participate in learning
· Ability to problem-solve
· Flexibility of thought and action
· Self-awareness</t>
        </is>
      </c>
      <c r="AJ33" s="171" t="inlineStr">
        <is>
          <t>Within-Child — Affective Factors
· Experience of developmental trauma
· Confidence
· Self-esteem
· Emotional understanding and expression
· Sense of enablement
· Sense of self
· Sense of belonging
· Motivation (intrinsic or extrinsic)
· Resiliency
· Mood
· Anxiety
· Aspirations
· Perseverance / determination
· Sense of humour
· Self-control
· Social skills
· Empathy</t>
        </is>
      </c>
      <c r="AK33" s="171" t="inlineStr">
        <is>
          <t>Within-Child — Behavioural Factors
· Ability to develop and maintain friendships and relationships
· Positive achievements
· Care/concern for others, volunteering, helping
· Dangerous or risk-taking behaviour
· Verbal / physical abuse
· Self-harm
· Bullying
· Truancy</t>
        </is>
      </c>
    </row>
    <row r="34" ht="408.75" customHeight="1" s="128">
      <c r="A34" s="167" t="inlineStr">
        <is>
          <t>AREA</t>
        </is>
      </c>
      <c r="B34" s="167" t="inlineStr">
        <is>
          <t>1. Assessment</t>
        </is>
      </c>
      <c r="C34" s="167" t="n"/>
      <c r="D34" s="167" t="inlineStr">
        <is>
          <t>1. Observation in classroom, playground and clinic</t>
        </is>
      </c>
      <c r="E34" s="167" t="inlineStr">
        <is>
          <t>Referral area</t>
        </is>
      </c>
      <c r="F34" s="168" t="inlineStr">
        <is>
          <t>1.6 Co-ordination — fine motor / handwriting, gross motor / PE skills</t>
        </is>
      </c>
      <c r="G34" s="167" t="inlineStr">
        <is>
          <t>ON THE FORM — Section 5</t>
        </is>
      </c>
      <c r="H34" s="167" t="n"/>
      <c r="I34" s="167" t="n"/>
      <c r="J34" s="167" t="n"/>
      <c r="K34" s="167">
        <f>COUNTIF(Log!$E$3:$E$402,"1.6 Co-ordination — fine motor / handwriting, gross motor / PE skills")</f>
        <v/>
      </c>
      <c r="L34" s="169">
        <f>IF(COUNTIF(Log!$E$3:$E$402,"1.6 Co-ordination — fine motor / handwriting, gross motor / PE skills")=0,"",SUMPRODUCT(MAX((Log!$E$3:$E$402="1.6 Co-ordination — fine motor / handwriting, gross motor / PE skills")*Log!$A$3:$A$402)))</f>
        <v/>
      </c>
      <c r="M34" s="165" t="inlineStr">
        <is>
          <t>DIAGNOSES
▸  Developmental Coordination Disorder (dyspraxia)
     DSM-5-TR / ICD-11 6A04
▸  Stereotypic Movement Disorder
     DSM-5-TR / ICD-11 6A04
▸  Tourette's Disorder
     DSM-5-TR / ICD-11 Ch.08
▸  Persistent (chronic) motor or vocal tic disorder
     DSM-5-TR / ICD-11 Ch.08
▸  Provisional tic disorder
     DSM-5-TR / ICD-11 Ch.08
▸  Other specified / unspecified tic disorder
     DSM-5-TR / ICD-11 Ch.08
▸  Hypermobility spectrum disorder
     Medical</t>
        </is>
      </c>
      <c r="N34" s="170" t="inlineStr">
        <is>
          <t>PRESENTATIONS WITH NO DIAGNOSIS
▸  Fine motor difficulty (handwriting, pencil grip)
     Not a DSM diagnosis
▸  Gross motor difficulty (PE, balance, ball skills)
     Not a DSM diagnosis
▸  Sensory modulation difficulties (over- or under-responsive)
     Not a DSM diagnosis
▸  Sensory discrimination difficulties
     Not a DSM diagnosis
▸  Motor-based sensory difficulties
     Not a DSM diagnosis
▸  Presentation and care of written work
     Added — Form 2 wording
▸  Self-care and independence skills at school
     Added</t>
        </is>
      </c>
      <c r="O34" s="165" t="inlineStr">
        <is>
          <t>REFER TO
▸  CDNT / Occupational Therapy
▸  CDNT / OT
▸  CAMHS
▸  GP
▸  Paediatrics
▸  Occupational Therapy
▸  OT
▸  Physiotherapy
▸  NEPS</t>
        </is>
      </c>
      <c r="P34" s="165" t="inlineStr">
        <is>
          <t>—</t>
        </is>
      </c>
      <c r="Q34" s="165" t="inlineStr">
        <is>
          <t>▸  Early Years / Pre-School (0–5)
     Movement ABC-2 (3+) · parent report on dressing, feeding, stairs · preschool observation · OT referral is usually the pathway, not NEPS assessment.</t>
        </is>
      </c>
      <c r="R34" s="165" t="inlineStr">
        <is>
          <t>▸  School Age (6–12)
     DCD-Q parent questionnaire · Movement ABC-2 · Beery VMI · DASH handwriting speed · classroom observation of writing posture and grip · OT for diagnosis.</t>
        </is>
      </c>
      <c r="S34" s="165" t="inlineStr">
        <is>
          <t>▸  Adolescent (13–16)
     DASH · Beery VMI · self-report on PE avoidance and social impact · RACE for handwriting (word processor, scribe) · practical-subject demands.</t>
        </is>
      </c>
      <c r="T34" s="165" t="inlineStr">
        <is>
          <t>▸  Young Adult (17–26)
     DASH-17+ · functional and workplace demands · driving, laboratory or practical course requirements.</t>
        </is>
      </c>
      <c r="U34" s="165" t="inlineStr">
        <is>
          <t>▸  Special Setting (class or school)
     Access to the physical environment · equipment and seating in place · OT recommendations already implemented or not.</t>
        </is>
      </c>
      <c r="AG34" s="171" t="inlineStr">
        <is>
          <t>Environmental Factors — Family, School, Community
· Family dynamics (including CEC, adopted and CYP with SGOs)
· Siblings, extended family, links and relationship to school and education
· Family stressors
· Financial stress
· Housing
· Home learning environment
· Parental attitude to school/education
· Trauma/significant life events
· Adverse childhood events
· Family views
· Bereavements/relational losses
· Key adults / members of staff (significant relationships both positive and negative in and out of school) and level of school commitment to child
· Travel distance to school
· School attendance
· Child's views/preferences
· School-parent relationship
· Peer group dynamics
· School learning environment
· Access to interventions and support
· Curriculum/exam boards
· Teacher expectations
· Teacher/staff understanding/knowledge
· Attainment-based grouping
· Influences in school and the local community
· Other agency involvement — Police, YOT, CAMHS, Speech and Language Service, Fair Access, SENAT, Virtual School, SGO Advisor, Intensive Planning Team, Prevent, CSE, Early Years, School Nurse, Portage, Early Help, Social and Caring Services Health Services</t>
        </is>
      </c>
      <c r="AH34" s="171" t="inlineStr">
        <is>
          <t>Within-Child — Biological Factors
· Family history including early development, physical development, medical conditions and diagnoses/difficulties
· General health
· Medication
· Dietary needs
· Sensory needs
· Addictions e.g. smoking, drink, drugs</t>
        </is>
      </c>
      <c r="AI34" s="171" t="inlineStr">
        <is>
          <t>Within-Child — Cognitive Factors
ASSESSABLE
· Memory
· Language
· Executive functioning: including emotional and behavioural regulation/development
· Attention and concentration
· Visual spatial ability
· Phonological processing
· Processing speed
· Non-verbal reasoning
· Verbal ability (e.g. word problems, verbal presentation)
· Logical reasoning ability
· Literacy skills
· Attainment
OBSERVATION AND CONSULTATION
· Signs of developmental trauma impacting on ability to participate in learning
· Ability to problem-solve
· Flexibility of thought and action
· Self-awareness</t>
        </is>
      </c>
      <c r="AJ34" s="171" t="inlineStr">
        <is>
          <t>Within-Child — Affective Factors
· Experience of developmental trauma
· Confidence
· Self-esteem
· Emotional understanding and expression
· Sense of enablement
· Sense of self
· Sense of belonging
· Motivation (intrinsic or extrinsic)
· Resiliency
· Mood
· Anxiety
· Aspirations
· Perseverance / determination
· Sense of humour
· Self-control
· Social skills
· Empathy</t>
        </is>
      </c>
      <c r="AK34" s="171" t="inlineStr">
        <is>
          <t>Within-Child — Behavioural Factors
· Ability to develop and maintain friendships and relationships
· Positive achievements
· Care/concern for others, volunteering, helping
· Dangerous or risk-taking behaviour
· Verbal / physical abuse
· Self-harm
· Bullying
· Truancy</t>
        </is>
      </c>
    </row>
    <row r="35" ht="408.75" customHeight="1" s="128">
      <c r="A35" s="167" t="inlineStr">
        <is>
          <t>AREA</t>
        </is>
      </c>
      <c r="B35" s="167" t="inlineStr">
        <is>
          <t>1. Assessment</t>
        </is>
      </c>
      <c r="C35" s="167" t="n"/>
      <c r="D35" s="167" t="inlineStr">
        <is>
          <t>1. Observation in classroom, playground and clinic</t>
        </is>
      </c>
      <c r="E35" s="167" t="inlineStr">
        <is>
          <t>Referral area</t>
        </is>
      </c>
      <c r="F35" s="168" t="inlineStr">
        <is>
          <t>2.1 Behaviour in class</t>
        </is>
      </c>
      <c r="G35" s="167" t="inlineStr">
        <is>
          <t>ON THE FORM — Section 5</t>
        </is>
      </c>
      <c r="H35" s="167" t="n"/>
      <c r="I35" s="167" t="n"/>
      <c r="J35" s="167" t="n"/>
      <c r="K35" s="167">
        <f>COUNTIF(Log!$E$3:$E$402,"2.1 Behaviour in class")</f>
        <v/>
      </c>
      <c r="L35" s="169">
        <f>IF(COUNTIF(Log!$E$3:$E$402,"2.1 Behaviour in class")=0,"",SUMPRODUCT(MAX((Log!$E$3:$E$402="2.1 Behaviour in class")*Log!$A$3:$A$402)))</f>
        <v/>
      </c>
      <c r="M35" s="165" t="inlineStr">
        <is>
          <t>DIAGNOSES
▸  Oppositional Defiant Disorder — mild
     DSM-5-TR / ICD-11 6C90–6C9Z
▸  Oppositional Defiant Disorder — moderate
     DSM-5-TR / ICD-11 6C90–6C9Z
▸  Oppositional Defiant Disorder — severe
     DSM-5-TR / ICD-11 6C90–6C9Z
▸  Intermittent Explosive Disorder
     DSM-5-TR / ICD-11 6C70–6C7Z
▸  Disruptive Mood Dysregulation Disorder
     DSM-5-TR / ICD-11 6A70–6A7Z</t>
        </is>
      </c>
      <c r="N35" s="170" t="inlineStr">
        <is>
          <t>PRESENTATIONS WITH NO DIAGNOSIS
▸  Behaviour that challenges
     Not a DSM diagnosis
▸  Behaviour function (ABC analysis, trigger-behaviour-consequence)
     Formulation approach, not a diagnosis
▸  Emotion regulation in the classroom
     Added
▸  Response to correction and repair after an incident
     Added
▸  Transitions between activities and between classes
     Added
▸  Behaviour system fit — is the system working for this pupil
     Added
▸  Escalation and de-escalation pattern
     Added
▸  Behaviour as communication of an unmet learning need
     Added — always test this hypothesis</t>
        </is>
      </c>
      <c r="O35" s="165" t="inlineStr">
        <is>
          <t>REFER TO
▸  NEPS (school behaviour)
▸  CAMHS
▸  NEPS
▸  CAMHS (mod–severe)
▸  Primary Care (mild–mod)</t>
        </is>
      </c>
      <c r="P35" s="165" t="inlineStr">
        <is>
          <t>—</t>
        </is>
      </c>
      <c r="Q35" s="165" t="inlineStr">
        <is>
          <t>▸  Early Years / Pre-School (0–5)
     ABC recording by preschool staff · structured observation · parent report on home/setting difference · SDQ (2–4 version) · behaviour at this age is usually developmental — frame it that way.</t>
        </is>
      </c>
      <c r="R35" s="165" t="inlineStr">
        <is>
          <t>▸  School Age (6–12)
     ABC grid across a week · momentary time sampling with peer comparison · SDQ or BASC-3 (TRS and PRS) · functional behaviour assessment · Continuum of Support level check.</t>
        </is>
      </c>
      <c r="S35" s="165" t="inlineStr">
        <is>
          <t>▸  Adolescent (13–16)
     BASC-3 including self-report · subject-teacher survey — is it all classes or some · pupil interview on their account of the incidents · school discipline record.</t>
        </is>
      </c>
      <c r="T35" s="165" t="inlineStr">
        <is>
          <t>▸  Young Adult (17–26)
     Self-report and functional analysis · course or workplace conduct expectations · less likely to be a NEPS referral.</t>
        </is>
      </c>
      <c r="U35" s="165" t="inlineStr">
        <is>
          <t>▸  Special Setting (class or school)
     Behaviour against the setting baseline · staff consistency · whether the environment is generating the behaviour.</t>
        </is>
      </c>
      <c r="AG35" s="171" t="inlineStr">
        <is>
          <t>Environmental Factors — Family, School, Community
· Family dynamics (including CEC, adopted and CYP with SGOs)
· Siblings, extended family, links and relationship to school and education
· Family stressors
· Financial stress
· Housing
· Home learning environment
· Parental attitude to school/education
· Trauma/significant life events
· Adverse childhood events
· Family views
· Bereavements/relational losses
· Key adults / members of staff (significant relationships both positive and negative in and out of school) and level of school commitment to child
· Travel distance to school
· School attendance
· Child's views/preferences
· School-parent relationship
· Peer group dynamics
· School learning environment
· Access to interventions and support
· Curriculum/exam boards
· Teacher expectations
· Teacher/staff understanding/knowledge
· Attainment-based grouping
· Influences in school and the local community
· Other agency involvement — Police, YOT, CAMHS, Speech and Language Service, Fair Access, SENAT, Virtual School, SGO Advisor, Intensive Planning Team, Prevent, CSE, Early Years, School Nurse, Portage, Early Help, Social and Caring Services Health Services</t>
        </is>
      </c>
      <c r="AH35" s="171" t="inlineStr">
        <is>
          <t>Within-Child — Biological Factors
· Family history including early development, physical development, medical conditions and diagnoses/difficulties
· General health
· Medication
· Dietary needs
· Sensory needs
· Addictions e.g. smoking, drink, drugs</t>
        </is>
      </c>
      <c r="AI35" s="171" t="inlineStr">
        <is>
          <t>Within-Child — Cognitive Factors
ASSESSABLE
· Memory
· Language
· Executive functioning: including emotional and behavioural regulation/development
· Attention and concentration
· Visual spatial ability
· Phonological processing
· Processing speed
· Non-verbal reasoning
· Verbal ability (e.g. word problems, verbal presentation)
· Logical reasoning ability
· Literacy skills
· Attainment
OBSERVATION AND CONSULTATION
· Signs of developmental trauma impacting on ability to participate in learning
· Ability to problem-solve
· Flexibility of thought and action
· Self-awareness</t>
        </is>
      </c>
      <c r="AJ35" s="171" t="inlineStr">
        <is>
          <t>Within-Child — Affective Factors
· Experience of developmental trauma
· Confidence
· Self-esteem
· Emotional understanding and expression
· Sense of enablement
· Sense of self
· Sense of belonging
· Motivation (intrinsic or extrinsic)
· Resiliency
· Mood
· Anxiety
· Aspirations
· Perseverance / determination
· Sense of humour
· Self-control
· Social skills
· Empathy</t>
        </is>
      </c>
      <c r="AK35" s="171" t="inlineStr">
        <is>
          <t>Within-Child — Behavioural Factors
· Ability to develop and maintain friendships and relationships
· Positive achievements
· Care/concern for others, volunteering, helping
· Dangerous or risk-taking behaviour
· Verbal / physical abuse
· Self-harm
· Bullying
· Truancy</t>
        </is>
      </c>
    </row>
    <row r="36" ht="408.75" customHeight="1" s="128">
      <c r="A36" s="167" t="inlineStr">
        <is>
          <t>AREA</t>
        </is>
      </c>
      <c r="B36" s="167" t="inlineStr">
        <is>
          <t>1. Assessment</t>
        </is>
      </c>
      <c r="C36" s="167" t="n"/>
      <c r="D36" s="167" t="inlineStr">
        <is>
          <t>1. Observation in classroom, playground and clinic</t>
        </is>
      </c>
      <c r="E36" s="167" t="inlineStr">
        <is>
          <t>Referral area</t>
        </is>
      </c>
      <c r="F36" s="168" t="inlineStr">
        <is>
          <t>2.2 Behaviour during break times and around the school</t>
        </is>
      </c>
      <c r="G36" s="167" t="inlineStr">
        <is>
          <t>ON THE FORM — Section 5</t>
        </is>
      </c>
      <c r="H36" s="167" t="n"/>
      <c r="I36" s="167" t="n"/>
      <c r="J36" s="167" t="n"/>
      <c r="K36" s="167">
        <f>COUNTIF(Log!$E$3:$E$402,"2.2 Behaviour during break times and around the school")</f>
        <v/>
      </c>
      <c r="L36" s="169">
        <f>IF(COUNTIF(Log!$E$3:$E$402,"2.2 Behaviour during break times and around the school")=0,"",SUMPRODUCT(MAX((Log!$E$3:$E$402="2.2 Behaviour during break times and around the school")*Log!$A$3:$A$402)))</f>
        <v/>
      </c>
      <c r="M36" s="165" t="inlineStr">
        <is>
          <t>DIAGNOSES
▸  Conduct Disorder — childhood-onset type
     DSM-5-TR / ICD-11 6C90–6C9Z
▸  Conduct Disorder — adolescent-onset type
     DSM-5-TR / ICD-11 6C90–6C9Z
▸  Conduct Disorder — unspecified onset
     DSM-5-TR / ICD-11 6C90–6C9Z
▸  Pyromania
     DSM-5-TR / ICD-11 6C70–6C7Z
▸  Kleptomania
     DSM-5-TR / ICD-11 6C70–6C7Z
▸  Other specified / unspecified disruptive, impulse-control and conduct disorder
     DSM-5-TR
▸  Substance use disorders (alcohol, cannabis, opioid, stimulant, tobacco, inhalant, sedative, hallucinogen)
     DSM-5-TR / ICD-11 6C40–6C4Z
▸  Gambling Disorder
     DSM-5-TR / ICD-11 6C50–6C5Z
▸  Gaming Disorder / Internet Gaming Disorder
     ICD-11 6C51</t>
        </is>
      </c>
      <c r="N36" s="170" t="inlineStr">
        <is>
          <t>PRESENTATIONS WITH NO DIAGNOSIS
▸  Harmful or sexualised behaviour in children
     Not a DSM diagnosis
▸  Adolescent substance misuse / dual diagnosis
     Not a standalone diagnosis
▸  Unstructured time — yard and corridor as the difficulty
     Added
▸  Supervision ratio and yard layout
     Added
▸  Group dynamics and peer influence
     Added
▸  Risk-taking without a diagnosis attached
     Added</t>
        </is>
      </c>
      <c r="O36" s="165" t="inlineStr">
        <is>
          <t>REFER TO
▸  NEPS
▸  CAMHS
▸  Addiction services
▸  Tusla</t>
        </is>
      </c>
      <c r="P36" s="165" t="inlineStr">
        <is>
          <t>—</t>
        </is>
      </c>
      <c r="Q36" s="165" t="inlineStr">
        <is>
          <t>▸  Early Years / Pre-School (0–5)
     Yard observation · staff report · developmentally, most of this is not yet meaningful — describe rather than classify.</t>
        </is>
      </c>
      <c r="R36" s="165" t="inlineStr">
        <is>
          <t>▸  School Age (6–12)
     Yard observation (event/frequency recording) · sociometric or friendship mapping · SDQ peer subscale · compare classroom vs yard — the difference is the finding.</t>
        </is>
      </c>
      <c r="S36" s="165" t="inlineStr">
        <is>
          <t>▸  Adolescent (13–16)
     Corridor and break observation where possible · pupil interview · school incident record · substance screening is not NEPS work — refer.</t>
        </is>
      </c>
      <c r="T36" s="165" t="inlineStr">
        <is>
          <t>▸  Young Adult (17–26)
     Not typically a NEPS referral at this band.</t>
        </is>
      </c>
      <c r="U36" s="165" t="inlineStr">
        <is>
          <t>▸  Special Setting (class or school)
     Break-time structure in the setting · supported vs unsupported time · staffing at transitions.</t>
        </is>
      </c>
      <c r="AG36" s="171" t="inlineStr">
        <is>
          <t>Environmental Factors — Family, School, Community
· Family dynamics (including CEC, adopted and CYP with SGOs)
· Siblings, extended family, links and relationship to school and education
· Family stressors
· Financial stress
· Housing
· Home learning environment
· Parental attitude to school/education
· Trauma/significant life events
· Adverse childhood events
· Family views
· Bereavements/relational losses
· Key adults / members of staff (significant relationships both positive and negative in and out of school) and level of school commitment to child
· Travel distance to school
· School attendance
· Child's views/preferences
· School-parent relationship
· Peer group dynamics
· School learning environment
· Access to interventions and support
· Curriculum/exam boards
· Teacher expectations
· Teacher/staff understanding/knowledge
· Attainment-based grouping
· Influences in school and the local community
· Other agency involvement — Police, YOT, CAMHS, Speech and Language Service, Fair Access, SENAT, Virtual School, SGO Advisor, Intensive Planning Team, Prevent, CSE, Early Years, School Nurse, Portage, Early Help, Social and Caring Services Health Services</t>
        </is>
      </c>
      <c r="AH36" s="171" t="inlineStr">
        <is>
          <t>Within-Child — Biological Factors
· Family history including early development, physical development, medical conditions and diagnoses/difficulties
· General health
· Medication
· Dietary needs
· Sensory needs
· Addictions e.g. smoking, drink, drugs</t>
        </is>
      </c>
      <c r="AI36" s="171" t="inlineStr">
        <is>
          <t>Within-Child — Cognitive Factors
ASSESSABLE
· Memory
· Language
· Executive functioning: including emotional and behavioural regulation/development
· Attention and concentration
· Visual spatial ability
· Phonological processing
· Processing speed
· Non-verbal reasoning
· Verbal ability (e.g. word problems, verbal presentation)
· Logical reasoning ability
· Literacy skills
· Attainment
OBSERVATION AND CONSULTATION
· Signs of developmental trauma impacting on ability to participate in learning
· Ability to problem-solve
· Flexibility of thought and action
· Self-awareness</t>
        </is>
      </c>
      <c r="AJ36" s="171" t="inlineStr">
        <is>
          <t>Within-Child — Affective Factors
· Experience of developmental trauma
· Confidence
· Self-esteem
· Emotional understanding and expression
· Sense of enablement
· Sense of self
· Sense of belonging
· Motivation (intrinsic or extrinsic)
· Resiliency
· Mood
· Anxiety
· Aspirations
· Perseverance / determination
· Sense of humour
· Self-control
· Social skills
· Empathy</t>
        </is>
      </c>
      <c r="AK36" s="171" t="inlineStr">
        <is>
          <t>Within-Child — Behavioural Factors
· Ability to develop and maintain friendships and relationships
· Positive achievements
· Care/concern for others, volunteering, helping
· Dangerous or risk-taking behaviour
· Verbal / physical abuse
· Self-harm
· Bullying
· Truancy</t>
        </is>
      </c>
    </row>
    <row r="37" ht="408.75" customHeight="1" s="128">
      <c r="A37" s="158" t="inlineStr">
        <is>
          <t>SKILL</t>
        </is>
      </c>
      <c r="B37" s="159" t="inlineStr">
        <is>
          <t>1. Assessment</t>
        </is>
      </c>
      <c r="C37" s="160" t="inlineStr">
        <is>
          <t>▸  Knowing the content
▸  Interview technique
▸  Holding the emotional content</t>
        </is>
      </c>
      <c r="D37" s="161" t="inlineStr">
        <is>
          <t>2. Structured interviewing of parents for developmental history</t>
        </is>
      </c>
      <c r="E37" s="158" t="inlineStr">
        <is>
          <t>Macro skill</t>
        </is>
      </c>
      <c r="F37" s="161" t="inlineStr">
        <is>
          <t>2. Structured interviewing of parents for developmental history</t>
        </is>
      </c>
      <c r="G37" s="162" t="inlineStr">
        <is>
          <t>Everything about this skill is on this row. Scroll right.</t>
        </is>
      </c>
      <c r="H37" s="158" t="n"/>
      <c r="I37" s="158" t="n"/>
      <c r="J37" s="158" t="n"/>
      <c r="K37" s="158">
        <f>COUNTIF(Log!$G$3:$G$402,"2. Structured interviewing of parents for developmental history")</f>
        <v/>
      </c>
      <c r="L37" s="163">
        <f>IF(COUNTIF(Log!$G$3:$G$402,"2. Structured interviewing of parents for developmental history")=0,"",SUMPRODUCT(MAX((Log!$G$3:$G$402="2. Structured interviewing of parents for developmental history")*Log!$A$3:$A$402)))</f>
        <v/>
      </c>
      <c r="M37" s="164" t="inlineStr">
        <is>
          <t>▸  CORU 2.2
     Be able to modify and adapt communication methods and styles, including verbal and non-verbal methods, to suit the individual service user, considering issues of language, age, culture, beliefs and health and/or social care needs
▸  CORU 3.1
     Be able to gather all appropriate background information relevant to the service user's health and social care needs
▸  CORU 5.2
     Demonstrate a critical understanding of relevant biological sciences, human development, social and behavioural sciences and other related sciences, together with a knowledge of health and wellbeing
▸  CORU 5.12
     Know the psychological theories of education, human development, learning and teaching and their application in children, young people and adult learners</t>
        </is>
      </c>
      <c r="N37" s="164" t="inlineStr">
        <is>
          <t>▸  PSI 1.1.1
     Have sensible regard for individual clients' moral and cultural values.
▸  PSI 1.1.3
     Convey respect for and abide by prevailing community mores, social customs, and cultural expectations in their scientific and professional activities.
▸  PSI 1.3.5
     Ensure at least the following are understood: purpose and nature of the activity; mutual responsibilities; likely benefits and risks; alternatives; consequences of non-action; the option to refuse or withdraw at any time without prejudice; the period the consent applies to; and how to rescind consent.
▸  PSI 1.4.1
     Seek as full and active participation as possible from others in decisions which affect them.
▸  PSI 2.2.2
     Recognise the boundaries of their competence, and do not exceed these.
▸  PSI 2.3.1
     Be mindful, when making decisions based on psychological data and techniques, of the limitations of such data and techniques.</t>
        </is>
      </c>
      <c r="O37" s="165" t="inlineStr">
        <is>
          <t>The developmental history is the only source of data covering the first five years, and it is the difference between a profile and a snapshot. It is also the point at which the parent decides whether you are someone they will tell the truth to. Rushing it costs you the information and the relationship at once.</t>
        </is>
      </c>
      <c r="P37" s="165" t="inlineStr">
        <is>
          <t>▸  What the history is actually for
     You are looking for three things. First, timing: when did each domain come online, and were they in step with each other? A child who walked at 11 months and said first words at 30 months has an uneven profile, and unevenness is more informative than delay. Second, trajectory: has the gap widened, narrowed or stayed constant? A constant gap suggests a stable difference; a widening gap suggests the demands are outpacing the skill. Third, discontinuity: was there a point at which something changed, and what else was happening then?
▸  The domains, and the order to take them in
     Pregnancy and birth — complications, prematurity, birth weight, time in special care. Early motor — head control, sitting, crawling, walking. Speech and language — babbling, first words, two-word combinations, and crucially whether anyone was worried. Social and play — eye contact, joint attention, pretend play, interest in other children. Self-care — feeding, sleep, toileting, dressing. Medical — illnesses, hospitalisations, hearing and vision checks, medication. Education — preschool, transitions, previous schools, supports already tried.
Take them in roughly this order because it is chronological and parents can follow it. Do not jump around; a parent who loses the thread gives shorter answers.
▸  Why sleep, feeding and self-care are the ones people skip
     They feel intrusive and they are not obviously psychological. They are also where the most useful information often sits. Persistent sleep difficulty affects attention, mood and learning, and is treatable. Restricted eating can indicate sensory difference. Delayed self-care with intact motor skills points somewhere different from delayed self-care with motor difficulty. Skipping these three is the commonest gap in trainee histories.
▸  Asking about strengths first, and why it is not politeness
     Opening with what the child is good at does two things. It gives you data you will need for the recommendations — you cannot build on a strength you never asked about. And it tells the parent that this is an assessment of a whole child, not a catalogue of deficits, which changes what they are willing to tell you for the next hour.
▸  Handling disclosure without losing the interview
     Parents disclose bereavement, separation, their own mental health, and sometimes safeguarding concerns. The move is: stop the schedule, acknowledge it plainly, ask one follow-up if it is relevant to the child, then signal the return — 'thank you for telling me that. Can I come back to the early years for a moment?' Do not rush past it and do not abandon the interview. If it crosses a child protection threshold the duty is immediate and separate from the assessment.</t>
        </is>
      </c>
      <c r="Q37" s="165" t="inlineStr">
        <is>
          <t>▸  Carr, A. (2016). The handbook of child and adolescent clinical psychology (3rd ed.). Routledge. — the chapter on intake interviewing.
▸  Frederickson, N., &amp; Cline, T. (2015). Special educational needs, inclusion and diversity (3rd ed.). Open University Press.
▸  PSI (2025). Code of professional ethics (5th rev.). Clauses 1.1.3 and 1.3.5 on respect and informed consent.</t>
        </is>
      </c>
      <c r="R37" s="166" t="inlineStr">
        <is>
          <t>✗  Reading questions off a schedule for the first time in the room.
✗  Skipping sleep, feeding and self-care because they feel intrusive.
✗  Accepting 'normal' or 'fine' as an answer without a follow-up.
✗  Taking the history with the child present when the content is sensitive.
✗  Letting the supervisor lead every time — only leading earns a rating of 3 or above.</t>
        </is>
      </c>
      <c r="S37" s="154" t="inlineStr">
        <is>
          <t>▸  GRADE 3
     You covered the schedule with the supervisor leading and the content was complete.
▸  GRADE 4
     You led it, covered every domain including the uncomfortable ones, and followed up ambiguity.
▸  GRADE 5
     You led it, the parent raised something you had not asked about, and you used it.</t>
        </is>
      </c>
      <c r="T37" s="165" t="inlineStr">
        <is>
          <t>▸  BLOCK 1 · Knowing the content
     [4–5 hours, once  ·  Weeks 1–2  ·  Study]
     What a full developmental history covers and why each domain matters — pregnancy, milestones, speech and language, play, sleep, feeding, medical, family.
     How you build it: Build your own schedule from a published one. Writing it is what makes you remember it.
     ·  Prepare the history schedule and read it beforehand
          you have it when: You are not reading questions for the first time in the room
          [CORU SoP 3.1]
     ·  Take pregnancy, birth and neonatal history
          you have it when: You asked about complications without alarming
          [CORU SoP 5.2]
     ·  Take early motor, speech and language milestones
          you have it when: You have dates or approximations, not impressions
          [CORU SoP 5.12]
     ·  Ask about sleep, feeding and self-care
          you have it when: You asked — the three most commonly skipped
          [CORU SoP 5.2]
     ·  Ask about play and peer relationships
          you have it when: You asked about friendships, not only language
          [CORU SoP 5.15]
     ·  Ask about medical history and medication
          you have it when: You asked what effect it has, not just its name
          [CORU SoP 5.19]
▸  BLOCK 2 · Interview technique
     [Builds over 4–5 interviews  ·  Weeks 3–6  ·  Practice]
     How to ask so that you get an account rather than answers — opening, following up, not leading.
     How you build it: Practise on a colleague. Then do three with your supervisor present.
     ·  Open with the parent's own concern, in their words
          you have it when: The parent speaks first and you have not led them
          [CORU SoP 2.3 · PSI Code 1.4.1]
     ·  Ask about strengths before difficulties
          you have it when: Strengths appear in your notes at all
          [CORU SoP 1.3]
     ·  Follow up an ambiguous answer rather than accepting it
          you have it when: You noticed the ambiguity in the moment
          [CORU SoP 3.1]
▸  BLOCK 3 · Holding the emotional content
     [2 hours, then case by case  ·  Weeks 3–6  ·  Practice]
     What to do when a parent becomes upset, discloses, or says something you were not expecting.
     How you build it: Ask your supervisor for three things they say when a parent cries. Have your own version ready.
     ·  Ask about family structure and significant events sensitively
          you have it when: You did not press where the parent hesitated
          [CORU SoP 1.8 · PSI Code 1.1.3]
     ·  Manage emotional disclosure without losing the thread
          you have it when: You held both the person and the task
          [CORU SoP 2.2 · PSI Code 1.1.1]
     ·  Close with what happens next and when
          you have it when: The parent leaves knowing the timeline
          [PSI Code 1.3.5]</t>
        </is>
      </c>
      <c r="U37" s="165" t="inlineStr">
        <is>
          <t>No full chapter yet.</t>
        </is>
      </c>
      <c r="V37" s="165" t="inlineStr">
        <is>
          <t>▸  1.1 Attention, concentration and work skills
     full entry under 1. Observation in classroom, playground and clinic
▸  1.2 Language skills
     full entry under 1. Observation in classroom, playground and clinic
▸  1.3 Comprehension and general ability
     full entry under 4. WISC-V administration to proficiency standard
▸  1.6 Co-ordination — fine motor / handwriting, gross motor / PE skills
     full entry under 1. Observation in classroom, playground and clinic
▸  5.4 Concerns about early development
     FULL ENTRY HERE</t>
        </is>
      </c>
      <c r="W37" s="165" t="inlineStr">
        <is>
          <t>Table 2 area 1 · Appendix 5 tagged Assessment · Appendix 7 observation · Table 3 tools and categories</t>
        </is>
      </c>
      <c r="X37" s="165" t="inlineStr">
        <is>
          <t>Equal Status Acts 2000–2018 — reasonable accommodation · GDPR — lawful basis, minimisation</t>
        </is>
      </c>
      <c r="Y37" s="165" t="inlineStr">
        <is>
          <t>Year 1 — Extends to developmental histories in disability services in Year 2.</t>
        </is>
      </c>
    </row>
    <row r="38" ht="408.75" customHeight="1" s="128">
      <c r="A38" s="167" t="inlineStr">
        <is>
          <t>AREA</t>
        </is>
      </c>
      <c r="B38" s="167" t="inlineStr">
        <is>
          <t>1. Assessment</t>
        </is>
      </c>
      <c r="C38" s="167" t="n"/>
      <c r="D38" s="167" t="inlineStr">
        <is>
          <t>2. Structured interviewing of parents for developmental history</t>
        </is>
      </c>
      <c r="E38" s="167" t="inlineStr">
        <is>
          <t>Referral area</t>
        </is>
      </c>
      <c r="F38" s="168" t="inlineStr">
        <is>
          <t>5.4 Concerns about early development</t>
        </is>
      </c>
      <c r="G38" s="167" t="inlineStr">
        <is>
          <t>ON THE FORM — Section 5</t>
        </is>
      </c>
      <c r="H38" s="167" t="n"/>
      <c r="I38" s="167" t="n"/>
      <c r="J38" s="167" t="n"/>
      <c r="K38" s="167">
        <f>COUNTIF(Log!$E$3:$E$402,"5.4 Concerns about early development")</f>
        <v/>
      </c>
      <c r="L38" s="169">
        <f>IF(COUNTIF(Log!$E$3:$E$402,"5.4 Concerns about early development")=0,"",SUMPRODUCT(MAX((Log!$E$3:$E$402="5.4 Concerns about early development")*Log!$A$3:$A$402)))</f>
        <v/>
      </c>
      <c r="M38" s="165" t="inlineStr">
        <is>
          <t>No diagnoses. Everything here is a presentation.</t>
        </is>
      </c>
      <c r="N38" s="170" t="inlineStr">
        <is>
          <t>PRESENTATIONS WITH NO DIAGNOSIS
▸  Parent-infant mental health / 0–3 attachment work
     Not a DSM diagnosis
▸  Early Intervention Team caseload (0–6, pre-diagnostic)
     Not a DSM diagnosis
▸  Delayed developmental milestones
     Not a DSM diagnosis
▸  AIM level and preschool support already in place
     Added
▸  Transition from preschool to primary
     Added</t>
        </is>
      </c>
      <c r="O38" s="165" t="inlineStr">
        <is>
          <t>REFER TO
▸  CDNT 0–6 teams
▸  Primary Care
▸  CDNT
▸  Public Health Nurse
▸  Paediatrics
▸  AIM
▸  NEPS
▸  SENO</t>
        </is>
      </c>
      <c r="P38" s="165" t="inlineStr">
        <is>
          <t>—</t>
        </is>
      </c>
      <c r="Q38" s="165" t="inlineStr">
        <is>
          <t>▸  Early Years / Pre-School (0–5)
     This is the band. Developmental history · PHN records · Schedule of Growing Skills · Griffiths III via CDNT · AIM and preschool staff consultation · NEPS involvement here is usually consultation, not assessment. This is your hardest band to cover on placement — plan it deliberately.</t>
        </is>
      </c>
      <c r="R38" s="165" t="inlineStr">
        <is>
          <t>▸  School Age (6–12)
     Retrospective developmental history informs the current picture.</t>
        </is>
      </c>
      <c r="S38" s="165" t="inlineStr">
        <is>
          <t>▸  Adolescent (13–16)
     —</t>
        </is>
      </c>
      <c r="T38" s="165" t="inlineStr">
        <is>
          <t>▸  Young Adult (17–26)
     —</t>
        </is>
      </c>
      <c r="U38" s="165" t="inlineStr">
        <is>
          <t>▸  Special Setting (class or school)
     Early intervention class or unit · AIM supports.</t>
        </is>
      </c>
      <c r="AG38" s="171" t="inlineStr">
        <is>
          <t>Environmental Factors — Family, School, Community
· Family dynamics (including CEC, adopted and CYP with SGOs)
· Siblings, extended family, links and relationship to school and education
· Family stressors
· Financial stress
· Housing
· Home learning environment
· Parental attitude to school/education
· Trauma/significant life events
· Adverse childhood events
· Family views
· Bereavements/relational losses
· Key adults / members of staff (significant relationships both positive and negative in and out of school) and level of school commitment to child
· Travel distance to school
· School attendance
· Child's views/preferences
· School-parent relationship
· Peer group dynamics
· School learning environment
· Access to interventions and support
· Curriculum/exam boards
· Teacher expectations
· Teacher/staff understanding/knowledge
· Attainment-based grouping
· Influences in school and the local community
· Other agency involvement — Police, YOT, CAMHS, Speech and Language Service, Fair Access, SENAT, Virtual School, SGO Advisor, Intensive Planning Team, Prevent, CSE, Early Years, School Nurse, Portage, Early Help, Social and Caring Services Health Services</t>
        </is>
      </c>
      <c r="AH38" s="171" t="inlineStr">
        <is>
          <t>Within-Child — Biological Factors
· Family history including early development, physical development, medical conditions and diagnoses/difficulties
· General health
· Medication
· Dietary needs
· Sensory needs
· Addictions e.g. smoking, drink, drugs</t>
        </is>
      </c>
      <c r="AI38" s="171" t="inlineStr">
        <is>
          <t>Within-Child — Cognitive Factors
ASSESSABLE
· Memory
· Language
· Executive functioning: including emotional and behavioural regulation/development
· Attention and concentration
· Visual spatial ability
· Phonological processing
· Processing speed
· Non-verbal reasoning
· Verbal ability (e.g. word problems, verbal presentation)
· Logical reasoning ability
· Literacy skills
· Attainment
OBSERVATION AND CONSULTATION
· Signs of developmental trauma impacting on ability to participate in learning
· Ability to problem-solve
· Flexibility of thought and action
· Self-awareness</t>
        </is>
      </c>
      <c r="AJ38" s="171" t="inlineStr">
        <is>
          <t>Within-Child — Affective Factors
· Experience of developmental trauma
· Confidence
· Self-esteem
· Emotional understanding and expression
· Sense of enablement
· Sense of self
· Sense of belonging
· Motivation (intrinsic or extrinsic)
· Resiliency
· Mood
· Anxiety
· Aspirations
· Perseverance / determination
· Sense of humour
· Self-control
· Social skills
· Empathy</t>
        </is>
      </c>
      <c r="AK38" s="171" t="inlineStr">
        <is>
          <t>Within-Child — Behavioural Factors
· Ability to develop and maintain friendships and relationships
· Positive achievements
· Care/concern for others, volunteering, helping
· Dangerous or risk-taking behaviour
· Verbal / physical abuse
· Self-harm
· Bullying
· Truancy</t>
        </is>
      </c>
    </row>
    <row r="39" ht="408.75" customHeight="1" s="128">
      <c r="A39" s="158" t="inlineStr">
        <is>
          <t>SKILL</t>
        </is>
      </c>
      <c r="B39" s="159" t="inlineStr">
        <is>
          <t>1. Assessment</t>
        </is>
      </c>
      <c r="C39" s="160" t="inlineStr">
        <is>
          <t>▸  Knowing the school system
▸  Getting the right information</t>
        </is>
      </c>
      <c r="D39" s="161" t="inlineStr">
        <is>
          <t>3. Structured interviewing of teachers and SET</t>
        </is>
      </c>
      <c r="E39" s="158" t="inlineStr">
        <is>
          <t>Macro skill</t>
        </is>
      </c>
      <c r="F39" s="161" t="inlineStr">
        <is>
          <t>3. Structured interviewing of teachers and SET</t>
        </is>
      </c>
      <c r="G39" s="162" t="inlineStr">
        <is>
          <t>Everything about this skill is on this row. Scroll right.</t>
        </is>
      </c>
      <c r="H39" s="158" t="n"/>
      <c r="I39" s="158" t="n"/>
      <c r="J39" s="158" t="n"/>
      <c r="K39" s="158">
        <f>COUNTIF(Log!$G$3:$G$402,"3. Structured interviewing of teachers and SET")</f>
        <v/>
      </c>
      <c r="L39" s="163">
        <f>IF(COUNTIF(Log!$G$3:$G$402,"3. Structured interviewing of teachers and SET")=0,"",SUMPRODUCT(MAX((Log!$G$3:$G$402="3. Structured interviewing of teachers and SET")*Log!$A$3:$A$402)))</f>
        <v/>
      </c>
      <c r="M39" s="164" t="inlineStr">
        <is>
          <t>▸  CORU 3.1
     Be able to gather all appropriate background information relevant to the service user's health and social care needs
▸  CORU 5.13
     Know the structures and systems of school, community and social settings in which educational, health and social care services are provided for children, young people and adult learners
▸  CORU 5.14
     Know the impact of structures and systems in which educational services are provided on the development of children, young people and adult learners at individual, group and organisational levels</t>
        </is>
      </c>
      <c r="N39" s="164" t="inlineStr">
        <is>
          <t>▸  PSI 2.2.2
     Recognise the boundaries of their competence, and do not exceed these.
▸  PSI 2.3.1
     Be mindful, when making decisions based on psychological data and techniques, of the limitations of such data and techniques.</t>
        </is>
      </c>
      <c r="O39" s="165" t="inlineStr">
        <is>
          <t>The teacher holds the comparison data you cannot get anywhere else — how this child compares with thirty others doing the same task in the same room. They also hold the intervention history, and without it your recommendations will repeat what has already failed.</t>
        </is>
      </c>
      <c r="P39" s="165" t="inlineStr">
        <is>
          <t>▸  The Continuum of Support, and why you must place the child on it
     NEPS operates a three-level model. Classroom Support is what the class teacher does within ordinary differentiated teaching, planned and reviewed informally. School Support adds targeted intervention for a smaller group, with a written support plan and a review cycle, usually involving the SET. School Support Plus is individualised, often drawing on outside professionals including you, with a detailed plan and formal review.
The level matters because it tells you what has been tried and what the school's next move can realistically be. Recommending School Support for a child already at School Support Plus tells everyone you did not ask.
▸  Allocation versus deployment
     Since 2017 special education teaching hours are allocated to schools on a profiled basis rather than per diagnosis — so a diagnosis does not generate hours. How the school then deploys those hours is a separate decision made internally, and two schools with identical allocations can deploy very differently. When you ask about support, ask both questions: what does the school have, and how has it chosen to use it.
▸  Getting a referral question that can be answered
     Referrals arrive as descriptions, not questions — 'concerns about progress in literacy'. Your job is to convert that into something answerable: is the difficulty specific to literacy or part of a broader profile; is the current intervention appropriate and being delivered as intended; what should happen next. Write your version in one sentence and read it back. If the teacher does not recognise it as theirs, you have not yet got the question.
▸  Asking what has been tried, without it sounding like an audit
     Teachers often expect to be judged. Frame it as information-gathering: 'What have you already tried, and what did you notice when you did?' The second clause matters — it invites observation rather than justification, and it often produces the most useful data in the interview, because a partially effective intervention tells you more than a failed one.</t>
        </is>
      </c>
      <c r="Q39" s="165" t="inlineStr">
        <is>
          <t>▸  Department of Education and Skills (2017). Continuum of Support: Guidelines for teachers. NEPS.
▸  Department of Education (2017). Circular 0013/2017: Special education teaching allocation. — cite the circular number, not 'guidance'.
▸  NCSE (2014). Delivery for students with special educational needs. — background on the allocation model.</t>
        </is>
      </c>
      <c r="R39" s="166" t="inlineStr">
        <is>
          <t>✗  Assuming nothing has been tried.
✗  Not requesting attainment data until after you have met the child.
✗  Taking the referral wording at face value.
✗  Interviewing the person who is available rather than the person who knows the child best.
✗  Not agreeing what feedback the school will get, so expectations diverge.</t>
        </is>
      </c>
      <c r="S39" s="154" t="inlineStr">
        <is>
          <t>▸  GRADE 3
     You gathered what you were asked to gather.
▸  GRADE 4
     You clarified the question, established the Continuum level, and read the attainment data first.
▸  GRADE 5
     You arrived knowing what the school had already tried, and your question was one the teacher recognised as theirs.</t>
        </is>
      </c>
      <c r="T39" s="165" t="inlineStr">
        <is>
          <t>▸  BLOCK 1 · Knowing the school system
     [5–6 hours for the first school  ·  Weeks 1–2  ·  Study]
     How SET allocation works, what the Continuum of Support levels are, and what a school can offer at each.
     How you build it: Read the Continuum documents. Map one school properly.
     ·  Place the child on the Continuum of Support
          you have it when: You know the stage before you recommend anything
          [NEPS Continuum of Support]
     ·  Ask what has already been tried and what happened
          you have it when: You did not assume nothing had been tried
          [CORU SoP 5.13]
     ·  Ask about presentation across the timetable
          you have it when: You know whether it varies by subject or teacher
          [CORU SoP 5.14]
▸  BLOCK 2 · Getting the right information
     [Habit, not hours  ·  Weeks 3–6  ·  Habit]
     Clarifying a vague referral, finding the right informant, and getting the data you need in advance.
     How you build it: Write the referral question in one sentence before every meeting and check it with the teacher.
     ·  Clarify the referral question with the person who raised it
          you have it when: You can state it in one sentence they recognise
          [CORU SoP 3.1]
     ·  Request standardised attainment data in advance
          you have it when: You read it before meeting the child
          [CORU SoP 3.1]
     ·  Ask who knows this child best in the school
          you have it when: You found the right informant, not the available one
          [CORU SoP 3.1]
     ·  Agree what feedback the school gets and when
          you have it when: Expectations set at the start
          [CORU SoP 2.1]</t>
        </is>
      </c>
      <c r="U39" s="165" t="inlineStr">
        <is>
          <t>No full chapter yet.</t>
        </is>
      </c>
      <c r="V39" s="165" t="inlineStr">
        <is>
          <t>▸  1.1 Attention, concentration and work skills
     full entry under 1. Observation in classroom, playground and clinic
▸  1.2 Language skills
     full entry under 1. Observation in classroom, playground and clinic
▸  1.3 Comprehension and general ability
     full entry under 4. WISC-V administration to proficiency standard
▸  2.1 Behaviour in class
     full entry under 1. Observation in classroom, playground and clinic
▸  4.2 Relationships with adults
     full entry under 30. Build rapport with a child during assessment</t>
        </is>
      </c>
      <c r="W39" s="165" t="inlineStr">
        <is>
          <t>NEPS Continuum of Support · Table 2 area 1 · Appendix 5 tagged Assessment · Appendix 7 observation · Table 3 tools and categories</t>
        </is>
      </c>
      <c r="X39" s="165" t="inlineStr">
        <is>
          <t>Equal Status Acts 2000–2018 — reasonable accommodation · GDPR — lawful basis, minimisation</t>
        </is>
      </c>
      <c r="Y39" s="165" t="inlineStr">
        <is>
          <t>Year 1 — Extends to multi-disciplinary informants in Year 2.</t>
        </is>
      </c>
    </row>
    <row r="40" ht="408.75" customHeight="1" s="128">
      <c r="A40" s="158" t="inlineStr">
        <is>
          <t>SKILL</t>
        </is>
      </c>
      <c r="B40" s="159" t="inlineStr">
        <is>
          <t>1. Assessment</t>
        </is>
      </c>
      <c r="C40" s="160" t="inlineStr">
        <is>
          <t>▸  The theory underneath
▸  Knowing the manual
▸  Administration mechanics
▸  The clinical half</t>
        </is>
      </c>
      <c r="D40" s="161" t="inlineStr">
        <is>
          <t>4. WISC-V administration to proficiency standard</t>
        </is>
      </c>
      <c r="E40" s="158" t="inlineStr">
        <is>
          <t>Macro skill</t>
        </is>
      </c>
      <c r="F40" s="161" t="inlineStr">
        <is>
          <t>4. WISC-V administration to proficiency standard</t>
        </is>
      </c>
      <c r="G40" s="162" t="inlineStr">
        <is>
          <t>Everything about this skill is on this row. Scroll right.</t>
        </is>
      </c>
      <c r="H40" s="158" t="n"/>
      <c r="I40" s="158" t="n"/>
      <c r="J40" s="158" t="n"/>
      <c r="K40" s="158">
        <f>COUNTIF(Log!$G$3:$G$402,"4. WISC-V administration to proficiency standard")</f>
        <v/>
      </c>
      <c r="L40" s="163">
        <f>IF(COUNTIF(Log!$G$3:$G$402,"4. WISC-V administration to proficiency standard")=0,"",SUMPRODUCT(MAX((Log!$G$3:$G$402="4. WISC-V administration to proficiency standard")*Log!$A$3:$A$402)))</f>
        <v/>
      </c>
      <c r="M40" s="164" t="inlineStr">
        <is>
          <t>▸  CORU 5.6
     Demonstrate safe and effective implementation of practical, technical and clinical/professional skills
▸  CORU 5.21
     Establish, maintain and conclude a professional relationship with a service user, safely and ethically, recognising and managing professional boundaries
▸  CORU 5.31
     Conduct a range of assessment methods safely and ethically, adapting and re-evaluating their application as appropriate</t>
        </is>
      </c>
      <c r="N40" s="164" t="inlineStr">
        <is>
          <t>▸  PSI 1.4.3
     Respect the right of individuals to discontinue participation or service at any time, and be responsive to non-verbal indications of a desire to discontinue.
▸  PSI 2.2.2
     Recognise the boundaries of their competence, and do not exceed these.
▸  PSI 2.3.1
     Be mindful, when making decisions based on psychological data and techniques, of the limitations of such data and techniques.
▸  PSI 3.3.6
     Take all reasonable steps to ensure tests and assessment methods are only used by those qualified and trained to do so.
▸  PSI 4.3.1
     Respect the right of clients and research participants to receive an appropriate explanation of the nature, purpose and results of investigations, assessments and research findings, in language they can understand.</t>
        </is>
      </c>
      <c r="O40" s="165" t="inlineStr">
        <is>
          <t>The WISC-V is the instrument you will be judged on most directly — there is a proficiency examination, and administration errors are visible on the protocol to anyone who reads it. It is also the instrument most likely to be over-interpreted. Learning to administer it is a few weeks of work. Learning what it does and does not tell you takes the full three years.</t>
        </is>
      </c>
      <c r="P40" s="165" t="inlineStr">
        <is>
          <t>▸  What the test is built on
     The WISC-V is organised around the Cattell–Horn–Carroll (CHC) model, which proposes broad ability domains beneath general ability. The five primary indices map onto CHC constructs: Verbal Comprehension (crystallised ability, Gc) — acquired verbal knowledge and reasoning; Visual Spatial (Gv) — perceiving and manipulating spatial relations; Fluid Reasoning (Gf) — novel problem solving with minimal prior knowledge; Working Memory (Gwm) — holding and manipulating information briefly; Processing Speed (Gs) — speed and accuracy on simple visual tasks.
The separation of Visual Spatial from Fluid Reasoning was the major change from WISC-IV, where both sat inside Perceptual Reasoning. It matters because a child can be strong at spatial construction and weak at abstract reasoning, and the older structure hid that.
▸  Start points, reverse rules, discontinue rules
     Start point: where you begin, determined by the child's age, with a lower start if ability is known or suspected to be low. Reverse rule: if the child fails at or near the start point, you administer earlier items backwards until the criterion is met, establishing a true basal. Discontinue rule: after a specified number of consecutive zero scores you stop, because further items would yield nothing and cost the child confidence.
The rules vary by subtest. There is no general rule to learn — the work is per-subtest memorisation. The reason hesitation is what an examiner watches for is that hesitating tells them you are computing the rule rather than knowing it, and a child notices the pause.
▸  Querying, prompting, and where the line is
     A query is a permitted follow-up when a response is ambiguous or incomplete — usually 'tell me more about that'. The manual specifies which responses may be queried and with what wording. A prompt is a permitted reminder of task demands. Neither may be used to steer the child toward a better answer.
Over-querying is the commonest integrity failure and it comes from decency — you can see the child nearly has it. Every unpermitted query inflates the score and invalidates the comparison to the norm sample, because the norm sample was not queried that way. If you realise you have over-queried, note it on the protocol and flag it in the report.
▸  Confidence intervals and why point scores mislead
     Every obtained score contains measurement error. The confidence interval expresses the range within which the true score probably lies — typically reported at 95%. An FSIQ of 97 with a 95% interval of 92–102 is not meaningfully different from one of 103 with an interval of 98–108, though the point scores look different. Report intervals. Writing 'his IQ is 97' is both technically wrong and practically harmful, because schools act on the number.
▸  When an index is not interpretable
     If the subtests contributing to an index differ substantially from each other (the manual gives the critical values), the index is an average of unlike things and describes no real ability. In that case you report the subtest-level pattern and say the index is not interpretable. This is a genuine skill and it separates a psychologist from an administrator.
▸  The clinical half
     Scores are half the data. The other half is how the child approached the task: did they plan before starting or dive in; what happened after failure; did they ask for help; did they check their work; was performance affected by time pressure specifically. Write behavioural observations for every administration, including practice ones, and compare them against the scores afterwards. That comparison is how the clinical eye develops.</t>
        </is>
      </c>
      <c r="Q40" s="165" t="inlineStr">
        <is>
          <t>▸  Wechsler, D. (2016). WISC-V UK administration and scoring manual. Pearson. — chapters on administration and standard procedure.
▸  Wechsler, D. (2016). WISC-V UK technical and interpretive manual. Pearson. — chapters 1 and 2 for the theoretical structure.
▸  Flanagan, D. P., &amp; Alfonso, V. C. (2017). Essentials of WISC-V assessment. Wiley.
▸  PSI (2025). Code of professional ethics. Clause 3.3.6 — tests used only by those trained to do so.</t>
        </is>
      </c>
      <c r="R40" s="166" t="inlineStr">
        <is>
          <t>✗  Over-querying to help a child succeed.
✗  Continuing past a discontinue rule out of kindness.
✗  Paraphrasing instructions under time pressure.
✗  Recording a gist rather than the verbatim response, so the protocol cannot be re-scored.
✗  Reporting point scores without confidence intervals.
✗  Interpreting an index when subtest scatter makes it uninterpretable.
✗  Taking no behavioural observations, so you have scores and nothing else.</t>
        </is>
      </c>
      <c r="S40" s="154" t="inlineStr">
        <is>
          <t>▸  GRADE 3
     No rule errors, but you were watching the manual rather than the child.
▸  GRADE 4
     Fluent administration, accurate scoring, adaptations annotated as they happened.
▸  GRADE 5
     Fluent enough to watch the child; you can say what the profile does not establish.</t>
        </is>
      </c>
      <c r="T40" s="165" t="inlineStr">
        <is>
          <t>▸  BLOCK 1 · The theory underneath
     [6–8 hours, once  ·  Before placement  ·  Study]
     The CHC model, what each of the five indices claims to measure, and why they are separated.
     How you build it: Technical and Interpretive Manual chapters 1–2, plus one CHC overview paper.
     ·  Understand what each index measures
          you have it when: You can explain VCI and FRI to a parent in plain words
          [CORU SoP 5.1 · 5.15]
     ·  Know what the test does not measure
          you have it when: You can say what a WISC-V cannot tell you
          [PSI Code 2.3.1]
▸  BLOCK 2 · Knowing the manual
     [10–15 hours over several weeks  ·  Before placement  ·  Study]
     Start points by age, reverse rules, discontinue rules, timing, and permitted queries — per subtest, not in general.
     How you build it: Make a one-page crib per subtest. Test yourself until you never reach for the manual.
     ·  Apply start points correctly for age and ability
          you have it when: You knew the rule without checking mid-session
          [CORU SoP 5.6]
     ·  Apply reverse rules without hesitating
          you have it when: Hesitation is what the examiner watches for
          [CORU SoP 5.6]
     ·  Apply discontinue rules correctly
          you have it when: You did not continue past discontinue to be kind
          [CORU SoP 5.6]
     ·  Query and prompt only where the manual permits
          you have it when: You did not over-query to help the child succeed
          [CORU SoP 5.31 · PSI Code 3.3.6]
▸  BLOCK 3 · Administration mechanics
     [15–20 hours  ·  Weeks 1–2  ·  Practice]
     Materials handling, seating, stopwatch, verbatim recording, Q and P notation, pacing.
     How you build it: Practise on adults first, then a child you are not assessing. Six full practice administrations before a real one.
     ·  Prepare and check the kit before the child arrives
          you have it when: Nothing is missing mid-subtest
          [CORU SoP 5.6]
     ·  Set up table and seating correctly
          you have it when: Child sees the stimulus book, you see the record form
          [CORU SoP 5.6]
     ·  Read instructions verbatim
          you have it when: You did not paraphrase under time pressure
          [CORU SoP 5.6]
     ·  Time accurately while managing engagement
          you have it when: Timing did not slip while you managed behaviour
          [CORU SoP 5.6]
     ·  Record responses verbatim including errors
          you have it when: Another psychologist could re-score from your protocol
          [CORU SoP 2.8]
     ·  Use the record form correctly including Q and P
          you have it when: The form is complete and legible
          [CORU SoP 2.10]
▸  BLOCK 4 · The clinical half
     [Builds with every administration  ·  Weeks 7–12  ·  Practice]
     Rapport, reading the child's state, and knowing when to adapt or stop.
     How you build it: Write behavioural observations for every administration including practice ones. Compare them with the scores.
     ·  Establish rapport before beginning
          you have it when: The child looks at ease before subtest one
          [CORU SoP 5.21]
     ·  Explain what will happen in language the child understands
          you have it when: The child could repeat it back roughly
          [PSI Code 4.3.1]
     ·  Notice fatigue, anxiety or disengagement
          you have it when: You noticed before the child told you
          [CORU SoP 5.31]
     ·  Offer a break and record it at the time
          you have it when: Annotated on the protocol
          [CORU SoP 5.31 · Equal Status Acts]
     ·  Stop if the child indicates they want to
          you have it when: You stopped rather than negotiated
          [PSI Code 1.4.3]
     ·  Close so the child leaves feeling competent
          you have it when: How the child walks out
          [CORU SoP 5.21]</t>
        </is>
      </c>
      <c r="U40" s="165" t="inlineStr">
        <is>
          <t>▸  0 – 25% — The instrument and the model beneath it
     What you must understand before you touch the kit. Nobody administers well who does not know what the test claims to measure.
▸  What an IQ score is [3–4 hours · study]
     A standard score is a statement about rank, not about quantity. An FSIQ of 100 means the child performed at the median of the standardisation sample for their age. It does not mean they have 100 units of anything. The scale is set with a mean of 100 and a standard deviation of 15, so roughly 68% of children score between 85 and 115, and roughly 95% between 70 and 130.
Subtest scaled scores use a different metric — mean 10, standard deviation 3. This is why a scaled score of 7 and an index of 85 mean the same thing: both are one standard deviation below the mean. Trainees regularly misread a scaled score of 7 as poor and an index of 85 as borderline, when they are identical statements.
Percentile rank is the most honest thing to report to a school, because it is what people think a standard score means. A score of 85 is the 16th percentile: roughly one child in six scores at or below this. Saying that is clearer than any band label.
▸  The CHC model [6–8 hours · study]
     Cattell–Horn–Carroll theory is the empirical synthesis underlying most modern cognitive batteries. It is hierarchical: a general factor (g) at stratum III, around eight to ten broad abilities at stratum II, and many narrow abilities at stratum I. It emerged from Carroll's 1993 re-analysis of several hundred factor-analytic datasets, merged with Cattell and Horn's fluid–crystallised distinction.
The five WISC-V primary indices map onto CHC broad abilities: Verbal Comprehension to Gc (crystallised knowledge), Visual Spatial to Gv (visual processing), Fluid Reasoning to Gf (fluid reasoning), Working Memory to Gwm (short-term working memory), Processing Speed to Gs.
The WISC-V split Visual Spatial from Fluid Reasoning, which WISC-IV had merged into Perceptual Reasoning. The change matters clinically: a child can build a block design accurately and still be unable to reason about a novel matrix, and the older structure averaged those into one number that described neither.
▸  What each index is actually made of [4–5 hours · study]
     Verbal Comprehension: Similarities (abstract verbal reasoning about category membership) and Vocabulary (word knowledge and expression). Both are heavily influenced by language exposure and schooling, which is why VCI is the index most affected by EAL status and socioeconomic background.
Visual Spatial: Block Design (construction from a model, timed) and Visual Puzzles (mental assembly, no motor component). The pairing is deliberate — a discrepancy between them points at motor or speed factors rather than spatial reasoning.
Fluid Reasoning: Matrix Reasoning (pattern completion) and Figure Weights (quantitative analogical reasoning). Figure Weights is the more demanding and loads more heavily on g.
Working Memory: Digit Span (auditory) and Picture Span (visual). Digit Span itself splits into forward (short-term storage), backward (manipulation) and sequencing (manipulation with reordering) — and these three can dissociate.
Processing Speed: Coding (paired-associate copying under time pressure) and Symbol Search (visual discrimination under time pressure). Both are sensitive to motor speed, attention, anxiety and motivation, which is why a low PSI is the least specific finding on the test.
▸  Test construction concepts you need [5–6 hours · study]
     Standardisation sample: the UK WISC-V was normed on a representative sample stratified by age, sex, parental education and region. Every score you report is a comparison to that sample. This is why departures from standard procedure matter — the sample was not tested that way.
Reliability: the consistency of measurement. Internal consistency for the composites is high (generally above .90 for FSIQ); subtest reliabilities are lower (many in the .80s), which is one statistical reason subtest-level interpretation is weaker than index-level.
Standard error of measurement: derived from reliability, it quantifies how much an obtained score would be expected to vary on retesting. It generates the confidence interval, and it is the reason a point score is a false precision.
Validity: whether the test measures what it claims. Construct validity for the WISC-V rests on factor-analytic evidence, and the adequacy of that evidence is contested — see stage four.
▸  25 – 50% — Administration to standard
     The mechanical competence the proficiency examination tests. Finishable in weeks, and the floor rather than the ceiling.
▸  The rule architecture [10–15 hours · study]
     Three rule types govern every subtest and they exist for different reasons. Start points, determined by age, save time by not administering items the child will almost certainly pass. Reverse rules exist to establish a basal — a point below which you can safely assume all items would be passed — when a child fails at or near their age-appropriate start. Discontinue rules establish a ceiling, stopping after a specified run of zero scores because further items yield no information and cost the child confidence.
The rules differ by subtest and there is no master rule to learn. Build a one-page crib per subtest and test yourself until you never reach for the manual. The reason hesitation is what examiners watch for is that it signals you are computing rather than knowing, and the child hears the pause as a judgement on their answer.
A reversal error is the most consequential administration mistake because it changes the basal, which changes the raw score, which changes the scaled score, which changes the index. It is not a technicality.
▸  Querying and prompting [3–4 hours · study, then practice]
     A query is a permitted follow-up when a response is ambiguous, incomplete, or marked in the manual as queryable. The wording is specified — generally a neutral 'tell me more about that'. A prompt is a permitted reminder of the task demand, also specified.
Over-querying is the commonest integrity failure among trainees and it comes from decency: you can see the child nearly has it. Each unpermitted query inflates the score relative to a norm sample that was not queried that way, so the comparison no longer holds.
Under-querying is a real error too and less discussed. A response that the manual marks as queryable and that you do not query is scored on incomplete information, usually to the child's disadvantage.
If you realise you have queried where you should not, note it on the protocol at the time and flag it in the report. The error is recoverable; the concealment is not.
▸  Recording and the protocol as evidence [habit]
     Record verbatim, including errors, self-corrections and the order in which parts of an answer were given. The test is whether another psychologist could re-score your protocol and arrive at the same scaled scores. If they could not, you have not recorded, you have summarised.
Use the Q and P notation consistently so a reader can see where you queried and prompted. An unannotated protocol looks either perfect or careless, and reviewers assume the latter.
The protocol is a clinical record. It is discoverable, it may be read by a supervisor, an examiner, or in a dispute. Write it as though it will be.
▸  The clinical layer during administration [builds with every administration]
     Scores are half the data. The other half is approach: did the child plan before starting or dive in; what happened after a failure; did they ask for help or work in silence; did they check their answers; was performance worse specifically under time pressure; did they fatigue across the session.
These observations are what make a report about a child rather than about a profile. They also generate the hypotheses the formulation tests. Write three sentences of behavioural observation immediately after every administration, including practice ones, and compare them against the scores afterwards. That comparison is how a clinical eye develops — there is no shortcut and no reading that substitutes for it.
▸  50 – 75% — Scoring and interpretation
     Where most trainees stop, and where the difference between a 3 and a 5 sits.
▸  From raw to reportable [6–8 hours · study]
     Raw scores convert to scaled scores using the age-band table for the child's exact age in years and months. Using the wrong age band is a silent error that produces a plausible but wrong profile — check the date of birth calculation twice.
Scaled scores sum to composites, which convert to index scores. Hand-score three protocols before using software, and have all three checked. Software prevents arithmetic errors; it does not prevent transcription errors, and a single transposed digit changes a composite.
Report the 95% confidence interval with every composite. An FSIQ of 97 (92–102) and one of 103 (98–108) overlap substantially and are not meaningfully different, although the point scores invite a school to treat them as such.
▸  Normative and ipsative comparison [ongoing]
     There are two questions you can ask of any score. The normative question: how does this child compare to other children of the same age? The ipsative question: how does this ability compare to this child's own average? They give different answers and address different concerns.
A child with a uniformly low profile has no ipsative weaknesses but substantial normative ones. A child with a high average profile and one index at 95 has an ipsative weakness at a normatively average level. Confusing the two produces reports that recommend intervention for abilities that are perfectly adequate, or that miss global difficulty because everything is even.
Base rates matter. The manual gives the frequency of any given discrepancy in the standardisation sample. A difference that is statistically significant may still occur in 30% of children, which makes it unremarkable. Always check the base rate before calling something a relative weakness.
▸  When an index cannot be interpreted [ongoing]
     If the two subtests composing an index differ substantially from each other — the manual provides critical values — the index is an average of unlike things and describes no coherent ability. In that case report the subtest-level pattern and state that the index is not interpretable.
The same logic applies upward. A FSIQ derived from widely scattered indices is arithmetically correct and clinically meaningless. Where scatter is substantial, the General Ability Index (which excludes working memory and processing speed) is sometimes more representative — but say why you have used it, because substituting GAI for FSIQ without explanation reads as choosing the flattering number.
▸  The ancillary and complementary indices [4–5 hours · study]
     Beyond the five primary indices the WISC-V offers ancillary composites: Quantitative Reasoning, Auditory Working Memory, Non-verbal, General Ability, and Cognitive Proficiency. Each answers a specific question. The Non-verbal Index is useful where language is a confound — EAL, expressive language difficulty, selective mutism. Cognitive Proficiency combines working memory and processing speed, and a large GAI–CPI split is a recognised pattern in specific learning difficulty.
Complementary subtests cover naming speed, symbol translation and storage and retrieval. These were added with dyslexia assessment in view, and they are the part of the battery trainees most often skip. Whether they add incremental value beyond existing measures is not fully settled — use them deliberately, not reflexively.
▸  Writing interpretation that survives scrutiny [ongoing]
     Interpretation is an argument, not a description. State the pattern, state the evidence for it, state what does not fit, and state what would change your mind. A report that contains no 'however' has almost certainly smoothed something away.
Anchor every claim to a specific finding. 'Working memory difficulties are likely to affect multi-step instructions in class' is defensible if AWMI is low; 'he struggles to concentrate' is not, because the WISC-V does not measure concentration.
Say explicitly what the assessment does not establish. The WISC-V does not diagnose ADHD, autism, or dyslexia. It contributes to a formulation. Writing this plainly is the difference between a psychologist and a scorer.
▸  75 – 100% — What experts know that the manual does not say
     The contested ground. Knowing this is what separates someone who administers the test from someone who can defend its use.
▸  The factor-structure controversy [6–8 hours · reading]
     The five-factor structure the WISC-V reports is not universally accepted. Independent re-analyses using bifactor modelling — principally by Canivez, Watkins and colleagues — have found that the general factor accounts for the large majority of common variance, and that the group factors beyond g account for relatively little once g is extracted.
The practical implication is contested but serious: if the group factors carry little reliable unique variance, index-level interpretation rests on weaker ground than the manual implies, and the FSIQ may be the only score with strong support.
Pearson's position, and that of other researchers, is that the confirmatory models in the technical manual support the five-factor structure and that the bifactor findings do not invalidate index interpretation. This disagreement is live and you should know it exists. The defensible practice is to treat index scores as hypotheses to be corroborated by other evidence, rather than as findings in themselves — which is what a strong report does anyway.
▸  Profile analysis and its evidence base [5–6 hours · reading]
     Subtest profile analysis — inferring specific processing strengths and weaknesses from the shape of the subtest profile — has been standard clinical practice for decades and has substantially poorer empirical support than its popularity suggests. Watkins and others have shown that subtest profiles have limited reliability, limited diagnostic utility and limited value in predicting treatment response.
The core statistical problem is that subtest scores have lower reliability than composites, and difference scores between two unreliable measures are less reliable than either. A dramatic-looking peak or trough may be noise.
What this means in practice is not that you ignore the profile, but that you treat it as hypothesis-generating rather than conclusion-supporting. A pattern is worth pursuing when corroborated by attainment data, observation and history. It is not worth reporting on its own.
▸  The Flynn effect and norm obsolescence [3–4 hours · reading]
     Measured IQ rose across the twentieth century at roughly three points per decade in developed countries — the Flynn effect. Because tests are renormed periodically, a child tested on an older instrument will tend to obtain a higher score than on a newer one, simply because they are compared with an older, lower-performing sample.
The practical consequence is that scores from different instruments or different editions are not interchangeable, and a child near a threshold can move across it by changing test. Where eligibility depends on a cut-off this is a real justice issue, and it is a reason to state the instrument and edition in the report.
Evidence in recent decades is mixed, with some populations showing stagnation or reversal. Do not assume the classic gradient still holds; check the current literature when it matters.
▸  Bias, fairness and what the test cannot see [5–6 hours · reading]
     Group mean differences on cognitive tests are well documented and their interpretation is deeply contested. What is not seriously contested is that measured performance is influenced by language exposure, schooling quality, socioeconomic circumstance, familiarity with testing, and stereotype threat — none of which are properties of the child's cognition.
For EAL children the Verbal Comprehension Index is the most affected and the Non-verbal Index is often the fairer comparison, though no index is culture-free. State the child's language history in the report and interpret verbal scores in that light.
The appropriate professional stance is not to avoid the instrument but to be precise about what a score licenses you to say. A low VCI in a child who has been in English-medium education for eighteen months is a statement about language exposure, not about verbal reasoning capacity.
▸  Knowing when not to use it [ongoing]
     The expert question is not how to administer the WISC-V but whether to. It is the wrong instrument when the referral question is about progress over time (use curriculum-based measurement), about function in context (use observation and consultation), about a specific skill (use a targeted attainment measure), or when a recent administration exists and practice effects would contaminate a retest.
Practice effects on the WISC-V are meaningful over short intervals, particularly on Processing Speed and Visual Spatial subtests. A retest within twelve months should be justified explicitly and interpreted with caution.
Cross-battery assessment approaches argue for selecting subtests across instruments to cover CHC domains the referral question implicates, rather than administering one full battery by default. This is a defensible expert practice and it requires knowing the CHC map well enough to build a battery deliberately.
Choosing not to assess, and saying why, is a higher-level demonstration of the competency than any administration. CORU 3.2 requires you to justify selection; that includes justifying non-selection.</t>
        </is>
      </c>
      <c r="V40" s="165" t="inlineStr">
        <is>
          <t>▸  1.1 Attention, concentration and work skills
     full entry under 1. Observation in classroom, playground and clinic
▸  1.2 Language skills
     full entry under 1. Observation in classroom, playground and clinic
▸  1.3 Comprehension and general ability
     FULL ENTRY HERE</t>
        </is>
      </c>
      <c r="W40" s="165" t="inlineStr">
        <is>
          <t>Table 2 area 1 · Appendix 5 tagged Assessment · Appendix 7 observation · Table 3 tools and categories</t>
        </is>
      </c>
      <c r="X40" s="165" t="inlineStr">
        <is>
          <t>Equal Status Acts · Equal Status Acts 2000–2018 — reasonable accommodation · GDPR — lawful basis, minimisation</t>
        </is>
      </c>
      <c r="Y40" s="165" t="inlineStr">
        <is>
          <t>Year 1 — Proficiency exam in Y1 T2; selection rather than administration becomes the skill from Year 2.</t>
        </is>
      </c>
    </row>
    <row r="41" ht="408.75" customHeight="1" s="128">
      <c r="A41" s="167" t="inlineStr">
        <is>
          <t>AREA</t>
        </is>
      </c>
      <c r="B41" s="167" t="inlineStr">
        <is>
          <t>1. Assessment</t>
        </is>
      </c>
      <c r="C41" s="167" t="n"/>
      <c r="D41" s="167" t="inlineStr">
        <is>
          <t>4. WISC-V administration to proficiency standard</t>
        </is>
      </c>
      <c r="E41" s="167" t="inlineStr">
        <is>
          <t>Referral area</t>
        </is>
      </c>
      <c r="F41" s="168" t="inlineStr">
        <is>
          <t>1.3 Comprehension and general ability</t>
        </is>
      </c>
      <c r="G41" s="167" t="inlineStr">
        <is>
          <t>ON THE FORM — Section 5</t>
        </is>
      </c>
      <c r="H41" s="167" t="n"/>
      <c r="I41" s="167" t="n"/>
      <c r="J41" s="167" t="n"/>
      <c r="K41" s="167">
        <f>COUNTIF(Log!$E$3:$E$402,"1.3 Comprehension and general ability")</f>
        <v/>
      </c>
      <c r="L41" s="169">
        <f>IF(COUNTIF(Log!$E$3:$E$402,"1.3 Comprehension and general ability")=0,"",SUMPRODUCT(MAX((Log!$E$3:$E$402="1.3 Comprehension and general ability")*Log!$A$3:$A$402)))</f>
        <v/>
      </c>
      <c r="M41" s="165" t="inlineStr">
        <is>
          <t>DIAGNOSES
▸  Intellectual Disability — mild
     DSM-5-TR / ICD-11 6A00
▸  Intellectual Disability — moderate
     DSM-5-TR / ICD-11 6A00
▸  Intellectual Disability — severe
     DSM-5-TR / ICD-11 6A00
▸  Intellectual Disability — profound
     DSM-5-TR / ICD-11 6A00
▸  Unspecified Intellectual Disability
     DSM-5-TR / ICD-11 6A00
▸  Global Developmental Delay
     DSM-5-TR / ICD-11 6A00
▸  Borderline Intellectual Functioning (FSIQ approx. 70–79)
     DSM-5-TR V-code
▸  Other specified / unspecified neurodevelopmental disorder
     DSM-5-TR / ICD-11 6A0Z</t>
        </is>
      </c>
      <c r="N41" s="170" t="inlineStr">
        <is>
          <t>PRESENTATIONS WITH NO DIAGNOSIS
▸  Cognitive profile differences (verbal, fluid, working memory, processing speed)
     Not a DSM diagnosis
▸  Underachievement not meeting SLD criteria
     Not a DSM diagnosis
▸  Giftedness / exceptional ability
     Not a DSM diagnosis
▸  Twice exceptional (high ability plus SLD, ADHD or ASD)
     Not a DSM diagnosis
▸  Understanding and responding to adult direction
     Added — Form 2 wording
▸  Curriculum access at the current level
     Added
▸  Interrupted or missed schooling
     Added</t>
        </is>
      </c>
      <c r="O41" s="165" t="inlineStr">
        <is>
          <t>REFER TO
▸  CDNT
▸  NEPS — below GLD threshold, significant school impact
▸  NEPS
▸  Educational Welfare</t>
        </is>
      </c>
      <c r="P41" s="165" t="inlineStr">
        <is>
          <t>—</t>
        </is>
      </c>
      <c r="Q41" s="165" t="inlineStr">
        <is>
          <t>▸  Early Years / Pre-School (0–5)
     WPPSI-IV (2:6–7:7) · Vineland-3 or ABAS-3 adaptive · developmental history · caution: large index gaps are less stable at this age than at school age.</t>
        </is>
      </c>
      <c r="R41" s="165" t="inlineStr">
        <is>
          <t>▸  School Age (6–12)
     WISC-V (6:0–16:11) · WIAT-III for attainment comparison · ABAS-3 or Vineland-3 where ID is in question · GAI instead of FSIQ where index scatter exceeds 23 points.</t>
        </is>
      </c>
      <c r="S41" s="165" t="inlineStr">
        <is>
          <t>▸  Adolescent (13–16)
     WISC-V to 16:11, then WAIS-IV · adaptive measure · attainment · RACE and subject-choice implications · post-school transition planning starts here.</t>
        </is>
      </c>
      <c r="T41" s="165" t="inlineStr">
        <is>
          <t>▸  Young Adult (17–26)
     WAIS-IV · ABAS-3 adult form · functional and vocational focus rather than curriculum · eligibility evidence for adult services.</t>
        </is>
      </c>
      <c r="U41" s="165" t="inlineStr">
        <is>
          <t>▸  Special Setting (class or school)
     Non-verbal options (Leiter-3) where the standard battery is not accessible · adaptive measure is usually more informative than IQ · curriculum is likely L1/L2 LCA — assess against that.</t>
        </is>
      </c>
      <c r="AG41" s="171" t="inlineStr">
        <is>
          <t>Environmental Factors — Family, School, Community
· Family dynamics (including CEC, adopted and CYP with SGOs)
· Siblings, extended family, links and relationship to school and education
· Family stressors
· Financial stress
· Housing
· Home learning environment
· Parental attitude to school/education
· Trauma/significant life events
· Adverse childhood events
· Family views
· Bereavements/relational losses
· Key adults / members of staff (significant relationships both positive and negative in and out of school) and level of school commitment to child
· Travel distance to school
· School attendance
· Child's views/preferences
· School-parent relationship
· Peer group dynamics
· School learning environment
· Access to interventions and support
· Curriculum/exam boards
· Teacher expectations
· Teacher/staff understanding/knowledge
· Attainment-based grouping
· Influences in school and the local community
· Other agency involvement — Police, YOT, CAMHS, Speech and Language Service, Fair Access, SENAT, Virtual School, SGO Advisor, Intensive Planning Team, Prevent, CSE, Early Years, School Nurse, Portage, Early Help, Social and Caring Services Health Services</t>
        </is>
      </c>
      <c r="AH41" s="171" t="inlineStr">
        <is>
          <t>Within-Child — Biological Factors
· Family history including early development, physical development, medical conditions and diagnoses/difficulties
· General health
· Medication
· Dietary needs
· Sensory needs
· Addictions e.g. smoking, drink, drugs</t>
        </is>
      </c>
      <c r="AI41" s="171" t="inlineStr">
        <is>
          <t>Within-Child — Cognitive Factors
ASSESSABLE
· Memory
· Language
· Executive functioning: including emotional and behavioural regulation/development
· Attention and concentration
· Visual spatial ability
· Phonological processing
· Processing speed
· Non-verbal reasoning
· Verbal ability (e.g. word problems, verbal presentation)
· Logical reasoning ability
· Literacy skills
· Attainment
OBSERVATION AND CONSULTATION
· Signs of developmental trauma impacting on ability to participate in learning
· Ability to problem-solve
· Flexibility of thought and action
· Self-awareness</t>
        </is>
      </c>
      <c r="AJ41" s="171" t="inlineStr">
        <is>
          <t>Within-Child — Affective Factors
· Experience of developmental trauma
· Confidence
· Self-esteem
· Emotional understanding and expression
· Sense of enablement
· Sense of self
· Sense of belonging
· Motivation (intrinsic or extrinsic)
· Resiliency
· Mood
· Anxiety
· Aspirations
· Perseverance / determination
· Sense of humour
· Self-control
· Social skills
· Empathy</t>
        </is>
      </c>
      <c r="AK41" s="171" t="inlineStr">
        <is>
          <t>Within-Child — Behavioural Factors
· Ability to develop and maintain friendships and relationships
· Positive achievements
· Care/concern for others, volunteering, helping
· Dangerous or risk-taking behaviour
· Verbal / physical abuse
· Self-harm
· Bullying
· Truancy</t>
        </is>
      </c>
    </row>
    <row r="42" ht="408.75" customHeight="1" s="128">
      <c r="A42" s="158" t="inlineStr">
        <is>
          <t>SKILL</t>
        </is>
      </c>
      <c r="B42" s="159" t="inlineStr">
        <is>
          <t>1. Assessment</t>
        </is>
      </c>
      <c r="C42" s="160" t="inlineStr">
        <is>
          <t>▸  Selection
▸  Administration
▸  Scoring
▸  Interpretation</t>
        </is>
      </c>
      <c r="D42" s="161" t="inlineStr">
        <is>
          <t>5. WIAT administration, scoring and interpretation</t>
        </is>
      </c>
      <c r="E42" s="158" t="inlineStr">
        <is>
          <t>Macro skill</t>
        </is>
      </c>
      <c r="F42" s="161" t="inlineStr">
        <is>
          <t>5. WIAT administration, scoring and interpretation</t>
        </is>
      </c>
      <c r="G42" s="162" t="inlineStr">
        <is>
          <t>Everything about this skill is on this row. Scroll right.</t>
        </is>
      </c>
      <c r="H42" s="158" t="n"/>
      <c r="I42" s="158" t="n"/>
      <c r="J42" s="158" t="n"/>
      <c r="K42" s="158">
        <f>COUNTIF(Log!$G$3:$G$402,"5. WIAT administration, scoring and interpretation")</f>
        <v/>
      </c>
      <c r="L42" s="163">
        <f>IF(COUNTIF(Log!$G$3:$G$402,"5. WIAT administration, scoring and interpretation")=0,"",SUMPRODUCT(MAX((Log!$G$3:$G$402="5. WIAT administration, scoring and interpretation")*Log!$A$3:$A$402)))</f>
        <v/>
      </c>
      <c r="M42" s="164" t="inlineStr">
        <is>
          <t>▸  CORU 3.2
     Be able to justify the selection of and implement appropriate assessment techniques and be able to undertake and record a thorough, sensitive and detailed assessment
▸  CORU 3.3
     Be able to determine the appropriate tests/assessments required and undertake/arrange these tests
▸  CORU 5.6
     Demonstrate safe and effective implementation of practical, technical and clinical/professional skills
▸  CORU 5.32
     Interpret, synthesise and critically evaluate assessment data, within relevant conceptual frameworks, to inform case formulation and psychological intervention planning</t>
        </is>
      </c>
      <c r="N42" s="164" t="inlineStr">
        <is>
          <t>▸  PSI 2.2.2
     Recognise the boundaries of their competence, and do not exceed these.
▸  PSI 2.3.1
     Be mindful, when making decisions based on psychological data and techniques, of the limitations of such data and techniques.
▸  PSI 4.2.2
     Take due care to avoid misrepresentation, exaggeration, distortion or errors in reporting assessment results, research findings or service effectiveness, and act quickly to correct any such error.</t>
        </is>
      </c>
      <c r="O42" s="165" t="inlineStr">
        <is>
          <t>Attainment testing answers a different question from cognitive testing: not what can this child do in principle, but what have they learned. The interesting data is in the relationship between the two, and that relationship is the most misused finding in educational psychology.</t>
        </is>
      </c>
      <c r="P42" s="165" t="inlineStr">
        <is>
          <t>▸  Choosing subtests, and why you must justify omission
     A full battery is rarely warranted. Select for the referral question: word reading and reading comprehension for a literacy referral; numerical operations and maths problem solving for numeracy; spelling and written expression where writing is the concern. Write your rationale before you assess. If you cannot justify the battery beforehand, the battery is wrong — and a report reviewer will notice that you tested everything rather than deciding anything.
▸  The ability–attainment discrepancy, and its limits
     A gap between measured ability and measured attainment was once treated as diagnostic of a specific learning difficulty. It no longer is, for three reasons. Regression to the mean makes some discrepancy statistically expected. The discrepancy model identifies children late, because a young child has not yet had time to fall far enough behind. And it systematically misses children whose ability score is itself depressed by the difficulty — a child with a reading difficulty scores lower on verbal subtests because of reduced print exposure.
What a discrepancy does tell you is that attainment is out of step with other functioning, which warrants explanation. It does not by itself name the explanation. Say that in the report.
▸  Basal, ceiling and the mechanics of scoring
     Attainment subtests use basal and ceiling rules rather than the reverse-rule structure of cognitive subtests. Establish the basal by working backwards until the required consecutive correct responses are obtained; stop at the ceiling after the required consecutive errors. Score the same day, while you can still read your own handwriting and recall ambiguous responses. Check every raw-to-scaled conversion: a single transcription error changes a composite, and composites are what people act on.
▸  Curriculum-based measurement as an alternative
     Standardised attainment tests tell you where a child sits against a norm group. They do not tell you whether an intervention is working, because they are insensitive to short-term change and cannot be repeated frequently. Curriculum-based measures — brief, repeatable probes drawn from the curriculum — are better for monitoring. Use the standardised test to establish the profile; use CBM to track progress. Knowing when not to reach for the standardised instrument is part of the competency.</t>
        </is>
      </c>
      <c r="Q42" s="165" t="inlineStr">
        <is>
          <t>▸  Wechsler, D. (2017). WIAT-III UK administration and scoring manual. Pearson.
▸  Fletcher, J. M., Lyon, G. R., Fuchs, L. S., &amp; Barnes, M. A. (2019). Learning disabilities: From identification to intervention (2nd ed.). Guilford. — the chapter on identification models.
▸  CORU (2023). Standards of proficiency. Standards 3.2, 3.3, 5.32.</t>
        </is>
      </c>
      <c r="R42" s="166" t="inlineStr">
        <is>
          <t>✗  Administering the full battery because it is there.
✗  Treating a discrepancy as a diagnosis.
✗  Reporting point scores without intervals.
✗  Leaving scoring to accumulate until the end of the week.
✗  Not noticing a score that contradicts everything else and reporting it anyway.</t>
        </is>
      </c>
      <c r="S42" s="154" t="inlineStr">
        <is>
          <t>▸  GRADE 3
     Scores are correct and reported as points.
▸  GRADE 4
     Battery justified in writing, intervals applied, discrepancy interpreted cautiously.
▸  GRADE 5
     You reported ranges and said what the gap does not prove.</t>
        </is>
      </c>
      <c r="T42" s="165" t="inlineStr">
        <is>
          <t>▸  BLOCK 1 · Selection
     [2 hours, then 10 minutes per case  ·  Weeks 3–6  ·  Habit]
     Which subtests answer which question, and what omitting one costs you.
     How you build it: Write your rationale before assessing, for five cases.
     ·  Select subtests matched to the referral question
          you have it when: You can justify omitting what you omitted
          [CORU SoP 3.2 · 3.3]
▸  BLOCK 2 · Administration
     [6–8 hours  ·  Weeks 3–6  ·  Practice]
     Standard administration of reading, spelling and numerical subtests.
     How you build it: Three supervised practice administrations.
     ·  Administer to standard
          you have it when: Errors would not change the composite
          [CORU SoP 5.6]
▸  BLOCK 3 · Scoring
     [6–8 hours, then 45 min per protocol  ·  Weeks 3–6  ·  Study]
     Raw to scaled conversion, composites, confidence intervals.
     How you build it: Score three protocols by hand before using software. Have all three checked.
     ·  Score the protocol the same day
          you have it when: Scoring is not left to accumulate
          [CORU SoP 2.8]
     ·  Check every raw-to-scaled conversion
          you have it when: One transcription error changes an index
          [CORU SoP 5.6]
     ·  Apply confidence intervals rather than point scores
          you have it when: The report does not imply false precision
          [PSI Code 4.2.2]
▸  BLOCK 4 · Interpretation
     [Ongoing — Year 3 competence  ·  Ongoing all year  ·  Practice]
     What an attainment–ability discrepancy does and does not establish.
     How you build it: Read three reports by experienced EPs. Bring one profile to supervision.
     ·  Compare attainment against cognitive profile appropriately
          you have it when: You know what the discrepancy does not mean
          [CORU SoP 5.32 · PSI Code 2.3.1]
     ·  Notice a score you do not believe and check it
          you have it when: You re-scored rather than reported it
          [CORU SoP 3.4]</t>
        </is>
      </c>
      <c r="U42" s="165" t="inlineStr">
        <is>
          <t>No full chapter yet.</t>
        </is>
      </c>
      <c r="V42" s="165" t="inlineStr">
        <is>
          <t>▸  1.3 Comprehension and general ability
     full entry under 4. WISC-V administration to proficiency standard
▸  1.4 Literacy — reading (fluency / comprehension), writing and spelling
     FULL ENTRY HERE
▸  1.5 Maths skills — concepts and computation
     FULL ENTRY HERE</t>
        </is>
      </c>
      <c r="W42" s="165" t="inlineStr">
        <is>
          <t>Table 2 area 1 · Appendix 5 tagged Assessment · Appendix 7 observation · Table 3 tools and categories</t>
        </is>
      </c>
      <c r="X42" s="165" t="inlineStr">
        <is>
          <t>Equal Status Acts 2000–2018 — reasonable accommodation · GDPR — lawful basis, minimisation</t>
        </is>
      </c>
      <c r="Y42" s="165" t="inlineStr">
        <is>
          <t>Year 1 — Joined by other attainment batteries in Year 2.</t>
        </is>
      </c>
    </row>
    <row r="43" ht="408.75" customHeight="1" s="128">
      <c r="A43" s="167" t="inlineStr">
        <is>
          <t>AREA</t>
        </is>
      </c>
      <c r="B43" s="167" t="inlineStr">
        <is>
          <t>1. Assessment</t>
        </is>
      </c>
      <c r="C43" s="167" t="n"/>
      <c r="D43" s="167" t="inlineStr">
        <is>
          <t>5. WIAT administration, scoring and interpretation</t>
        </is>
      </c>
      <c r="E43" s="167" t="inlineStr">
        <is>
          <t>Referral area</t>
        </is>
      </c>
      <c r="F43" s="168" t="inlineStr">
        <is>
          <t>1.4 Literacy — reading (fluency / comprehension), writing and spelling</t>
        </is>
      </c>
      <c r="G43" s="167" t="inlineStr">
        <is>
          <t>ON THE FORM — Section 5</t>
        </is>
      </c>
      <c r="H43" s="167" t="n"/>
      <c r="I43" s="167" t="n"/>
      <c r="J43" s="167" t="n"/>
      <c r="K43" s="167">
        <f>COUNTIF(Log!$E$3:$E$402,"1.4 Literacy — reading (fluency / comprehension), writing and spelling")</f>
        <v/>
      </c>
      <c r="L43" s="169">
        <f>IF(COUNTIF(Log!$E$3:$E$402,"1.4 Literacy — reading (fluency / comprehension), writing and spelling")=0,"",SUMPRODUCT(MAX((Log!$E$3:$E$402="1.4 Literacy — reading (fluency / comprehension), writing and spelling")*Log!$A$3:$A$402)))</f>
        <v/>
      </c>
      <c r="M43" s="165" t="inlineStr">
        <is>
          <t>DIAGNOSES
▸  Specific Learning Disorder with impairment in reading (dyslexia)
     DSM-5-TR
▸  Specific Learning Disorder with impairment in written expression (dysgraphia)
     DSM-5-TR</t>
        </is>
      </c>
      <c r="N43" s="170" t="inlineStr">
        <is>
          <t>PRESENTATIONS WITH NO DIAGNOSIS
▸  Auditory processing concerns
     Not a DSM diagnosis
▸  Literacy difficulty not meeting SLD criteria
     Added
▸  Reading stamina and avoidance of reading aloud
     Added
▸  Handwriting speed and legibility under time pressure
     Added
▸  Spelling as a barrier to written output
     Added
▸  Assistive technology not yet trialled
     Added
▸  Instruction history — what has actually been taught
     Added — rule out before concluding disorder</t>
        </is>
      </c>
      <c r="O43" s="165" t="inlineStr">
        <is>
          <t>REFER TO
▸  NEPS
▸  Audiology
▸  SLT
▸  OT if motor
▸  SENO</t>
        </is>
      </c>
      <c r="P43" s="165" t="inlineStr">
        <is>
          <t>—</t>
        </is>
      </c>
      <c r="Q43" s="165" t="inlineStr">
        <is>
          <t>▸  Early Years / Pre-School (0–5)
     Pre-literacy only: phonological awareness, rhyme, alliteration, letter-sound knowledge · print awareness · do not assess for dyslexia at this age — describe the precursors.</t>
        </is>
      </c>
      <c r="R43" s="165" t="inlineStr">
        <is>
          <t>▸  School Age (6–12)
     WIAT-III (Word Reading, Reading Comprehension, Spelling, Written Expression) · Neale Analysis · YARC · school Micra-T/Drumcondra · phonological processing · compare against WISC-V and against instruction received.</t>
        </is>
      </c>
      <c r="S43" s="165" t="inlineStr">
        <is>
          <t>▸  Adolescent (13–16)
     WIAT-III · DASH (handwriting speed) · exam-script analysis · RACE evidence — spelling and grammar waiver, reader, scribe, word processor · subject-teacher survey.</t>
        </is>
      </c>
      <c r="T43" s="165" t="inlineStr">
        <is>
          <t>▸  Young Adult (17–26)
     WIAT-III or WRAT-5 adult norms · DASH-17+ · DSA evidence for third level · workplace literacy demands.</t>
        </is>
      </c>
      <c r="U43" s="165" t="inlineStr">
        <is>
          <t>▸  Special Setting (class or school)
     Assess against the setting curriculum · functional literacy (signs, forms, money) may matter more than standardised scores.</t>
        </is>
      </c>
      <c r="AG43" s="171" t="inlineStr">
        <is>
          <t>Environmental Factors — Family, School, Community
· Family dynamics (including CEC, adopted and CYP with SGOs)
· Siblings, extended family, links and relationship to school and education
· Family stressors
· Financial stress
· Housing
· Home learning environment
· Parental attitude to school/education
· Trauma/significant life events
· Adverse childhood events
· Family views
· Bereavements/relational losses
· Key adults / members of staff (significant relationships both positive and negative in and out of school) and level of school commitment to child
· Travel distance to school
· School attendance
· Child's views/preferences
· School-parent relationship
· Peer group dynamics
· School learning environment
· Access to interventions and support
· Curriculum/exam boards
· Teacher expectations
· Teacher/staff understanding/knowledge
· Attainment-based grouping
· Influences in school and the local community
· Other agency involvement — Police, YOT, CAMHS, Speech and Language Service, Fair Access, SENAT, Virtual School, SGO Advisor, Intensive Planning Team, Prevent, CSE, Early Years, School Nurse, Portage, Early Help, Social and Caring Services Health Services</t>
        </is>
      </c>
      <c r="AH43" s="171" t="inlineStr">
        <is>
          <t>Within-Child — Biological Factors
· Family history including early development, physical development, medical conditions and diagnoses/difficulties
· General health
· Medication
· Dietary needs
· Sensory needs
· Addictions e.g. smoking, drink, drugs</t>
        </is>
      </c>
      <c r="AI43" s="171" t="inlineStr">
        <is>
          <t>Within-Child — Cognitive Factors
ASSESSABLE
· Memory
· Language
· Executive functioning: including emotional and behavioural regulation/development
· Attention and concentration
· Visual spatial ability
· Phonological processing
· Processing speed
· Non-verbal reasoning
· Verbal ability (e.g. word problems, verbal presentation)
· Logical reasoning ability
· Literacy skills
· Attainment
OBSERVATION AND CONSULTATION
· Signs of developmental trauma impacting on ability to participate in learning
· Ability to problem-solve
· Flexibility of thought and action
· Self-awareness</t>
        </is>
      </c>
      <c r="AJ43" s="171" t="inlineStr">
        <is>
          <t>Within-Child — Affective Factors
· Experience of developmental trauma
· Confidence
· Self-esteem
· Emotional understanding and expression
· Sense of enablement
· Sense of self
· Sense of belonging
· Motivation (intrinsic or extrinsic)
· Resiliency
· Mood
· Anxiety
· Aspirations
· Perseverance / determination
· Sense of humour
· Self-control
· Social skills
· Empathy</t>
        </is>
      </c>
      <c r="AK43" s="171" t="inlineStr">
        <is>
          <t>Within-Child — Behavioural Factors
· Ability to develop and maintain friendships and relationships
· Positive achievements
· Care/concern for others, volunteering, helping
· Dangerous or risk-taking behaviour
· Verbal / physical abuse
· Self-harm
· Bullying
· Truancy</t>
        </is>
      </c>
    </row>
    <row r="44" ht="408.75" customHeight="1" s="128">
      <c r="A44" s="167" t="inlineStr">
        <is>
          <t>AREA</t>
        </is>
      </c>
      <c r="B44" s="167" t="inlineStr">
        <is>
          <t>1. Assessment</t>
        </is>
      </c>
      <c r="C44" s="167" t="n"/>
      <c r="D44" s="167" t="inlineStr">
        <is>
          <t>5. WIAT administration, scoring and interpretation</t>
        </is>
      </c>
      <c r="E44" s="167" t="inlineStr">
        <is>
          <t>Referral area</t>
        </is>
      </c>
      <c r="F44" s="168" t="inlineStr">
        <is>
          <t>1.5 Maths skills — concepts and computation</t>
        </is>
      </c>
      <c r="G44" s="167" t="inlineStr">
        <is>
          <t>ON THE FORM — Section 5</t>
        </is>
      </c>
      <c r="H44" s="167" t="n"/>
      <c r="I44" s="167" t="n"/>
      <c r="J44" s="167" t="n"/>
      <c r="K44" s="167">
        <f>COUNTIF(Log!$E$3:$E$402,"1.5 Maths skills — concepts and computation")</f>
        <v/>
      </c>
      <c r="L44" s="169">
        <f>IF(COUNTIF(Log!$E$3:$E$402,"1.5 Maths skills — concepts and computation")=0,"",SUMPRODUCT(MAX((Log!$E$3:$E$402="1.5 Maths skills — concepts and computation")*Log!$A$3:$A$402)))</f>
        <v/>
      </c>
      <c r="M44" s="165" t="inlineStr">
        <is>
          <t>DIAGNOSES
▸  Specific Learning Disorder with impairment in mathematics (dyscalculia)
     DSM-5-TR</t>
        </is>
      </c>
      <c r="N44" s="170" t="inlineStr">
        <is>
          <t>PRESENTATIONS WITH NO DIAGNOSIS
▸  Numeracy difficulty not meeting SLD criteria
     Added
▸  Maths anxiety
     Added
▸  Number sense and estimation
     Added
▸  Recall of number facts vs procedural method
     Added
▸  Word problems — reading as the barrier, not the maths
     Added
▸  Working memory load in multi-step calculation
     Added</t>
        </is>
      </c>
      <c r="O44" s="165" t="inlineStr">
        <is>
          <t>REFER TO
▸  NEPS</t>
        </is>
      </c>
      <c r="P44" s="165" t="inlineStr">
        <is>
          <t>—</t>
        </is>
      </c>
      <c r="Q44" s="165" t="inlineStr">
        <is>
          <t>▸  Early Years / Pre-School (0–5)
     Early number concepts: counting, one-to-one correspondence, subitising, comparison · observation during play · no standardised maths measure.</t>
        </is>
      </c>
      <c r="R44" s="165" t="inlineStr">
        <is>
          <t>▸  School Age (6–12)
     WIAT-III Numerical Operations and Maths Problem Solving · Sigma-T · error analysis on actual work · separate the reading load from the calculation load.</t>
        </is>
      </c>
      <c r="S44" s="165" t="inlineStr">
        <is>
          <t>▸  Adolescent (13–16)
     WIAT-III maths subtests · Junior Certificate results · subject-teacher survey · calculator and formula-sheet access · RACE.</t>
        </is>
      </c>
      <c r="T44" s="165" t="inlineStr">
        <is>
          <t>▸  Young Adult (17–26)
     WIAT-III/WRAT-5 adult norms · functional numeracy (budgeting, time, measurement) · course-specific demands.</t>
        </is>
      </c>
      <c r="U44" s="165" t="inlineStr">
        <is>
          <t>▸  Special Setting (class or school)
     Functional numeracy against the setting curriculum · practical application over standardised score.</t>
        </is>
      </c>
      <c r="AG44" s="171" t="inlineStr">
        <is>
          <t>Environmental Factors — Family, School, Community
· Family dynamics (including CEC, adopted and CYP with SGOs)
· Siblings, extended family, links and relationship to school and education
· Family stressors
· Financial stress
· Housing
· Home learning environment
· Parental attitude to school/education
· Trauma/significant life events
· Adverse childhood events
· Family views
· Bereavements/relational losses
· Key adults / members of staff (significant relationships both positive and negative in and out of school) and level of school commitment to child
· Travel distance to school
· School attendance
· Child's views/preferences
· School-parent relationship
· Peer group dynamics
· School learning environment
· Access to interventions and support
· Curriculum/exam boards
· Teacher expectations
· Teacher/staff understanding/knowledge
· Attainment-based grouping
· Influences in school and the local community
· Other agency involvement — Police, YOT, CAMHS, Speech and Language Service, Fair Access, SENAT, Virtual School, SGO Advisor, Intensive Planning Team, Prevent, CSE, Early Years, School Nurse, Portage, Early Help, Social and Caring Services Health Services</t>
        </is>
      </c>
      <c r="AH44" s="171" t="inlineStr">
        <is>
          <t>Within-Child — Biological Factors
· Family history including early development, physical development, medical conditions and diagnoses/difficulties
· General health
· Medication
· Dietary needs
· Sensory needs
· Addictions e.g. smoking, drink, drugs</t>
        </is>
      </c>
      <c r="AI44" s="171" t="inlineStr">
        <is>
          <t>Within-Child — Cognitive Factors
ASSESSABLE
· Memory
· Language
· Executive functioning: including emotional and behavioural regulation/development
· Attention and concentration
· Visual spatial ability
· Phonological processing
· Processing speed
· Non-verbal reasoning
· Verbal ability (e.g. word problems, verbal presentation)
· Logical reasoning ability
· Literacy skills
· Attainment
OBSERVATION AND CONSULTATION
· Signs of developmental trauma impacting on ability to participate in learning
· Ability to problem-solve
· Flexibility of thought and action
· Self-awareness</t>
        </is>
      </c>
      <c r="AJ44" s="171" t="inlineStr">
        <is>
          <t>Within-Child — Affective Factors
· Experience of developmental trauma
· Confidence
· Self-esteem
· Emotional understanding and expression
· Sense of enablement
· Sense of self
· Sense of belonging
· Motivation (intrinsic or extrinsic)
· Resiliency
· Mood
· Anxiety
· Aspirations
· Perseverance / determination
· Sense of humour
· Self-control
· Social skills
· Empathy</t>
        </is>
      </c>
      <c r="AK44" s="171" t="inlineStr">
        <is>
          <t>Within-Child — Behavioural Factors
· Ability to develop and maintain friendships and relationships
· Positive achievements
· Care/concern for others, volunteering, helping
· Dangerous or risk-taking behaviour
· Verbal / physical abuse
· Self-harm
· Bullying
· Truancy</t>
        </is>
      </c>
    </row>
    <row r="45" ht="408.75" customHeight="1" s="128">
      <c r="A45" s="158" t="inlineStr">
        <is>
          <t>SKILL</t>
        </is>
      </c>
      <c r="B45" s="159" t="inlineStr">
        <is>
          <t>1. Assessment</t>
        </is>
      </c>
      <c r="C45" s="160" t="inlineStr">
        <is>
          <t>▸  Seeing the pattern
▸  Writing the synthesis</t>
        </is>
      </c>
      <c r="D45" s="161" t="inlineStr">
        <is>
          <t>6. Synthesise findings from multiple sources into one profile</t>
        </is>
      </c>
      <c r="E45" s="158" t="inlineStr">
        <is>
          <t>Macro skill</t>
        </is>
      </c>
      <c r="F45" s="161" t="inlineStr">
        <is>
          <t>6. Synthesise findings from multiple sources into one profile</t>
        </is>
      </c>
      <c r="G45" s="162" t="inlineStr">
        <is>
          <t>Everything about this skill is on this row. Scroll right.</t>
        </is>
      </c>
      <c r="H45" s="158" t="n"/>
      <c r="I45" s="158" t="n"/>
      <c r="J45" s="158" t="n"/>
      <c r="K45" s="158">
        <f>COUNTIF(Log!$G$3:$G$402,"6. Synthesise findings from multiple sources into one profile")</f>
        <v/>
      </c>
      <c r="L45" s="163">
        <f>IF(COUNTIF(Log!$G$3:$G$402,"6. Synthesise findings from multiple sources into one profile")=0,"",SUMPRODUCT(MAX((Log!$G$3:$G$402="6. Synthesise findings from multiple sources into one profile")*Log!$A$3:$A$402)))</f>
        <v/>
      </c>
      <c r="M45" s="164" t="inlineStr">
        <is>
          <t>▸  CORU 3.4
     Be able to analyse and critically evaluate the information collected in the assessment process
▸  CORU 5.27
     Be able to produce clear, concise, accessible and accurate reports — devised in collaboration with service users, as appropriate — that are suitable for the intended audience and context of their use, in order to communicate and justify professional opinions made
▸  CORU 5.32
     Interpret, synthesise and critically evaluate assessment data, within relevant conceptual frameworks, to inform case formulation and psychological intervention planning</t>
        </is>
      </c>
      <c r="N45" s="164" t="inlineStr">
        <is>
          <t>▸  PSI 2.3.1
     Be mindful, when making decisions based on psychological data and techniques, of the limitations of such data and techniques.
▸  PSI 4.2.6
     Not suppress disconfirming evidence of their findings and views, and acknowledge alternative hypotheses and explanations.</t>
        </is>
      </c>
      <c r="O45" s="165" t="inlineStr">
        <is>
          <t>This is the section that separates a report from a test-results printout, and it is where most trainee reports lose marks. Anyone can list scores; the psychologist's contribution is the judgement about what they mean together.</t>
        </is>
      </c>
      <c r="P45" s="165" t="inlineStr">
        <is>
          <t>▸  Convergence, divergence, and weighting
     Lay every source on one page: cognitive profile, attainment, observation, parent report, teacher report, the child's own account. Mark where they agree and where they do not. Convergence across independent sources is your strongest evidence. Divergence needs explaining — and the explanation is often the finding. Where you weight one source over another, say which and why. 'The teacher report and classroom observation converge; the parent report differs, which may reflect the different demands of the home setting' is a defensible sentence.
▸  Writing integration rather than a list
     The failing structure is: here are the WISC results, here are the WIAT results, here is what the teacher said. The reader is left to synthesise, and they will not. The working structure is a paragraph that begins 'Taken together, these findings indicate…' and then names the pattern, followed by a sentence naming what does not fit. If you never write a sentence containing the word 'however', you have probably smoothed something away.
▸  Not suppressing disconfirming evidence
     PSI clause 4.2.6 requires you not to suppress evidence that disconfirms your conclusion. In practice the suppression is rarely deliberate — you form a view early and stop noticing the data that does not fit. The countermeasure is procedural: before writing, list what your formulation does not explain. If the list is empty, you have not looked.
▸  Limitations, and why every report needs one
     A limitations paragraph states what the assessment did not cover and what that constrains. Typical content: domains not assessed, single-occasion data, instruments normed on other populations, information not available. It costs five minutes, it evidences CORU 1.2 and PSI 2.3.1 directly, and it is absent from most trainee reports. It is the cheapest mark in the portfolio.</t>
        </is>
      </c>
      <c r="Q45" s="165" t="inlineStr">
        <is>
          <t>▸  PSI (2025). Code of professional ethics (5th rev.). Clauses 4.2.5 and 4.2.6.
▸  Monsen, J., &amp; Frederickson, N. (2008). The Monsen et al. problem-analysis framework. In Frederickson, Miller &amp; Cline (Eds.), Educational psychology. Hodder.
▸  CORU (2023). Standards of proficiency. Standards 3.4, 5.27, 5.32.</t>
        </is>
      </c>
      <c r="R45" s="166" t="inlineStr">
        <is>
          <t>✗  Reporting test by test and calling it integration.
✗  Never writing a sentence beginning 'however'.
✗  Omitting the limitations paragraph.
✗  Weighting a source without saying you have done so.</t>
        </is>
      </c>
      <c r="S45" s="154" t="inlineStr">
        <is>
          <t>▸  GRADE 3
     You listed each test in turn.
▸  GRADE 4
     An integration section exists, names convergence, and includes limitations.
▸  GRADE 5
     The reader is not left to do the synthesis; divergence is named and explained.</t>
        </is>
      </c>
      <c r="T45" s="165" t="inlineStr">
        <is>
          <t>▸  BLOCK 1 · Seeing the pattern
     [Habit — 30 minutes per case  ·  Weeks 3–6  ·  Habit]
     Recognising convergence and divergence across sources rather than reporting each separately.
     How you build it: Lay every source on one page before writing. Mark agreements in one colour and disagreements in another.
     ·  Identify where sources converge
          you have it when: Convergence is stated rather than assumed
          [CORU SoP 3.4]
     ·  Identify where sources diverge and say so
          you have it when: Discrepancy is named rather than smoothed away
          [CORU SoP 3.4 · PSI Code 4.2.6]
     ·  Judge which source to weight and why
          you have it when: The weighting is defensible and written down
          [CORU SoP 5.32]
▸  BLOCK 2 · Writing the synthesis
     [Ongoing · 1–2 hours per report initially  ·  Weeks 7–12  ·  Practice]
     Producing an integration section rather than a list of test results.
     How you build it: Draft one and have it torn apart in supervision. It is the hardest thing to learn from written feedback alone.
     ·  Write an integration section rather than a list
          you have it when: The reader is not left to do the synthesis
          [CORU SoP 5.27]
     ·  Ask whether the profile answers the referral question
          you have it when: You noticed if it did not
          [CORU SoP 3.4]
     ·  State what you did not assess and what that limits
          you have it when: A limitations paragraph exists
          [CORU SoP 1.2 · PSI Code 2.3.1]</t>
        </is>
      </c>
      <c r="U45" s="165" t="inlineStr">
        <is>
          <t>No full chapter yet.</t>
        </is>
      </c>
      <c r="V45" s="165" t="inlineStr">
        <is>
          <t>▸  1.1 Attention, concentration and work skills
     full entry under 1. Observation in classroom, playground and clinic
▸  1.2 Language skills
     full entry under 1. Observation in classroom, playground and clinic
▸  1.3 Comprehension and general ability
     full entry under 4. WISC-V administration to proficiency standard
▸  1.4 Literacy — reading (fluency / comprehension), writing and spelling
     full entry under 5. WIAT administration, scoring and interpretation
▸  1.5 Maths skills — concepts and computation
     full entry under 5. WIAT administration, scoring and interpretation
▸  4.1 Friendships and social skills
     full entry under 8. Social communication screening measures
▸  5.1 Vision
     full entry under 10. Adapt standardised procedure and record the adaptation
▸  5.2 Hearing
     full entry under 10. Adapt standardised procedure and record the adaptation
▸  5.3 Medical condition or other diagnosis
     full entry under 10. Adapt standardised procedure and record the adaptation</t>
        </is>
      </c>
      <c r="W45" s="165" t="inlineStr">
        <is>
          <t>Table 2 area 1 · Appendix 5 tagged Assessment · Appendix 7 observation · Table 3 tools and categories</t>
        </is>
      </c>
      <c r="X45" s="165" t="inlineStr">
        <is>
          <t>Equal Status Acts 2000–2018 — reasonable accommodation · GDPR — lawful basis, minimisation</t>
        </is>
      </c>
      <c r="Y45" s="165" t="inlineStr">
        <is>
          <t>Year 1 — Becomes the core of the Year 2 case study.</t>
        </is>
      </c>
    </row>
    <row r="46" ht="408.75" customHeight="1" s="128">
      <c r="A46" s="158" t="inlineStr">
        <is>
          <t>SKILL</t>
        </is>
      </c>
      <c r="B46" s="159" t="inlineStr">
        <is>
          <t>1. Assessment</t>
        </is>
      </c>
      <c r="C46" s="160" t="inlineStr">
        <is>
          <t>▸  The reading model underneath
▸  Administering the battery
▸  Turning a profile into advice</t>
        </is>
      </c>
      <c r="D46" s="161" t="inlineStr">
        <is>
          <t>7. Phonological and literacy measures</t>
        </is>
      </c>
      <c r="E46" s="158" t="inlineStr">
        <is>
          <t>Macro skill</t>
        </is>
      </c>
      <c r="F46" s="161" t="inlineStr">
        <is>
          <t>7. Phonological and literacy measures</t>
        </is>
      </c>
      <c r="G46" s="162" t="inlineStr">
        <is>
          <t>Everything about this skill is on this row. Scroll right.</t>
        </is>
      </c>
      <c r="H46" s="158" t="n"/>
      <c r="I46" s="158" t="n"/>
      <c r="J46" s="158" t="n"/>
      <c r="K46" s="158">
        <f>COUNTIF(Log!$G$3:$G$402,"7. Phonological and literacy measures")</f>
        <v/>
      </c>
      <c r="L46" s="163">
        <f>IF(COUNTIF(Log!$G$3:$G$402,"7. Phonological and literacy measures")=0,"",SUMPRODUCT(MAX((Log!$G$3:$G$402="7. Phonological and literacy measures")*Log!$A$3:$A$402)))</f>
        <v/>
      </c>
      <c r="M46" s="164" t="inlineStr">
        <is>
          <t>▸  CORU 3.3
     Be able to determine the appropriate tests/assessments required and undertake/arrange these tests
▸  CORU 5.28
     Be able to critically evaluate the theory and application of a range of assessment methods used in educational psychology to identify psychological, educational and developmental needs at individual and group levels
▸  CORU 5.32
     Interpret, synthesise and critically evaluate assessment data, within relevant conceptual frameworks, to inform case formulation and psychological intervention planning</t>
        </is>
      </c>
      <c r="N46" s="164" t="inlineStr">
        <is>
          <t>▸  PSI 2.2.2
     Recognise the boundaries of their competence, and do not exceed these.
▸  PSI 2.3.1
     Be mindful, when making decisions based on psychological data and techniques, of the limitations of such data and techniques.</t>
        </is>
      </c>
      <c r="O46" s="165" t="inlineStr">
        <is>
          <t>Literacy referrals are the largest single category you will meet in Irish primary schools. The assessment is only useful if it leads to a specific intervention, which means you need to know both the reading model and what the schools on your patch can actually deliver.</t>
        </is>
      </c>
      <c r="P46" s="165" t="inlineStr">
        <is>
          <t>▸  The simple view of reading
     Reading comprehension is the product of decoding and language comprehension — not the sum. If either is near zero, comprehension is near zero. This gives you four profiles: good decoding and good language (typical); poor decoding and good language (dyslexic profile); good decoding and poor language (poor comprehender, often missed because they read aloud fluently); poor at both (mixed).
The profile determines the intervention. Phonics for a poor decoder is appropriate; phonics for a poor comprehender is a waste of the child's time. Establishing which you have is the point of the assessment.
▸  The phonological deficit hypothesis
     The dominant account of developmental dyslexia holds that the core difficulty is in representing and manipulating the sound structure of language, which impairs the mapping between graphemes and phonemes. Three measures are standardly taken: phonological awareness (can the child segment, blend and manipulate sounds); rapid automatised naming (how quickly can they retrieve familiar labels — a naming-speed deficit is partly separable from a phonological one); and phonological working memory (non-word repetition, digit span).
The double-deficit hypothesis proposes that children weak in both phonological awareness and naming speed have the most severe difficulty — worth checking rather than assuming a single cause.
▸  Specific versus general
     Before concluding a specific difficulty, check the cognitive profile. A child whose reading is weak alongside generally low measured ability has a different picture from one whose reading is weak against average or above ability. Neither is more deserving of support, but they call for different interventions and different expectations. Do not write 'specific' unless you have checked.
▸  From profile to provision
     Write the recommendation before you look at the programme list, then check what the school holds. A structured, cumulative, multisensory phonics programme delivered four times weekly for twenty minutes by the SET, reviewed at six weeks, is a recommendation. 'Recommend phonics support' is not. Specify who, how often, how long, and when it will be reviewed.</t>
        </is>
      </c>
      <c r="Q46" s="165" t="inlineStr">
        <is>
          <t>▸  Hulme, C., &amp; Snowling, M. J. (2013). Developmental disorders of language learning and cognition. Wiley-Blackwell.
▸  Snowling, M. J., Hulme, C., &amp; Nation, K. (2020). Defining and understanding dyslexia. Oxford Review of Education, 46(4), 501–513.
▸  Department of Education and Skills (2017). Continuum of Support: Guidelines for teachers. NEPS.</t>
        </is>
      </c>
      <c r="R46" s="166" t="inlineStr">
        <is>
          <t>✗  Recommending phonics for a poor comprehender.
✗  Concluding a specific difficulty without checking the cognitive profile.
✗  Reporting composites without saying what they do and do not establish.
✗  Recommending a programme the school does not have and cannot get.</t>
        </is>
      </c>
      <c r="S46" s="154" t="inlineStr">
        <is>
          <t>▸  GRADE 3
     You named the profile without linking it to provision.
▸  GRADE 4
     Battery administered and scored correctly; profile interpreted against the cognitive picture.
▸  GRADE 5
     The recommendation follows visibly from the finding and the SET could start on Monday.</t>
        </is>
      </c>
      <c r="T46" s="165" t="inlineStr">
        <is>
          <t>▸  BLOCK 1 · The reading model underneath
     [4–5 hours, once  ·  Weeks 1–2  ·  Study]
     The simple view of reading, the phonological deficit hypothesis, and what a dyslexia profile actually looks like.
     How you build it: One chapter on reading development plus one on dyslexia. Write a half-page summary of each.
     ·  Explain why phonological awareness matters for reading
          you have it when: You can explain it to a teacher without notes
          [CORU SoP 5.12]
     ·  Distinguish a specific difficulty from a general one
          you have it when: You check the cognitive profile before concluding
          [CORU SoP 3.4 · 5.17]
▸  BLOCK 2 · Administering the battery
     [5–6 hours  ·  Weeks 3–6  ·  Practice]
     CTOPP-2 or equivalent — timing, error recording, scoring the composites.
     How you build it: Two supervised practice administrations, then score both by hand.
     ·  Administer phonological awareness subtests to standard
          you have it when: Administration is fluent and timing accurate
          [CORU SoP 5.6]
     ·  Administer rapid naming tasks accurately
          you have it when: You timed and recorded errors correctly
          [CORU SoP 5.6]
     ·  Score the phonological composites correctly
          you have it when: Composites calculated and checked
          [CORU SoP 5.6]
▸  BLOCK 3 · Turning a profile into advice
     [Habit per case  ·  Weeks 7–12  ·  Habit]
     Linking what the profile shows to an intervention the school can deliver.
     How you build it: Write the recommendation before you look at the programme list. Then check what is available.
     ·  Interpret a phonological profile in context
          you have it when: You can say what it does and does not establish
          [CORU SoP 5.32 · PSI Code 2.3.1]
     ·  Link the profile to what the school can deliver
          you have it when: The recommendation follows from the finding
          [CORU SoP 5.34]</t>
        </is>
      </c>
      <c r="U46" s="165" t="inlineStr">
        <is>
          <t>No full chapter yet.</t>
        </is>
      </c>
      <c r="V46" s="165" t="inlineStr">
        <is>
          <t>▸  1.4 Literacy — reading (fluency / comprehension), writing and spelling
     full entry under 5. WIAT administration, scoring and interpretation
▸  5.2 Hearing
     full entry under 10. Adapt standardised procedure and record the adaptation</t>
        </is>
      </c>
      <c r="W46" s="165" t="inlineStr">
        <is>
          <t>Table 2 area 1 · Appendix 5 tagged Assessment · Appendix 7 observation · Table 3 tools and categories</t>
        </is>
      </c>
      <c r="X46" s="165" t="inlineStr">
        <is>
          <t>Equal Status Acts 2000–2018 — reasonable accommodation · GDPR — lawful basis, minimisation</t>
        </is>
      </c>
      <c r="Y46" s="165" t="inlineStr">
        <is>
          <t>Year 1 — Extends to full dyslexia assessment in Year 2.</t>
        </is>
      </c>
    </row>
    <row r="47" ht="408.75" customHeight="1" s="128">
      <c r="A47" s="158" t="inlineStr">
        <is>
          <t>SKILL</t>
        </is>
      </c>
      <c r="B47" s="159" t="inlineStr">
        <is>
          <t>1. Assessment</t>
        </is>
      </c>
      <c r="C47" s="160" t="inlineStr">
        <is>
          <t>▸  Knowing what a screen is
▸  Administering and integrating
▸  Recognising atypical presentation</t>
        </is>
      </c>
      <c r="D47" s="161" t="inlineStr">
        <is>
          <t>8. Social communication screening measures</t>
        </is>
      </c>
      <c r="E47" s="158" t="inlineStr">
        <is>
          <t>Macro skill</t>
        </is>
      </c>
      <c r="F47" s="161" t="inlineStr">
        <is>
          <t>8. Social communication screening measures</t>
        </is>
      </c>
      <c r="G47" s="162" t="inlineStr">
        <is>
          <t>Everything about this skill is on this row. Scroll right.</t>
        </is>
      </c>
      <c r="H47" s="158" t="n"/>
      <c r="I47" s="158" t="n"/>
      <c r="J47" s="158" t="n"/>
      <c r="K47" s="158">
        <f>COUNTIF(Log!$G$3:$G$402,"8. Social communication screening measures")</f>
        <v/>
      </c>
      <c r="L47" s="163">
        <f>IF(COUNTIF(Log!$G$3:$G$402,"8. Social communication screening measures")=0,"",SUMPRODUCT(MAX((Log!$G$3:$G$402="8. Social communication screening measures")*Log!$A$3:$A$402)))</f>
        <v/>
      </c>
      <c r="M47" s="164" t="inlineStr">
        <is>
          <t>▸  CORU 1.2
     Be able to identify the limits of their practice and know when to seek advice and additional expertise or refer to another professional
▸  CORU 5.24
     Identify and apply knowledge of the intersecting forms of diversity of service users, working in an inclusive, sensitive and equitable manner
▸  CORU 5.28
     Be able to critically evaluate the theory and application of a range of assessment methods used in educational psychology to identify psychological, educational and developmental needs at individual and group levels</t>
        </is>
      </c>
      <c r="N47" s="164" t="inlineStr">
        <is>
          <t>▸  PSI 2.2.2
     Recognise the boundaries of their competence, and do not exceed these.
▸  PSI 2.3.1
     Be mindful, when making decisions based on psychological data and techniques, of the limitations of such data and techniques.</t>
        </is>
      </c>
      <c r="O47" s="165" t="inlineStr">
        <is>
          <t>Screening sits at a boundary you must be clear about: you are not diagnosing, and in Ireland the diagnostic pathway usually runs through a Children's Disability Network Team. Being precise about what a screen entitles you to say protects the child from a premature label and protects you from practising outside competence.</t>
        </is>
      </c>
      <c r="P47" s="165" t="inlineStr">
        <is>
          <t>▸  Screening, assessment, diagnosis — three different things
     A screen is a brief instrument designed to sort a population into probably-worth-looking-at and probably-not. It is optimised for sensitivity at the cost of specificity, which means false positives are expected and acceptable. An assessment is a fuller individual investigation. A diagnosis is a formal determination against criteria (DSM-5-TR or ICD-11), usually multidisciplinary for autism.
A positive screen entitles you to write: this child's presentation warrants further assessment, and here is the pathway. It does not entitle you to write that the child is autistic, and you should say so explicitly in the report.
▸  What the common instruments do
     The SCQ is a 40-item parent questionnaire derived from the ADI-R, with a commonly used cut-off around 15, though the manual's guidance and local practice vary. The SRS-2 gives a dimensional measure of social responsiveness rather than a yes/no, which is often more useful clinically. Neither is diagnostic. Both rely on a single informant's recall, which is their main weakness.
▸  Why questionnaires and observation disagree
     A parent reports across years and settings; you observe for forty minutes in one. Disagreement is normal and informative. If the screen is positive and you saw nothing, consider: masking, a structured setting that supports the child, or a parent reporting anxiety-driven behaviour that has a different source. If the screen is negative and you saw a great deal, consider a parent without a comparison point, or behaviour specific to the school context. Report the disagreement rather than choosing a side.
▸  Atypical and masked presentation
     Autistic girls are identified later and less often, and the reasons are partly instrumental — the screening items were normed on samples that were predominantly male. Presentations that are commonly missed include: social difficulty that looks like shyness or anxiety; intense interests in socially typical topics; and camouflaging, where the child consciously imitates peers and is exhausted by it. A negative screen in a girl with a strong parental concern is a reason to look further, not to stop. The same logic applies to late identification in children whose difficulty was previously attributed to something else.</t>
        </is>
      </c>
      <c r="Q47" s="165" t="inlineStr">
        <is>
          <t>▸  Rutter, M., Bailey, A., &amp; Lord, C. (2003). Social Communication Questionnaire manual. Western Psychological Services.
▸  Psychological Society of Ireland (2022). Guidelines for psychologists working with autistic people.
▸  Lai, M.-C., &amp; Baron-Cohen, S. (2015). Identifying the lost generation of adults with autism spectrum conditions. The Lancet Psychiatry, 2(11), 1013–1027.
▸  HSE (2023). Progressing Disability Services: CDNT referral pathways. — know the local route.</t>
        </is>
      </c>
      <c r="R47" s="166" t="inlineStr">
        <is>
          <t>✗  Writing anything that reads as a diagnosis.
✗  Relying on the questionnaire alone.
✗  Treating a negative screen as reassurance when parental concern is strong.
✗  Not knowing where a positive screen goes next in this service.</t>
        </is>
      </c>
      <c r="S47" s="154" t="inlineStr">
        <is>
          <t>▸  GRADE 3
     You administered it and reported the result.
▸  GRADE 4
     Screen integrated with observation; limits stated; pathway named.
▸  GRADE 5
     You wrote that a screen is not a diagnosis, considered masked presentation, and the family left knowing the next step.</t>
        </is>
      </c>
      <c r="T47" s="165" t="inlineStr">
        <is>
          <t>▸  BLOCK 1 · Knowing what a screen is
     [4–5 hours, once  ·  Weeks 1–2  ·  Study]
     The difference between screening, assessment and diagnosis, and what a positive screen entitles you to say.
     How you build it: Read the SCQ manual's validity section. Then read the PSI Autism Guidelines 2022.
     ·  Recognise the limits of a screening instrument
          you have it when: You said in writing that a screen is not a diagnosis
          [CORU SoP 1.2 · PSI Code 2.3.1]
     ·  Know the onward diagnostic pathway in this service
          you have it when: You could name where a positive screen goes
          [CORU SoP 1.2]
▸  BLOCK 2 · Administering and integrating
     [3–4 hours  ·  Weeks 7–12  ·  Practice]
     Completing the screen with an informant and combining it with observation.
     How you build it: Complete three with parents, then compare each with your own observation.
     ·  Administer a screen with a parent
          you have it when: You explained what a screen can and cannot tell them
          [CORU SoP 2.1]
     ·  Integrate screening data with direct observation
          you have it when: You did not rely on the questionnaire alone
          [CORU SoP 3.4]
▸  BLOCK 3 · Recognising atypical presentation
     [3 hours, once  ·  Weeks 3–6  ·  Study]
     How autism presents differently in girls, in late identification, and alongside anxiety.
     How you build it: Read one paper on female presentation. It changes what you notice permanently.
     ·  Recognise masked or atypical presentation
          you have it when: You considered presentation in girls and late identification
          [CORU SoP 5.24 · PSI Autism Guidelines 2022]</t>
        </is>
      </c>
      <c r="U47" s="165" t="inlineStr">
        <is>
          <t>No full chapter yet.</t>
        </is>
      </c>
      <c r="V47" s="165" t="inlineStr">
        <is>
          <t>▸  4.1 Friendships and social skills
     FULL ENTRY HERE</t>
        </is>
      </c>
      <c r="W47" s="165" t="inlineStr">
        <is>
          <t>Table 2 area 1 · Appendix 5 tagged Assessment · Appendix 7 observation · Table 3 tools and categories</t>
        </is>
      </c>
      <c r="X47" s="165" t="inlineStr">
        <is>
          <t>Equal Status Acts 2000–2018 — reasonable accommodation · GDPR — lawful basis, minimisation</t>
        </is>
      </c>
      <c r="Y47" s="165" t="inlineStr">
        <is>
          <t>Year 1 — Extends to ADOS/ADI-R observation in diagnostic settings in Year 2.</t>
        </is>
      </c>
    </row>
    <row r="48" ht="408.75" customHeight="1" s="128">
      <c r="A48" s="167" t="inlineStr">
        <is>
          <t>AREA</t>
        </is>
      </c>
      <c r="B48" s="167" t="inlineStr">
        <is>
          <t>1. Assessment</t>
        </is>
      </c>
      <c r="C48" s="167" t="n"/>
      <c r="D48" s="167" t="inlineStr">
        <is>
          <t>8. Social communication screening measures</t>
        </is>
      </c>
      <c r="E48" s="167" t="inlineStr">
        <is>
          <t>Referral area</t>
        </is>
      </c>
      <c r="F48" s="168" t="inlineStr">
        <is>
          <t>4.1 Friendships and social skills</t>
        </is>
      </c>
      <c r="G48" s="167" t="inlineStr">
        <is>
          <t>ON THE FORM — Section 5</t>
        </is>
      </c>
      <c r="H48" s="167" t="n"/>
      <c r="I48" s="167" t="n"/>
      <c r="J48" s="167" t="n"/>
      <c r="K48" s="167">
        <f>COUNTIF(Log!$E$3:$E$402,"4.1 Friendships and social skills")</f>
        <v/>
      </c>
      <c r="L48" s="169">
        <f>IF(COUNTIF(Log!$E$3:$E$402,"4.1 Friendships and social skills")=0,"",SUMPRODUCT(MAX((Log!$E$3:$E$402="4.1 Friendships and social skills")*Log!$A$3:$A$402)))</f>
        <v/>
      </c>
      <c r="M48" s="165" t="inlineStr">
        <is>
          <t>DIAGNOSES
▸  Autism Spectrum Disorder — level 1, requiring support
     DSM-5-TR / ICD-11 6A02
▸  Autism Spectrum Disorder — level 2, requiring substantial support
     DSM-5-TR / ICD-11 6A02
▸  Autism Spectrum Disorder — level 3, requiring very substantial support
     DSM-5-TR / ICD-11 6A02
▸  ASD with accompanying intellectual impairment
     DSM-5-TR specifier
▸  ASD with accompanying language impairment
     DSM-5-TR specifier
▸  Social (Pragmatic) Communication Disorder
     DSM-5-TR / ICD-11 6A01</t>
        </is>
      </c>
      <c r="N48" s="170" t="inlineStr">
        <is>
          <t>PRESENTATIONS WITH NO DIAGNOSIS
▸  Pathological Demand Avoidance (PDA) profile
     Not a DSM diagnosis
▸  Peer relationship difficulties and social isolation
     Not a DSM diagnosis
▸  Bullying
     Not a DSM diagnosis
▸  Social adaptive skills
     Not a DSM diagnosis
▸  Co-operation with peers in group work
     Added — Form 2 survey wording
▸  Turn-taking and shared play
     Added
▸  Reading social cues and repair after conflict
     Added
▸  Masking and the cost of it
     Added
▸  Loneliness without observable difficulty
     Added — the quiet ones get missed</t>
        </is>
      </c>
      <c r="O48" s="165" t="inlineStr">
        <is>
          <t>REFER TO
▸  CDNT
▸  NEPS for school supports
▸  NEPS
▸  NEPS with SLT
▸  whole-school policy support</t>
        </is>
      </c>
      <c r="P48" s="165" t="inlineStr">
        <is>
          <t>—</t>
        </is>
      </c>
      <c r="Q48" s="165" t="inlineStr">
        <is>
          <t>▸  Early Years / Pre-School (0–5)
     Play observation · ADOS-2 Toddler/Module 1 via CDNT · parent developmental history · SCQ · AIM and preschool staff consultation.</t>
        </is>
      </c>
      <c r="R48" s="165" t="inlineStr">
        <is>
          <t>▸  School Age (6–12)
     Yard and classroom observation · SRS-2 parent and teacher (your named development area) · SCQ · ADOS-2 via team · sociometric mapping · friendship interview with the pupil.</t>
        </is>
      </c>
      <c r="S48" s="165" t="inlineStr">
        <is>
          <t>▸  Adolescent (13–16)
     SRS-2 including self-report where available · ADOS-2 Module 3/4 via team · self-report on friendship and belonging · social demands of post-primary are different — assess those, not primary ones.</t>
        </is>
      </c>
      <c r="T48" s="165" t="inlineStr">
        <is>
          <t>▸  Young Adult (17–26)
     AQ-10 / adult screening · functional social demands of course or work · adult diagnostic services.</t>
        </is>
      </c>
      <c r="U48" s="165" t="inlineStr">
        <is>
          <t>▸  Special Setting (class or school)
     Social opportunity within the setting · integration arrangements · peer group available to the pupil.</t>
        </is>
      </c>
      <c r="AG48" s="171" t="inlineStr">
        <is>
          <t>Environmental Factors — Family, School, Community
· Family dynamics (including CEC, adopted and CYP with SGOs)
· Siblings, extended family, links and relationship to school and education
· Family stressors
· Financial stress
· Housing
· Home learning environment
· Parental attitude to school/education
· Trauma/significant life events
· Adverse childhood events
· Family views
· Bereavements/relational losses
· Key adults / members of staff (significant relationships both positive and negative in and out of school) and level of school commitment to child
· Travel distance to school
· School attendance
· Child's views/preferences
· School-parent relationship
· Peer group dynamics
· School learning environment
· Access to interventions and support
· Curriculum/exam boards
· Teacher expectations
· Teacher/staff understanding/knowledge
· Attainment-based grouping
· Influences in school and the local community
· Other agency involvement — Police, YOT, CAMHS, Speech and Language Service, Fair Access, SENAT, Virtual School, SGO Advisor, Intensive Planning Team, Prevent, CSE, Early Years, School Nurse, Portage, Early Help, Social and Caring Services Health Services</t>
        </is>
      </c>
      <c r="AH48" s="171" t="inlineStr">
        <is>
          <t>Within-Child — Biological Factors
· Family history including early development, physical development, medical conditions and diagnoses/difficulties
· General health
· Medication
· Dietary needs
· Sensory needs
· Addictions e.g. smoking, drink, drugs</t>
        </is>
      </c>
      <c r="AI48" s="171" t="inlineStr">
        <is>
          <t>Within-Child — Cognitive Factors
ASSESSABLE
· Memory
· Language
· Executive functioning: including emotional and behavioural regulation/development
· Attention and concentration
· Visual spatial ability
· Phonological processing
· Processing speed
· Non-verbal reasoning
· Verbal ability (e.g. word problems, verbal presentation)
· Logical reasoning ability
· Literacy skills
· Attainment
OBSERVATION AND CONSULTATION
· Signs of developmental trauma impacting on ability to participate in learning
· Ability to problem-solve
· Flexibility of thought and action
· Self-awareness</t>
        </is>
      </c>
      <c r="AJ48" s="171" t="inlineStr">
        <is>
          <t>Within-Child — Affective Factors
· Experience of developmental trauma
· Confidence
· Self-esteem
· Emotional understanding and expression
· Sense of enablement
· Sense of self
· Sense of belonging
· Motivation (intrinsic or extrinsic)
· Resiliency
· Mood
· Anxiety
· Aspirations
· Perseverance / determination
· Sense of humour
· Self-control
· Social skills
· Empathy</t>
        </is>
      </c>
      <c r="AK48" s="171" t="inlineStr">
        <is>
          <t>Within-Child — Behavioural Factors
· Ability to develop and maintain friendships and relationships
· Positive achievements
· Care/concern for others, volunteering, helping
· Dangerous or risk-taking behaviour
· Verbal / physical abuse
· Self-harm
· Bullying
· Truancy</t>
        </is>
      </c>
    </row>
    <row r="49" ht="408.75" customHeight="1" s="128">
      <c r="A49" s="158" t="inlineStr">
        <is>
          <t>SKILL</t>
        </is>
      </c>
      <c r="B49" s="159" t="inlineStr">
        <is>
          <t>1. Assessment</t>
        </is>
      </c>
      <c r="C49" s="160" t="inlineStr">
        <is>
          <t>▸  Choosing the instrument
▸  Administering and scoring
▸  Reading discrepancy</t>
        </is>
      </c>
      <c r="D49" s="161" t="inlineStr">
        <is>
          <t>9. Behavioural and emotional rating scales</t>
        </is>
      </c>
      <c r="E49" s="158" t="inlineStr">
        <is>
          <t>Macro skill</t>
        </is>
      </c>
      <c r="F49" s="161" t="inlineStr">
        <is>
          <t>9. Behavioural and emotional rating scales</t>
        </is>
      </c>
      <c r="G49" s="162" t="inlineStr">
        <is>
          <t>Everything about this skill is on this row. Scroll right.</t>
        </is>
      </c>
      <c r="H49" s="158" t="n"/>
      <c r="I49" s="158" t="n"/>
      <c r="J49" s="158" t="n"/>
      <c r="K49" s="158">
        <f>COUNTIF(Log!$G$3:$G$402,"9. Behavioural and emotional rating scales")</f>
        <v/>
      </c>
      <c r="L49" s="163">
        <f>IF(COUNTIF(Log!$G$3:$G$402,"9. Behavioural and emotional rating scales")=0,"",SUMPRODUCT(MAX((Log!$G$3:$G$402="9. Behavioural and emotional rating scales")*Log!$A$3:$A$402)))</f>
        <v/>
      </c>
      <c r="M49" s="164" t="inlineStr">
        <is>
          <t>▸  CORU 3.3
     Be able to determine the appropriate tests/assessments required and undertake/arrange these tests
▸  CORU 3.4
     Be able to analyse and critically evaluate the information collected in the assessment process
▸  CORU 5.32
     Interpret, synthesise and critically evaluate assessment data, within relevant conceptual frameworks, to inform case formulation and psychological intervention planning</t>
        </is>
      </c>
      <c r="N49" s="164" t="inlineStr">
        <is>
          <t>▸  PSI 2.2.2
     Recognise the boundaries of their competence, and do not exceed these.
▸  PSI 2.3.1
     Be mindful, when making decisions based on psychological data and techniques, of the limitations of such data and techniques.
▸  PSI 4.2.2
     Take due care to avoid misrepresentation, exaggeration, distortion or errors in reporting assessment results, research findings or service effectiveness, and act quickly to correct any such error.</t>
        </is>
      </c>
      <c r="O49" s="165" t="inlineStr">
        <is>
          <t>Rating scales give you something no other method does: the same construct measured by two people who see the child in different settings. The disagreement between them is usually more informative than either score alone, and it is routinely thrown away.</t>
        </is>
      </c>
      <c r="P49" s="165" t="inlineStr">
        <is>
          <t>▸  What the common instruments are
     The SDQ is brief, free, widely used in Ireland, with parent, teacher and self-report versions covering emotional symptoms, conduct, hyperactivity, peer problems and prosocial behaviour plus an impact supplement. The Conners forms focus on attention and hyperactivity. The BASC-3 and ASEBA are broader and longer. Choose for the question: the SDQ for a general screen, a focused instrument where the referral is specific.
▸  Elevated versus clinically significant
     Standardised scores are usually banded — average, slightly raised, high, very high — with the bands set by percentile in the norm sample. An elevated score means unusual relative to the norm group. It does not mean disordered, and it does not license a diagnosis. Say which band and what it means in plain words, and avoid reporting a T-score without translating it.
▸  Reading informant discrepancy
     Cross-informant agreement on child behaviour is modest — correlations around 0.3 to 0.4 between parents and teachers are typical. This is not measurement failure; it reflects genuine setting specificity. A child rated high at home and average at school may be managing all day and releasing afterwards, or may be supported well at school. A child rated high at school and average at home may face demands at school that are not present at home. Both patterns are findings. Report them as information about context, not as one informant being wrong.
▸  The child's own voice
     Self-report versions exist from around age 11 for the SDQ and younger for some instruments. The child's own account is required by CORU 2.3 and by Article 12 of the UNCRC, and it frequently diverges from both adults. Where a self-report is not age-appropriate, you still need the child's view — obtained in conversation and quoted directly in the report.</t>
        </is>
      </c>
      <c r="Q49" s="165" t="inlineStr">
        <is>
          <t>▸  Goodman, R. (2001). Psychometric properties of the Strengths and Difficulties Questionnaire. Journal of the American Academy of Child and Adolescent Psychiatry, 40(11), 1337–1345.
▸  De Los Reyes, A., et al. (2015). The validity of the multi-informant approach to assessing child and adolescent mental health. Psychological Bulletin, 141(4), 858–900.
▸  United Nations (1989). Convention on the Rights of the Child, Article 12.</t>
        </is>
      </c>
      <c r="R49" s="166" t="inlineStr">
        <is>
          <t>✗  Reporting a T-score without translating it.
✗  Treating an elevated score as a diagnosis.
✗  Averaging informants, which destroys the most useful finding.
✗  Omitting the child's self-report where one was available.</t>
        </is>
      </c>
      <c r="S49" s="154" t="inlineStr">
        <is>
          <t>▸  GRADE 3
     You reported both informants separately.
▸  GRADE 4
     Correct instrument, correct scoring, bands translated into plain words.
▸  GRADE 5
     Discrepancy treated as data about context, and the child's own account included.</t>
        </is>
      </c>
      <c r="T49" s="165" t="inlineStr">
        <is>
          <t>▸  BLOCK 1 · Choosing the instrument
     [3 hours, once  ·  Weeks 1–2  ·  Study]
     Which scale for which question, which informants, and what each is normed on.
     How you build it: Compare SDQ, Conners' and ASEBA on one page. Know what each is for.
     ·  Select the right forms for informant and age
          you have it when: Parent, teacher and self-report chosen appropriately
          [CORU SoP 3.3]
     ·  Include the child's own self-report where age-appropriate
          you have it when: The child's account appears alongside the adults'
          [UNCRC Art. 12 · CORU SoP 2.3]
▸  BLOCK 2 · Administering and scoring
     [3–4 hours  ·  Weeks 3–6  ·  Practice]
     Briefing informants, chasing returns, scoring and converting.
     How you build it: Do three sets. Score by hand once.
     ·  Explain to informants how to complete them
          you have it when: Forms come back usable
          [CORU SoP 2.1]
     ·  Score and convert to standardised scores
          you have it when: Scoring is checked
          [CORU SoP 5.6]
▸  BLOCK 3 · Reading discrepancy
     [Ongoing  ·  Weeks 7–12  ·  Practice]
     What it means when parent and teacher disagree, and why that is data rather than error.
     How you build it: Bring one discrepant set to supervision and be talked through it.
     ·  Analyse informant agreement and discrepancy
          you have it when: Discrepancy treated as data about context
          [CORU SoP 3.4 · 5.32]
     ·  Distinguish elevated from clinically significant
          you have it when: You know what the cut-offs mean and say so
          [PSI Code 4.2.2]</t>
        </is>
      </c>
      <c r="U49" s="165" t="inlineStr">
        <is>
          <t>No full chapter yet.</t>
        </is>
      </c>
      <c r="V49" s="165" t="inlineStr">
        <is>
          <t>▸  1.1 Attention, concentration and work skills
     full entry under 1. Observation in classroom, playground and clinic
▸  2.1 Behaviour in class
     full entry under 1. Observation in classroom, playground and clinic
▸  2.2 Behaviour during break times and around the school
     full entry under 1. Observation in classroom, playground and clinic
▸  3.1 Confidence and self-esteem
     FULL ENTRY HERE
▸  3.2 Anxiety
     FULL ENTRY HERE
▸  3.3 Obsessive-compulsive and related
     FULL ENTRY HERE
▸  3.4 Mood
     FULL ENTRY HERE
▸  4.1 Friendships and social skills
     full entry under 8. Social communication screening measures</t>
        </is>
      </c>
      <c r="W49" s="165" t="inlineStr">
        <is>
          <t>Table 2 area 1 · Appendix 5 tagged Assessment · Appendix 7 observation · Table 3 tools and categories</t>
        </is>
      </c>
      <c r="X49" s="165" t="inlineStr">
        <is>
          <t>Equal Status Acts 2000–2018 — reasonable accommodation · GDPR — lawful basis, minimisation · UNCRC Art. 12</t>
        </is>
      </c>
      <c r="Y49" s="165" t="inlineStr">
        <is>
          <t>Year 1 — Extends to structured diagnostic interviewing in Year 2.</t>
        </is>
      </c>
    </row>
    <row r="50" ht="408.75" customHeight="1" s="128">
      <c r="A50" s="167" t="inlineStr">
        <is>
          <t>AREA</t>
        </is>
      </c>
      <c r="B50" s="167" t="inlineStr">
        <is>
          <t>1. Assessment</t>
        </is>
      </c>
      <c r="C50" s="167" t="n"/>
      <c r="D50" s="167" t="inlineStr">
        <is>
          <t>9. Behavioural and emotional rating scales</t>
        </is>
      </c>
      <c r="E50" s="167" t="inlineStr">
        <is>
          <t>Referral area</t>
        </is>
      </c>
      <c r="F50" s="168" t="inlineStr">
        <is>
          <t>3.1 Confidence and self-esteem</t>
        </is>
      </c>
      <c r="G50" s="167" t="inlineStr">
        <is>
          <t>ON THE FORM — Section 5</t>
        </is>
      </c>
      <c r="H50" s="167" t="n"/>
      <c r="I50" s="167" t="n"/>
      <c r="J50" s="167" t="n"/>
      <c r="K50" s="167">
        <f>COUNTIF(Log!$E$3:$E$402,"3.1 Confidence and self-esteem")</f>
        <v/>
      </c>
      <c r="L50" s="169">
        <f>IF(COUNTIF(Log!$E$3:$E$402,"3.1 Confidence and self-esteem")=0,"",SUMPRODUCT(MAX((Log!$E$3:$E$402="3.1 Confidence and self-esteem")*Log!$A$3:$A$402)))</f>
        <v/>
      </c>
      <c r="M50" s="165" t="inlineStr">
        <is>
          <t>No diagnoses. Everything here is a presentation.</t>
        </is>
      </c>
      <c r="N50" s="170" t="inlineStr">
        <is>
          <t>PRESENTATIONS WITH NO DIAGNOSIS
▸  Low confidence and self-esteem
     Not a DSM diagnosis
▸  Learned helplessness
     Not a DSM diagnosis
▸  Academic self-concept vs global self-esteem
     Added
▸  Attribution style — effort vs ability
     Added
▸  Response to failure and setback
     Added — Form 2 survey wording
▸  Perfectionism and fear of getting it wrong
     Added
▸  Self-esteem as a consequence of unidentified SLD
     Added — check the sequence</t>
        </is>
      </c>
      <c r="O50" s="165" t="inlineStr">
        <is>
          <t>REFER TO
▸  NEPS</t>
        </is>
      </c>
      <c r="P50" s="165" t="inlineStr">
        <is>
          <t>—</t>
        </is>
      </c>
      <c r="Q50" s="165" t="inlineStr">
        <is>
          <t>▸  Early Years / Pre-School (0–5)
     Adult report only · structured play and comment · no self-report measure is valid at this age.</t>
        </is>
      </c>
      <c r="R50" s="165" t="inlineStr">
        <is>
          <t>▸  School Age (6–12)
     Pupil self-report: My Thoughts About School (NEPS Continuum of Support) · Piers-Harris 3 · drawing and sentence-completion · teacher and parent report.</t>
        </is>
      </c>
      <c r="S50" s="165" t="inlineStr">
        <is>
          <t>▸  Adolescent (13–16)
     Self-report measures become the primary source · Piers-Harris 3 · BASC-3 SRP · solution-focused interview · watch for low mood underneath.</t>
        </is>
      </c>
      <c r="T50" s="165" t="inlineStr">
        <is>
          <t>▸  Young Adult (17–26)
     Self-report interview · course or work identity · less likely a NEPS referral.</t>
        </is>
      </c>
      <c r="U50" s="165" t="inlineStr">
        <is>
          <t>▸  Special Setting (class or school)
     Self-concept relative to the setting peer group, not the mainstream one.</t>
        </is>
      </c>
      <c r="AG50" s="171" t="inlineStr">
        <is>
          <t>Environmental Factors — Family, School, Community
· Family dynamics (including CEC, adopted and CYP with SGOs)
· Siblings, extended family, links and relationship to school and education
· Family stressors
· Financial stress
· Housing
· Home learning environment
· Parental attitude to school/education
· Trauma/significant life events
· Adverse childhood events
· Family views
· Bereavements/relational losses
· Key adults / members of staff (significant relationships both positive and negative in and out of school) and level of school commitment to child
· Travel distance to school
· School attendance
· Child's views/preferences
· School-parent relationship
· Peer group dynamics
· School learning environment
· Access to interventions and support
· Curriculum/exam boards
· Teacher expectations
· Teacher/staff understanding/knowledge
· Attainment-based grouping
· Influences in school and the local community
· Other agency involvement — Police, YOT, CAMHS, Speech and Language Service, Fair Access, SENAT, Virtual School, SGO Advisor, Intensive Planning Team, Prevent, CSE, Early Years, School Nurse, Portage, Early Help, Social and Caring Services Health Services</t>
        </is>
      </c>
      <c r="AH50" s="171" t="inlineStr">
        <is>
          <t>Within-Child — Biological Factors
· Family history including early development, physical development, medical conditions and diagnoses/difficulties
· General health
· Medication
· Dietary needs
· Sensory needs
· Addictions e.g. smoking, drink, drugs</t>
        </is>
      </c>
      <c r="AI50" s="171" t="inlineStr">
        <is>
          <t>Within-Child — Cognitive Factors
ASSESSABLE
· Memory
· Language
· Executive functioning: including emotional and behavioural regulation/development
· Attention and concentration
· Visual spatial ability
· Phonological processing
· Processing speed
· Non-verbal reasoning
· Verbal ability (e.g. word problems, verbal presentation)
· Logical reasoning ability
· Literacy skills
· Attainment
OBSERVATION AND CONSULTATION
· Signs of developmental trauma impacting on ability to participate in learning
· Ability to problem-solve
· Flexibility of thought and action
· Self-awareness</t>
        </is>
      </c>
      <c r="AJ50" s="171" t="inlineStr">
        <is>
          <t>Within-Child — Affective Factors
· Experience of developmental trauma
· Confidence
· Self-esteem
· Emotional understanding and expression
· Sense of enablement
· Sense of self
· Sense of belonging
· Motivation (intrinsic or extrinsic)
· Resiliency
· Mood
· Anxiety
· Aspirations
· Perseverance / determination
· Sense of humour
· Self-control
· Social skills
· Empathy</t>
        </is>
      </c>
      <c r="AK50" s="171" t="inlineStr">
        <is>
          <t>Within-Child — Behavioural Factors
· Ability to develop and maintain friendships and relationships
· Positive achievements
· Care/concern for others, volunteering, helping
· Dangerous or risk-taking behaviour
· Verbal / physical abuse
· Self-harm
· Bullying
· Truancy</t>
        </is>
      </c>
    </row>
    <row r="51" ht="408.75" customHeight="1" s="128">
      <c r="A51" s="167" t="inlineStr">
        <is>
          <t>AREA</t>
        </is>
      </c>
      <c r="B51" s="167" t="inlineStr">
        <is>
          <t>1. Assessment</t>
        </is>
      </c>
      <c r="C51" s="167" t="n"/>
      <c r="D51" s="167" t="inlineStr">
        <is>
          <t>9. Behavioural and emotional rating scales</t>
        </is>
      </c>
      <c r="E51" s="167" t="inlineStr">
        <is>
          <t>Referral area</t>
        </is>
      </c>
      <c r="F51" s="168" t="inlineStr">
        <is>
          <t>3.2 Anxiety</t>
        </is>
      </c>
      <c r="G51" s="167" t="inlineStr">
        <is>
          <t>ADDED — implied by the form</t>
        </is>
      </c>
      <c r="H51" s="167" t="n"/>
      <c r="I51" s="167" t="n"/>
      <c r="J51" s="167" t="n"/>
      <c r="K51" s="167">
        <f>COUNTIF(Log!$E$3:$E$402,"3.2 Anxiety")</f>
        <v/>
      </c>
      <c r="L51" s="169">
        <f>IF(COUNTIF(Log!$E$3:$E$402,"3.2 Anxiety")=0,"",SUMPRODUCT(MAX((Log!$E$3:$E$402="3.2 Anxiety")*Log!$A$3:$A$402)))</f>
        <v/>
      </c>
      <c r="M51" s="165" t="inlineStr">
        <is>
          <t>DIAGNOSES
▸  Separation Anxiety Disorder
     DSM-5-TR / ICD-11 6B00–6B0Z
▸  Social Anxiety Disorder (social phobia)
     DSM-5-TR / ICD-11 6B00–6B0Z
▸  Generalised Anxiety Disorder
     DSM-5-TR / ICD-11 6B00–6B0Z
▸  Specific Phobia
     DSM-5-TR / ICD-11 6B00–6B0Z
▸  Panic Disorder
     DSM-5-TR / ICD-11 6B00–6B0Z
▸  Agoraphobia
     DSM-5-TR / ICD-11 6B00–6B0Z
▸  Selective mutism
     DSM-5-TR anxiety
▸  Other specified / unspecified anxiety disorder
     DSM-5-TR</t>
        </is>
      </c>
      <c r="N51" s="170" t="inlineStr">
        <is>
          <t>PRESENTATIONS WITH NO DIAGNOSIS
▸  School anxiety presentations (not a standalone diagnosis)
     Not a DSM diagnosis
▸  Test and exam anxiety
     Added
▸  Performance anxiety in oral work
     Added
▸  Anticipatory anxiety about transitions
     Added
▸  Somatic complaints presenting at school (tummy aches, headaches)
     Added
▸  Anxiety secondary to an unmet learning need
     Added</t>
        </is>
      </c>
      <c r="O51" s="165" t="inlineStr">
        <is>
          <t>REFER TO
▸  Primary Care (mild–mod)
▸  CAMHS (severe)
▸  Primary Care
▸  CAMHS
▸  CAMHS — also under 1.2
▸  NEPS
▸  GP to rule out</t>
        </is>
      </c>
      <c r="P51" s="165" t="inlineStr">
        <is>
          <t>—</t>
        </is>
      </c>
      <c r="Q51" s="165" t="inlineStr">
        <is>
          <t>▸  Early Years / Pre-School (0–5)
     Parent and staff report · separation at drop-off is the common presentation · no self-report measure · Primary Care rather than NEPS for clinical anxiety.</t>
        </is>
      </c>
      <c r="R51" s="165" t="inlineStr">
        <is>
          <t>▸  School Age (6–12)
     RCADS parent and child · SCAS · pupil interview using drawing or scaling · classroom observation at the anxious moment, not a random moment.</t>
        </is>
      </c>
      <c r="S51" s="165" t="inlineStr">
        <is>
          <t>▸  Adolescent (13–16)
     RCADS self-report · SCAS-A · Beck Youth Inventories · direct interview · school attendance data alongside — anxiety and EBSA travel together.</t>
        </is>
      </c>
      <c r="T51" s="165" t="inlineStr">
        <is>
          <t>▸  Young Adult (17–26)
     Self-report · course and workplace demands · refer to adult mental health rather than hold.</t>
        </is>
      </c>
      <c r="U51" s="165" t="inlineStr">
        <is>
          <t>▸  Special Setting (class or school)
     Anxiety about the setting or about transition out of it · staff report on where and when.</t>
        </is>
      </c>
      <c r="AG51" s="171" t="inlineStr">
        <is>
          <t>Environmental Factors — Family, School, Community
· Family dynamics (including CEC, adopted and CYP with SGOs)
· Siblings, extended family, links and relationship to school and education
· Family stressors
· Financial stress
· Housing
· Home learning environment
· Parental attitude to school/education
· Trauma/significant life events
· Adverse childhood events
· Family views
· Bereavements/relational losses
· Key adults / members of staff (significant relationships both positive and negative in and out of school) and level of school commitment to child
· Travel distance to school
· School attendance
· Child's views/preferences
· School-parent relationship
· Peer group dynamics
· School learning environment
· Access to interventions and support
· Curriculum/exam boards
· Teacher expectations
· Teacher/staff understanding/knowledge
· Attainment-based grouping
· Influences in school and the local community
· Other agency involvement — Police, YOT, CAMHS, Speech and Language Service, Fair Access, SENAT, Virtual School, SGO Advisor, Intensive Planning Team, Prevent, CSE, Early Years, School Nurse, Portage, Early Help, Social and Caring Services Health Services</t>
        </is>
      </c>
      <c r="AH51" s="171" t="inlineStr">
        <is>
          <t>Within-Child — Biological Factors
· Family history including early development, physical development, medical conditions and diagnoses/difficulties
· General health
· Medication
· Dietary needs
· Sensory needs
· Addictions e.g. smoking, drink, drugs</t>
        </is>
      </c>
      <c r="AI51" s="171" t="inlineStr">
        <is>
          <t>Within-Child — Cognitive Factors
ASSESSABLE
· Memory
· Language
· Executive functioning: including emotional and behavioural regulation/development
· Attention and concentration
· Visual spatial ability
· Phonological processing
· Processing speed
· Non-verbal reasoning
· Verbal ability (e.g. word problems, verbal presentation)
· Logical reasoning ability
· Literacy skills
· Attainment
OBSERVATION AND CONSULTATION
· Signs of developmental trauma impacting on ability to participate in learning
· Ability to problem-solve
· Flexibility of thought and action
· Self-awareness</t>
        </is>
      </c>
      <c r="AJ51" s="171" t="inlineStr">
        <is>
          <t>Within-Child — Affective Factors
· Experience of developmental trauma
· Confidence
· Self-esteem
· Emotional understanding and expression
· Sense of enablement
· Sense of self
· Sense of belonging
· Motivation (intrinsic or extrinsic)
· Resiliency
· Mood
· Anxiety
· Aspirations
· Perseverance / determination
· Sense of humour
· Self-control
· Social skills
· Empathy</t>
        </is>
      </c>
      <c r="AK51" s="171" t="inlineStr">
        <is>
          <t>Within-Child — Behavioural Factors
· Ability to develop and maintain friendships and relationships
· Positive achievements
· Care/concern for others, volunteering, helping
· Dangerous or risk-taking behaviour
· Verbal / physical abuse
· Self-harm
· Bullying
· Truancy</t>
        </is>
      </c>
    </row>
    <row r="52" ht="408.75" customHeight="1" s="128">
      <c r="A52" s="167" t="inlineStr">
        <is>
          <t>AREA</t>
        </is>
      </c>
      <c r="B52" s="167" t="inlineStr">
        <is>
          <t>1. Assessment</t>
        </is>
      </c>
      <c r="C52" s="167" t="n"/>
      <c r="D52" s="167" t="inlineStr">
        <is>
          <t>9. Behavioural and emotional rating scales</t>
        </is>
      </c>
      <c r="E52" s="167" t="inlineStr">
        <is>
          <t>Referral area</t>
        </is>
      </c>
      <c r="F52" s="168" t="inlineStr">
        <is>
          <t>3.3 Obsessive-compulsive and related</t>
        </is>
      </c>
      <c r="G52" s="167" t="inlineStr">
        <is>
          <t>ADDED — implied by the form</t>
        </is>
      </c>
      <c r="H52" s="167" t="n"/>
      <c r="I52" s="167" t="n"/>
      <c r="J52" s="167" t="n"/>
      <c r="K52" s="167">
        <f>COUNTIF(Log!$E$3:$E$402,"3.3 Obsessive-compulsive and related")</f>
        <v/>
      </c>
      <c r="L52" s="169">
        <f>IF(COUNTIF(Log!$E$3:$E$402,"3.3 Obsessive-compulsive and related")=0,"",SUMPRODUCT(MAX((Log!$E$3:$E$402="3.3 Obsessive-compulsive and related")*Log!$A$3:$A$402)))</f>
        <v/>
      </c>
      <c r="M52" s="165" t="inlineStr">
        <is>
          <t>DIAGNOSES
▸  Obsessive-Compulsive Disorder
     DSM-5-TR / ICD-11 6B20–6B2Z
▸  Body Dysmorphic Disorder
     DSM-5-TR / ICD-11 6B20–6B2Z
▸  Hoarding Disorder
     DSM-5-TR / ICD-11 6B20–6B2Z
▸  Trichotillomania (hair-pulling)
     DSM-5-TR / ICD-11 6B20–6B2Z
▸  Excoriation (skin-picking) Disorder
     DSM-5-TR / ICD-11 6B20–6B2Z</t>
        </is>
      </c>
      <c r="N52" s="170" t="inlineStr">
        <is>
          <t>PRESENTATIONS WITH NO DIAGNOSIS
▸  Rigidity and routine that is not OCD
     Added — check autism first
▸  Repeated checking of work
     Added
▸  Ritual at transitions
     Added</t>
        </is>
      </c>
      <c r="O52" s="165" t="inlineStr">
        <is>
          <t>REFER TO
▸  Primary Care
▸  CAMHS (severe)
▸  CAMHS
▸  NEPS</t>
        </is>
      </c>
      <c r="P52" s="165" t="inlineStr">
        <is>
          <t>—</t>
        </is>
      </c>
      <c r="Q52" s="165" t="inlineStr">
        <is>
          <t>▸  Early Years / Pre-School (0–5)
     Rarely identified at this age · parent report · routines are developmentally normal here.</t>
        </is>
      </c>
      <c r="R52" s="165" t="inlineStr">
        <is>
          <t>▸  School Age (6–12)
     Parent and teacher report · CY-BOCS via clinical services, not NEPS · your job is to describe school impact and refer.</t>
        </is>
      </c>
      <c r="S52" s="165" t="inlineStr">
        <is>
          <t>▸  Adolescent (13–16)
     Self-report emerges · CY-BOCS via CAMHS · describe impact on work completion and attendance.</t>
        </is>
      </c>
      <c r="T52" s="165" t="inlineStr">
        <is>
          <t>▸  Young Adult (17–26)
     Adult services.</t>
        </is>
      </c>
      <c r="U52" s="165" t="inlineStr">
        <is>
          <t>▸  Special Setting (class or school)
     Distinguish autistic routine from compulsion — the function differs.</t>
        </is>
      </c>
      <c r="AG52" s="171" t="inlineStr">
        <is>
          <t>Environmental Factors — Family, School, Community
· Family dynamics (including CEC, adopted and CYP with SGOs)
· Siblings, extended family, links and relationship to school and education
· Family stressors
· Financial stress
· Housing
· Home learning environment
· Parental attitude to school/education
· Trauma/significant life events
· Adverse childhood events
· Family views
· Bereavements/relational losses
· Key adults / members of staff (significant relationships both positive and negative in and out of school) and level of school commitment to child
· Travel distance to school
· School attendance
· Child's views/preferences
· School-parent relationship
· Peer group dynamics
· School learning environment
· Access to interventions and support
· Curriculum/exam boards
· Teacher expectations
· Teacher/staff understanding/knowledge
· Attainment-based grouping
· Influences in school and the local community
· Other agency involvement — Police, YOT, CAMHS, Speech and Language Service, Fair Access, SENAT, Virtual School, SGO Advisor, Intensive Planning Team, Prevent, CSE, Early Years, School Nurse, Portage, Early Help, Social and Caring Services Health Services</t>
        </is>
      </c>
      <c r="AH52" s="171" t="inlineStr">
        <is>
          <t>Within-Child — Biological Factors
· Family history including early development, physical development, medical conditions and diagnoses/difficulties
· General health
· Medication
· Dietary needs
· Sensory needs
· Addictions e.g. smoking, drink, drugs</t>
        </is>
      </c>
      <c r="AI52" s="171" t="inlineStr">
        <is>
          <t>Within-Child — Cognitive Factors
ASSESSABLE
· Memory
· Language
· Executive functioning: including emotional and behavioural regulation/development
· Attention and concentration
· Visual spatial ability
· Phonological processing
· Processing speed
· Non-verbal reasoning
· Verbal ability (e.g. word problems, verbal presentation)
· Logical reasoning ability
· Literacy skills
· Attainment
OBSERVATION AND CONSULTATION
· Signs of developmental trauma impacting on ability to participate in learning
· Ability to problem-solve
· Flexibility of thought and action
· Self-awareness</t>
        </is>
      </c>
      <c r="AJ52" s="171" t="inlineStr">
        <is>
          <t>Within-Child — Affective Factors
· Experience of developmental trauma
· Confidence
· Self-esteem
· Emotional understanding and expression
· Sense of enablement
· Sense of self
· Sense of belonging
· Motivation (intrinsic or extrinsic)
· Resiliency
· Mood
· Anxiety
· Aspirations
· Perseverance / determination
· Sense of humour
· Self-control
· Social skills
· Empathy</t>
        </is>
      </c>
      <c r="AK52" s="171" t="inlineStr">
        <is>
          <t>Within-Child — Behavioural Factors
· Ability to develop and maintain friendships and relationships
· Positive achievements
· Care/concern for others, volunteering, helping
· Dangerous or risk-taking behaviour
· Verbal / physical abuse
· Self-harm
· Bullying
· Truancy</t>
        </is>
      </c>
    </row>
    <row r="53" ht="408.75" customHeight="1" s="128">
      <c r="A53" s="167" t="inlineStr">
        <is>
          <t>AREA</t>
        </is>
      </c>
      <c r="B53" s="167" t="inlineStr">
        <is>
          <t>1. Assessment</t>
        </is>
      </c>
      <c r="C53" s="167" t="n"/>
      <c r="D53" s="167" t="inlineStr">
        <is>
          <t>9. Behavioural and emotional rating scales</t>
        </is>
      </c>
      <c r="E53" s="167" t="inlineStr">
        <is>
          <t>Referral area</t>
        </is>
      </c>
      <c r="F53" s="168" t="inlineStr">
        <is>
          <t>3.4 Mood</t>
        </is>
      </c>
      <c r="G53" s="167" t="inlineStr">
        <is>
          <t>ADDED — implied by the form</t>
        </is>
      </c>
      <c r="H53" s="167" t="n"/>
      <c r="I53" s="167" t="n"/>
      <c r="J53" s="167" t="n"/>
      <c r="K53" s="167">
        <f>COUNTIF(Log!$E$3:$E$402,"3.4 Mood")</f>
        <v/>
      </c>
      <c r="L53" s="169">
        <f>IF(COUNTIF(Log!$E$3:$E$402,"3.4 Mood")=0,"",SUMPRODUCT(MAX((Log!$E$3:$E$402="3.4 Mood")*Log!$A$3:$A$402)))</f>
        <v/>
      </c>
      <c r="M53" s="165" t="inlineStr">
        <is>
          <t>DIAGNOSES
▸  Major Depressive Disorder — single episode
     DSM-5-TR / ICD-11 6A70–6A7Z
▸  Major Depressive Disorder — recurrent episode
     DSM-5-TR / ICD-11 6A70–6A7Z
▸  Persistent Depressive Disorder (dysthymia)
     DSM-5-TR / ICD-11 6A70–6A7Z
▸  Premenstrual Dysphoric Disorder
     DSM-5-TR / ICD-11 6A70–6A7Z
▸  Other specified / unspecified depressive disorder
     DSM-5-TR</t>
        </is>
      </c>
      <c r="N53" s="170" t="inlineStr">
        <is>
          <t>PRESENTATIONS WITH NO DIAGNOSIS
▸  Low mood without diagnostic threshold
     Added
▸  Loss of interest in school activities previously enjoyed
     Added
▸  Withdrawal from peers
     Added
▸  Irritability as the presentation of low mood in young people
     Added</t>
        </is>
      </c>
      <c r="O53" s="165" t="inlineStr">
        <is>
          <t>REFER TO
▸  CAMHS (mod–severe)
▸  Primary Care (mild–mod)
▸  CAMHS
▸  Primary Care
▸  NEPS</t>
        </is>
      </c>
      <c r="P53" s="165" t="inlineStr">
        <is>
          <t>—</t>
        </is>
      </c>
      <c r="Q53" s="165" t="inlineStr">
        <is>
          <t>▸  Early Years / Pre-School (0–5)
     Not assessed at this age · parent report on mood and play · refer.</t>
        </is>
      </c>
      <c r="R53" s="165" t="inlineStr">
        <is>
          <t>▸  School Age (6–12)
     Parent and teacher report · pupil interview · MFQ · low mood often presents as irritability or refusal rather than sadness.</t>
        </is>
      </c>
      <c r="S53" s="165" t="inlineStr">
        <is>
          <t>▸  Adolescent (13–16)
     MFQ self-report · Beck Youth Inventories · direct interview · always screen for risk — see 3.7 · attendance and engagement data.</t>
        </is>
      </c>
      <c r="T53" s="165" t="inlineStr">
        <is>
          <t>▸  Young Adult (17–26)
     Adult services.</t>
        </is>
      </c>
      <c r="U53" s="165" t="inlineStr">
        <is>
          <t>▸  Special Setting (class or school)
     Mood against the setting baseline · staff who know the pupil best.</t>
        </is>
      </c>
      <c r="AG53" s="171" t="inlineStr">
        <is>
          <t>Environmental Factors — Family, School, Community
· Family dynamics (including CEC, adopted and CYP with SGOs)
· Siblings, extended family, links and relationship to school and education
· Family stressors
· Financial stress
· Housing
· Home learning environment
· Parental attitude to school/education
· Trauma/significant life events
· Adverse childhood events
· Family views
· Bereavements/relational losses
· Key adults / members of staff (significant relationships both positive and negative in and out of school) and level of school commitment to child
· Travel distance to school
· School attendance
· Child's views/preferences
· School-parent relationship
· Peer group dynamics
· School learning environment
· Access to interventions and support
· Curriculum/exam boards
· Teacher expectations
· Teacher/staff understanding/knowledge
· Attainment-based grouping
· Influences in school and the local community
· Other agency involvement — Police, YOT, CAMHS, Speech and Language Service, Fair Access, SENAT, Virtual School, SGO Advisor, Intensive Planning Team, Prevent, CSE, Early Years, School Nurse, Portage, Early Help, Social and Caring Services Health Services</t>
        </is>
      </c>
      <c r="AH53" s="171" t="inlineStr">
        <is>
          <t>Within-Child — Biological Factors
· Family history including early development, physical development, medical conditions and diagnoses/difficulties
· General health
· Medication
· Dietary needs
· Sensory needs
· Addictions e.g. smoking, drink, drugs</t>
        </is>
      </c>
      <c r="AI53" s="171" t="inlineStr">
        <is>
          <t>Within-Child — Cognitive Factors
ASSESSABLE
· Memory
· Language
· Executive functioning: including emotional and behavioural regulation/development
· Attention and concentration
· Visual spatial ability
· Phonological processing
· Processing speed
· Non-verbal reasoning
· Verbal ability (e.g. word problems, verbal presentation)
· Logical reasoning ability
· Literacy skills
· Attainment
OBSERVATION AND CONSULTATION
· Signs of developmental trauma impacting on ability to participate in learning
· Ability to problem-solve
· Flexibility of thought and action
· Self-awareness</t>
        </is>
      </c>
      <c r="AJ53" s="171" t="inlineStr">
        <is>
          <t>Within-Child — Affective Factors
· Experience of developmental trauma
· Confidence
· Self-esteem
· Emotional understanding and expression
· Sense of enablement
· Sense of self
· Sense of belonging
· Motivation (intrinsic or extrinsic)
· Resiliency
· Mood
· Anxiety
· Aspirations
· Perseverance / determination
· Sense of humour
· Self-control
· Social skills
· Empathy</t>
        </is>
      </c>
      <c r="AK53" s="171" t="inlineStr">
        <is>
          <t>Within-Child — Behavioural Factors
· Ability to develop and maintain friendships and relationships
· Positive achievements
· Care/concern for others, volunteering, helping
· Dangerous or risk-taking behaviour
· Verbal / physical abuse
· Self-harm
· Bullying
· Truancy</t>
        </is>
      </c>
    </row>
    <row r="54" ht="408.75" customHeight="1" s="128">
      <c r="A54" s="158" t="inlineStr">
        <is>
          <t>SKILL</t>
        </is>
      </c>
      <c r="B54" s="159" t="inlineStr">
        <is>
          <t>1. Assessment</t>
        </is>
      </c>
      <c r="C54" s="160" t="inlineStr">
        <is>
          <t>▸  Knowing what adaptation costs
▸  Noticing and deciding in the moment</t>
        </is>
      </c>
      <c r="D54" s="161" t="inlineStr">
        <is>
          <t>10. Adapt standardised procedure and record the adaptation</t>
        </is>
      </c>
      <c r="E54" s="158" t="inlineStr">
        <is>
          <t>Macro skill</t>
        </is>
      </c>
      <c r="F54" s="161" t="inlineStr">
        <is>
          <t>10. Adapt standardised procedure and record the adaptation</t>
        </is>
      </c>
      <c r="G54" s="162" t="inlineStr">
        <is>
          <t>Everything about this skill is on this row. Scroll right.</t>
        </is>
      </c>
      <c r="H54" s="158" t="n"/>
      <c r="I54" s="158" t="n"/>
      <c r="J54" s="158" t="n"/>
      <c r="K54" s="158">
        <f>COUNTIF(Log!$G$3:$G$402,"10. Adapt standardised procedure and record the adaptation")</f>
        <v/>
      </c>
      <c r="L54" s="163">
        <f>IF(COUNTIF(Log!$G$3:$G$402,"10. Adapt standardised procedure and record the adaptation")=0,"",SUMPRODUCT(MAX((Log!$G$3:$G$402="10. Adapt standardised procedure and record the adaptation")*Log!$A$3:$A$402)))</f>
        <v/>
      </c>
      <c r="M54" s="164" t="inlineStr">
        <is>
          <t>▸  CORU 2.8
     Be able to produce clear, concise, accurate and objective documentation
▸  CORU 5.31
     Conduct a range of assessment methods safely and ethically, adapting and re-evaluating their application as appropriate</t>
        </is>
      </c>
      <c r="N54" s="164" t="inlineStr">
        <is>
          <t>▸  PSI 2.3.3
     Terminate an activity when it is clear the activity is more harmful than beneficial, or when it is no longer needed.
▸  PSI 4.2.2
     Take due care to avoid misrepresentation, exaggeration, distortion or errors in reporting assessment results, research findings or service effectiveness, and act quickly to correct any such error.</t>
        </is>
      </c>
      <c r="O54" s="165" t="inlineStr">
        <is>
          <t>Standardisation is what makes a norm-referenced score meaningful, and rigid adherence can make the assessment meaningless for the child in front of you. Knowing which adaptations preserve validity and which destroy it — and recording either honestly — is a genuine competency, not a workaround.</t>
        </is>
      </c>
      <c r="P54" s="165" t="inlineStr">
        <is>
          <t>▸  What standardisation buys you, and what it costs
     A standard score compares this child to a norm sample tested under specified conditions. Change the conditions and the comparison weakens. That is the cost of adaptation. The benefit is that a child who cannot access the task under standard conditions produces a score that measures their access, not their ability. Both errors are real; the judgement is which one you are making.
▸  Adaptations that preserve the comparison, and those that do not
     Generally preserving: a break between subtests; repeating an instruction where the manual permits; adjusting the physical environment (lighting, seating, noise); allowing a fidget object; moving to a different room.
Generally compromising: extending a timed item; rephrasing an instruction in your own words; providing a prompt the manual does not permit; changing item order within a subtest.
Where an adaptation compromises the comparison, you may still make it — but the score is then descriptive rather than normative, and you must say so.
This is a general principle rather than a rule to apply blindly: check the specific manual, and if a given adaptation is not addressed there, take it to supervision rather than deciding alone.
▸  Reasonable accommodation as a legal duty
     Under the Equal Status Acts 2000–2018 a service provider must do all that is reasonable to accommodate a person with a disability. That duty applies to your assessment. It does not oblige you to produce a valid standard score by any means — it obliges you to make the assessment accessible, and to be honest about what the resulting score means.
▸  Recording, and why it must be contemporaneous
     Annotate the protocol at the moment the adaptation happens, not afterwards. Write what you did, when, and why. Then in the report state the adaptation and its effect on interpretation: 'Two breaks were taken at the child's request. Standardised timing was preserved and scores are considered valid.' Or where it was not preserved: 'Instructions for Block Design were rephrased. This departs from standard procedure and the score is reported descriptively rather than as a normative comparison.' Written a week later, the same sentence is a reconstruction.
▸  Being willing to stop
     PSI clause 2.3.3 requires terminating an activity that is more harmful than beneficial. An assessment that is distressing a child and producing invalid data meets that test. Stopping is a defensible professional decision; continuing to get a complete protocol is not. Record the decision and the reason.</t>
        </is>
      </c>
      <c r="Q54" s="165" t="inlineStr">
        <is>
          <t>▸  Equal Status Acts 2000–2018. — the reasonable accommodation provisions.
▸  PSI (2025). Code of professional ethics (5th rev.). Clauses 2.3.3 and 4.2.2.
▸  Wechsler, D. (2016). WISC-V UK administration and scoring manual. Pearson. — the section on testing the limits.
▸  CORU (2023). Standards of proficiency. Standards 5.31, 2.8.</t>
        </is>
      </c>
      <c r="R54" s="166" t="inlineStr">
        <is>
          <t>✗  Adapting and not recording it.
✗  Recording it afterwards from memory.
✗  Reporting an adapted score as if it were normative.
✗  Pushing through distress to complete the protocol.
✗  Deciding alone on an adaptation the manual does not address.</t>
        </is>
      </c>
      <c r="S54" s="154" t="inlineStr">
        <is>
          <t>▸  GRADE 3
     You adapted, but wrote it up afterwards.
▸  GRADE 4
     Adaptation chosen proportionately, annotated at the time, effect on validity stated.
▸  GRADE 5
     You were willing to stop, and said so in writing.</t>
        </is>
      </c>
      <c r="T54" s="165" t="inlineStr">
        <is>
          <t>▸  BLOCK 1 · Knowing what adaptation costs
     [2–3 hours, once  ·  Weeks 1–2  ·  Study]
     Which adaptations preserve validity, which invalidate a score, and how the manual treats each.
     How you build it: Ask your supervisor for three examples and why. Read the manual's section on testing the limits.
     ·  Choose an adaptation proportionate to the need
          you have it when: Break, rephrase, reorder or discontinue, chosen deliberately
          [CORU SoP 5.31 · Equal Status Acts]
     ·  State the effect on validity in the report
          you have it when: You said whether scores remain interpretable
          [PSI Code 4.2.2]
▸  BLOCK 2 · Noticing and deciding in the moment
     [Builds with practice  ·  Weeks 7–12  ·  Practice]
     Recognising when standard procedure has stopped working, and being willing to stop entirely.
     How you build it: Write a note after every administration on what you noticed and when.
     ·  Recognise when standard procedure is not working
          you have it when: You noticed early rather than at the end
          [CORU SoP 5.31]
     ·  Record the adaptation at the moment it happens
          you have it when: Annotated on the protocol, not reconstructed
          [CORU SoP 2.8]
     ·  Re-evaluate whether to continue at all
          you have it when: You were willing to stop
          [PSI Code 2.3.3]</t>
        </is>
      </c>
      <c r="U54" s="165" t="inlineStr">
        <is>
          <t>No full chapter yet.</t>
        </is>
      </c>
      <c r="V54" s="165" t="inlineStr">
        <is>
          <t>▸  1.6 Co-ordination — fine motor / handwriting, gross motor / PE skills
     full entry under 1. Observation in classroom, playground and clinic
▸  5.1 Vision
     FULL ENTRY HERE
▸  5.2 Hearing
     FULL ENTRY HERE
▸  5.3 Medical condition or other diagnosis
     FULL ENTRY HERE</t>
        </is>
      </c>
      <c r="W54" s="165" t="inlineStr">
        <is>
          <t>Table 2 area 1 · Appendix 5 tagged Assessment · Appendix 7 observation · Table 3 tools and categories</t>
        </is>
      </c>
      <c r="X54" s="165" t="inlineStr">
        <is>
          <t>Equal Status Acts · Equal Status Acts 2000–2018 — reasonable accommodation · GDPR — lawful basis, minimisation</t>
        </is>
      </c>
      <c r="Y54" s="165" t="inlineStr">
        <is>
          <t>Year 1 — Becomes routine in disability settings in Year 2 and in high-risk contexts in Year 3.</t>
        </is>
      </c>
    </row>
    <row r="55" ht="408.75" customHeight="1" s="128">
      <c r="A55" s="167" t="inlineStr">
        <is>
          <t>AREA</t>
        </is>
      </c>
      <c r="B55" s="167" t="inlineStr">
        <is>
          <t>1. Assessment</t>
        </is>
      </c>
      <c r="C55" s="167" t="n"/>
      <c r="D55" s="167" t="inlineStr">
        <is>
          <t>10. Adapt standardised procedure and record the adaptation</t>
        </is>
      </c>
      <c r="E55" s="167" t="inlineStr">
        <is>
          <t>Referral area</t>
        </is>
      </c>
      <c r="F55" s="168" t="inlineStr">
        <is>
          <t>5.1 Vision</t>
        </is>
      </c>
      <c r="G55" s="167" t="inlineStr">
        <is>
          <t>ON THE FORM — Section 5</t>
        </is>
      </c>
      <c r="H55" s="167" t="n"/>
      <c r="I55" s="167" t="n"/>
      <c r="J55" s="167" t="n"/>
      <c r="K55" s="167">
        <f>COUNTIF(Log!$E$3:$E$402,"5.1 Vision")</f>
        <v/>
      </c>
      <c r="L55" s="169">
        <f>IF(COUNTIF(Log!$E$3:$E$402,"5.1 Vision")=0,"",SUMPRODUCT(MAX((Log!$E$3:$E$402="5.1 Vision")*Log!$A$3:$A$402)))</f>
        <v/>
      </c>
      <c r="M55" s="165" t="inlineStr">
        <is>
          <t>DIAGNOSES
▸  Visual impairment
     Medical</t>
        </is>
      </c>
      <c r="N55" s="170" t="inlineStr">
        <is>
          <t>PRESENTATIONS WITH NO DIAGNOSIS
▸  Uncorrected refractive error
     Added — rule out before assessing literacy
▸  Visual fatigue in extended reading
     Added
▸  Access to print — font, size, contrast, position in room
     Added</t>
        </is>
      </c>
      <c r="O55" s="165" t="inlineStr">
        <is>
          <t>REFER TO
▸  Ophthalmology
▸  Visiting Teacher service
▸  CDNT
▸  GP
▸  Optometry
▸  NEPS
▸  Visiting Teacher</t>
        </is>
      </c>
      <c r="P55" s="165" t="inlineStr">
        <is>
          <t>—</t>
        </is>
      </c>
      <c r="Q55" s="165" t="inlineStr">
        <is>
          <t>▸  Early Years / Pre-School (0–5)
     Vision screening history · Public Health Nurse records · never assess visually loaded tasks before vision is ruled out.</t>
        </is>
      </c>
      <c r="R55" s="165" t="inlineStr">
        <is>
          <t>▸  School Age (6–12)
     Confirm date of last vision check before any literacy or non-verbal assessment · Visiting Teacher involvement · seating and print access.</t>
        </is>
      </c>
      <c r="S55" s="165" t="inlineStr">
        <is>
          <t>▸  Adolescent (13–16)
     As above, plus exam access arrangements and the visual load of post-primary subjects.</t>
        </is>
      </c>
      <c r="T55" s="165" t="inlineStr">
        <is>
          <t>▸  Young Adult (17–26)
     Access technology and DSA evidence.</t>
        </is>
      </c>
      <c r="U55" s="165" t="inlineStr">
        <is>
          <t>▸  Special Setting (class or school)
     Environmental access audit.</t>
        </is>
      </c>
      <c r="AG55" s="171" t="inlineStr">
        <is>
          <t>Environmental Factors — Family, School, Community
· Family dynamics (including CEC, adopted and CYP with SGOs)
· Siblings, extended family, links and relationship to school and education
· Family stressors
· Financial stress
· Housing
· Home learning environment
· Parental attitude to school/education
· Trauma/significant life events
· Adverse childhood events
· Family views
· Bereavements/relational losses
· Key adults / members of staff (significant relationships both positive and negative in and out of school) and level of school commitment to child
· Travel distance to school
· School attendance
· Child's views/preferences
· School-parent relationship
· Peer group dynamics
· School learning environment
· Access to interventions and support
· Curriculum/exam boards
· Teacher expectations
· Teacher/staff understanding/knowledge
· Attainment-based grouping
· Influences in school and the local community
· Other agency involvement — Police, YOT, CAMHS, Speech and Language Service, Fair Access, SENAT, Virtual School, SGO Advisor, Intensive Planning Team, Prevent, CSE, Early Years, School Nurse, Portage, Early Help, Social and Caring Services Health Services</t>
        </is>
      </c>
      <c r="AH55" s="171" t="inlineStr">
        <is>
          <t>Within-Child — Biological Factors
· Family history including early development, physical development, medical conditions and diagnoses/difficulties
· General health
· Medication
· Dietary needs
· Sensory needs
· Addictions e.g. smoking, drink, drugs</t>
        </is>
      </c>
      <c r="AI55" s="171" t="inlineStr">
        <is>
          <t>Within-Child — Cognitive Factors
ASSESSABLE
· Memory
· Language
· Executive functioning: including emotional and behavioural regulation/development
· Attention and concentration
· Visual spatial ability
· Phonological processing
· Processing speed
· Non-verbal reasoning
· Verbal ability (e.g. word problems, verbal presentation)
· Logical reasoning ability
· Literacy skills
· Attainment
OBSERVATION AND CONSULTATION
· Signs of developmental trauma impacting on ability to participate in learning
· Ability to problem-solve
· Flexibility of thought and action
· Self-awareness</t>
        </is>
      </c>
      <c r="AJ55" s="171" t="inlineStr">
        <is>
          <t>Within-Child — Affective Factors
· Experience of developmental trauma
· Confidence
· Self-esteem
· Emotional understanding and expression
· Sense of enablement
· Sense of self
· Sense of belonging
· Motivation (intrinsic or extrinsic)
· Resiliency
· Mood
· Anxiety
· Aspirations
· Perseverance / determination
· Sense of humour
· Self-control
· Social skills
· Empathy</t>
        </is>
      </c>
      <c r="AK55" s="171" t="inlineStr">
        <is>
          <t>Within-Child — Behavioural Factors
· Ability to develop and maintain friendships and relationships
· Positive achievements
· Care/concern for others, volunteering, helping
· Dangerous or risk-taking behaviour
· Verbal / physical abuse
· Self-harm
· Bullying
· Truancy</t>
        </is>
      </c>
    </row>
    <row r="56" ht="408.75" customHeight="1" s="128">
      <c r="A56" s="167" t="inlineStr">
        <is>
          <t>AREA</t>
        </is>
      </c>
      <c r="B56" s="167" t="inlineStr">
        <is>
          <t>1. Assessment</t>
        </is>
      </c>
      <c r="C56" s="167" t="n"/>
      <c r="D56" s="167" t="inlineStr">
        <is>
          <t>10. Adapt standardised procedure and record the adaptation</t>
        </is>
      </c>
      <c r="E56" s="167" t="inlineStr">
        <is>
          <t>Referral area</t>
        </is>
      </c>
      <c r="F56" s="168" t="inlineStr">
        <is>
          <t>5.2 Hearing</t>
        </is>
      </c>
      <c r="G56" s="167" t="inlineStr">
        <is>
          <t>ON THE FORM — Section 5</t>
        </is>
      </c>
      <c r="H56" s="167" t="n"/>
      <c r="I56" s="167" t="n"/>
      <c r="J56" s="167" t="n"/>
      <c r="K56" s="167">
        <f>COUNTIF(Log!$E$3:$E$402,"5.2 Hearing")</f>
        <v/>
      </c>
      <c r="L56" s="169">
        <f>IF(COUNTIF(Log!$E$3:$E$402,"5.2 Hearing")=0,"",SUMPRODUCT(MAX((Log!$E$3:$E$402="5.2 Hearing")*Log!$A$3:$A$402)))</f>
        <v/>
      </c>
      <c r="M56" s="165" t="inlineStr">
        <is>
          <t>DIAGNOSES
▸  Hearing impairment (mild, moderate, severe, profound; unilateral or bilateral)
     Medical
▸  Recurrent otitis media with effusion (glue ear)
     Medical</t>
        </is>
      </c>
      <c r="N56" s="170" t="inlineStr">
        <is>
          <t>PRESENTATIONS WITH NO DIAGNOSIS
▸  Listening in noise vs listening one-to-one
     Added
▸  Classroom acoustics and seating
     Added
▸  Hearing history during the years phonics was taught
     Added — glue ear at 5 shows up at 8</t>
        </is>
      </c>
      <c r="O56" s="165" t="inlineStr">
        <is>
          <t>REFER TO
▸  Audiology
▸  Visiting Teacher service
▸  CDNT
▸  GP
▸  Audiology — common contributor to literacy difficulty
▸  NEPS
▸  Visiting Teacher</t>
        </is>
      </c>
      <c r="P56" s="165" t="inlineStr">
        <is>
          <t>—</t>
        </is>
      </c>
      <c r="Q56" s="165" t="inlineStr">
        <is>
          <t>▸  Early Years / Pre-School (0–5)
     Newborn screening and PHN records · glue ear history · always establish before any language conclusion.</t>
        </is>
      </c>
      <c r="R56" s="165" t="inlineStr">
        <is>
          <t>▸  School Age (6–12)
     Confirm audiology status before assessing language or literacy · a history of glue ear during infant classes is a live hypothesis for literacy difficulty.</t>
        </is>
      </c>
      <c r="S56" s="165" t="inlineStr">
        <is>
          <t>▸  Adolescent (13–16)
     Audiology status · FM system use · acoustics in specialist rooms.</t>
        </is>
      </c>
      <c r="T56" s="165" t="inlineStr">
        <is>
          <t>▸  Young Adult (17–26)
     Access technology and course arrangements.</t>
        </is>
      </c>
      <c r="U56" s="165" t="inlineStr">
        <is>
          <t>▸  Special Setting (class or school)
     Acoustic environment and total communication approach.</t>
        </is>
      </c>
      <c r="AG56" s="171" t="inlineStr">
        <is>
          <t>Environmental Factors — Family, School, Community
· Family dynamics (including CEC, adopted and CYP with SGOs)
· Siblings, extended family, links and relationship to school and education
· Family stressors
· Financial stress
· Housing
· Home learning environment
· Parental attitude to school/education
· Trauma/significant life events
· Adverse childhood events
· Family views
· Bereavements/relational losses
· Key adults / members of staff (significant relationships both positive and negative in and out of school) and level of school commitment to child
· Travel distance to school
· School attendance
· Child's views/preferences
· School-parent relationship
· Peer group dynamics
· School learning environment
· Access to interventions and support
· Curriculum/exam boards
· Teacher expectations
· Teacher/staff understanding/knowledge
· Attainment-based grouping
· Influences in school and the local community
· Other agency involvement — Police, YOT, CAMHS, Speech and Language Service, Fair Access, SENAT, Virtual School, SGO Advisor, Intensive Planning Team, Prevent, CSE, Early Years, School Nurse, Portage, Early Help, Social and Caring Services Health Services</t>
        </is>
      </c>
      <c r="AH56" s="171" t="inlineStr">
        <is>
          <t>Within-Child — Biological Factors
· Family history including early development, physical development, medical conditions and diagnoses/difficulties
· General health
· Medication
· Dietary needs
· Sensory needs
· Addictions e.g. smoking, drink, drugs</t>
        </is>
      </c>
      <c r="AI56" s="171" t="inlineStr">
        <is>
          <t>Within-Child — Cognitive Factors
ASSESSABLE
· Memory
· Language
· Executive functioning: including emotional and behavioural regulation/development
· Attention and concentration
· Visual spatial ability
· Phonological processing
· Processing speed
· Non-verbal reasoning
· Verbal ability (e.g. word problems, verbal presentation)
· Logical reasoning ability
· Literacy skills
· Attainment
OBSERVATION AND CONSULTATION
· Signs of developmental trauma impacting on ability to participate in learning
· Ability to problem-solve
· Flexibility of thought and action
· Self-awareness</t>
        </is>
      </c>
      <c r="AJ56" s="171" t="inlineStr">
        <is>
          <t>Within-Child — Affective Factors
· Experience of developmental trauma
· Confidence
· Self-esteem
· Emotional understanding and expression
· Sense of enablement
· Sense of self
· Sense of belonging
· Motivation (intrinsic or extrinsic)
· Resiliency
· Mood
· Anxiety
· Aspirations
· Perseverance / determination
· Sense of humour
· Self-control
· Social skills
· Empathy</t>
        </is>
      </c>
      <c r="AK56" s="171" t="inlineStr">
        <is>
          <t>Within-Child — Behavioural Factors
· Ability to develop and maintain friendships and relationships
· Positive achievements
· Care/concern for others, volunteering, helping
· Dangerous or risk-taking behaviour
· Verbal / physical abuse
· Self-harm
· Bullying
· Truancy</t>
        </is>
      </c>
    </row>
    <row r="57" ht="408.75" customHeight="1" s="128">
      <c r="A57" s="167" t="inlineStr">
        <is>
          <t>AREA</t>
        </is>
      </c>
      <c r="B57" s="167" t="inlineStr">
        <is>
          <t>1. Assessment</t>
        </is>
      </c>
      <c r="C57" s="167" t="n"/>
      <c r="D57" s="167" t="inlineStr">
        <is>
          <t>10. Adapt standardised procedure and record the adaptation</t>
        </is>
      </c>
      <c r="E57" s="167" t="inlineStr">
        <is>
          <t>Referral area</t>
        </is>
      </c>
      <c r="F57" s="168" t="inlineStr">
        <is>
          <t>5.3 Medical condition or other diagnosis</t>
        </is>
      </c>
      <c r="G57" s="167" t="inlineStr">
        <is>
          <t>ON THE FORM — Section 5</t>
        </is>
      </c>
      <c r="H57" s="167" t="n"/>
      <c r="I57" s="167" t="n"/>
      <c r="J57" s="167" t="n"/>
      <c r="K57" s="167">
        <f>COUNTIF(Log!$E$3:$E$402,"5.3 Medical condition or other diagnosis")</f>
        <v/>
      </c>
      <c r="L57" s="169">
        <f>IF(COUNTIF(Log!$E$3:$E$402,"5.3 Medical condition or other diagnosis")=0,"",SUMPRODUCT(MAX((Log!$E$3:$E$402="5.3 Medical condition or other diagnosis")*Log!$A$3:$A$402)))</f>
        <v/>
      </c>
      <c r="M57" s="165" t="inlineStr">
        <is>
          <t>DIAGNOSES
▸  Epilepsy and its educational impact
     Medical / ICD-11 Ch.08
▸  Cerebral palsy (spastic / dyskinetic / ataxic / mixed)
     Medical / ICD-11 Ch.08
▸  Spina bifida
     Medical / ICD-11 Ch.08
▸  Muscular dystrophy
     Medical / ICD-11 Ch.08
▸  Acquired brain injury
     Medical / ICD-11 Ch.08
▸  Foetal Alcohol Spectrum Disorder
     Prenatal exposure
▸  Genetic syndromes (Down, Fragile X, 22q11.2, Williams, Prader-Willi, Angelman, Rett)
     ICD-11 Ch.20
▸  Sleep disorders (insomnia, hypersomnolence, narcolepsy, breathing-related, circadian, RLS, NREM arousal, nightmare, REM behaviour)
     DSM-5-TR / ICD-11 Ch.07
▸  Feeding and eating disorders (Pica, Rumination, ARFID, Anorexia, Bulimia, Binge-Eating)
     DSM-5-TR / ICD-11 6B80–6B8Z
▸  Elimination disorders (Enuresis, Encopresis)
     DSM-5-TR / ICD-11 6C00–6C0Z
▸  Somatic Symptom Disorder / Illness Anxiety / Conversion Disorder
     DSM-5-TR / ICD-11 6C20–6C2Z</t>
        </is>
      </c>
      <c r="N57" s="170" t="inlineStr">
        <is>
          <t>PRESENTATIONS WITH NO DIAGNOSIS
▸  Physical disability (non-cerebral palsy)
     Medical
▸  Multiple disabilities
     Medical
▸  Chronic illness affecting school
     Medical
▸  Fatigue and stamina needs
     Medical
▸  Medication effects on attention and learning
     Added
▸  Missed curriculum from hospital admissions
     Added
▸  Re-entry to school after illness
     Added</t>
        </is>
      </c>
      <c r="O57" s="165" t="inlineStr">
        <is>
          <t>REFER TO
▸  Paediatric neurology
▸  CDNT
▸  OT
▸  Physio
▸  Paediatrics
▸  GP
▸  CAMHS pathway
▸  Primary Care
▸  paediatric liaison
▸  NEPS for school supports
▸  NEPS
▸  CAMHS
▸  home tuition</t>
        </is>
      </c>
      <c r="P57" s="165" t="inlineStr">
        <is>
          <t>—</t>
        </is>
      </c>
      <c r="Q57" s="165" t="inlineStr">
        <is>
          <t>▸  Early Years / Pre-School (0–5)
     Medical history from parent and PHN · developmental milestones · CDNT is usually the lead, not NEPS.</t>
        </is>
      </c>
      <c r="R57" s="165" t="inlineStr">
        <is>
          <t>▸  School Age (6–12)
     Medical report with consent · impact on school day (fatigue, medication timing, absence) · your role is educational impact, not diagnosis.</t>
        </is>
      </c>
      <c r="S57" s="165" t="inlineStr">
        <is>
          <t>▸  Adolescent (13–16)
     Medical report · exam accommodations · subject choice constraints · transition planning.</t>
        </is>
      </c>
      <c r="T57" s="165" t="inlineStr">
        <is>
          <t>▸  Young Adult (17–26)
     Adult services · course accommodations · DSA.</t>
        </is>
      </c>
      <c r="U57" s="165" t="inlineStr">
        <is>
          <t>▸  Special Setting (class or school)
     Care plan within the setting · nursing support · staff training needs.</t>
        </is>
      </c>
      <c r="AG57" s="171" t="inlineStr">
        <is>
          <t>Environmental Factors — Family, School, Community
· Family dynamics (including CEC, adopted and CYP with SGOs)
· Siblings, extended family, links and relationship to school and education
· Family stressors
· Financial stress
· Housing
· Home learning environment
· Parental attitude to school/education
· Trauma/significant life events
· Adverse childhood events
· Family views
· Bereavements/relational losses
· Key adults / members of staff (significant relationships both positive and negative in and out of school) and level of school commitment to child
· Travel distance to school
· School attendance
· Child's views/preferences
· School-parent relationship
· Peer group dynamics
· School learning environment
· Access to interventions and support
· Curriculum/exam boards
· Teacher expectations
· Teacher/staff understanding/knowledge
· Attainment-based grouping
· Influences in school and the local community
· Other agency involvement — Police, YOT, CAMHS, Speech and Language Service, Fair Access, SENAT, Virtual School, SGO Advisor, Intensive Planning Team, Prevent, CSE, Early Years, School Nurse, Portage, Early Help, Social and Caring Services Health Services</t>
        </is>
      </c>
      <c r="AH57" s="171" t="inlineStr">
        <is>
          <t>Within-Child — Biological Factors
· Family history including early development, physical development, medical conditions and diagnoses/difficulties
· General health
· Medication
· Dietary needs
· Sensory needs
· Addictions e.g. smoking, drink, drugs</t>
        </is>
      </c>
      <c r="AI57" s="171" t="inlineStr">
        <is>
          <t>Within-Child — Cognitive Factors
ASSESSABLE
· Memory
· Language
· Executive functioning: including emotional and behavioural regulation/development
· Attention and concentration
· Visual spatial ability
· Phonological processing
· Processing speed
· Non-verbal reasoning
· Verbal ability (e.g. word problems, verbal presentation)
· Logical reasoning ability
· Literacy skills
· Attainment
OBSERVATION AND CONSULTATION
· Signs of developmental trauma impacting on ability to participate in learning
· Ability to problem-solve
· Flexibility of thought and action
· Self-awareness</t>
        </is>
      </c>
      <c r="AJ57" s="171" t="inlineStr">
        <is>
          <t>Within-Child — Affective Factors
· Experience of developmental trauma
· Confidence
· Self-esteem
· Emotional understanding and expression
· Sense of enablement
· Sense of self
· Sense of belonging
· Motivation (intrinsic or extrinsic)
· Resiliency
· Mood
· Anxiety
· Aspirations
· Perseverance / determination
· Sense of humour
· Self-control
· Social skills
· Empathy</t>
        </is>
      </c>
      <c r="AK57" s="171" t="inlineStr">
        <is>
          <t>Within-Child — Behavioural Factors
· Ability to develop and maintain friendships and relationships
· Positive achievements
· Care/concern for others, volunteering, helping
· Dangerous or risk-taking behaviour
· Verbal / physical abuse
· Self-harm
· Bullying
· Truancy</t>
        </is>
      </c>
    </row>
    <row r="58" ht="19.5" customHeight="1" s="128">
      <c r="A58" s="147" t="inlineStr">
        <is>
          <t>COMP</t>
        </is>
      </c>
      <c r="B58" s="147" t="inlineStr">
        <is>
          <t>2. Formulation</t>
        </is>
      </c>
      <c r="C58" s="147" t="n"/>
      <c r="D58" s="147" t="n"/>
      <c r="E58" s="147" t="inlineStr">
        <is>
          <t>6 macro skills · 2 referral areas</t>
        </is>
      </c>
      <c r="F58" s="147" t="n"/>
      <c r="G58" s="147" t="n"/>
      <c r="H58" s="147" t="n"/>
      <c r="I58" s="147" t="n"/>
      <c r="J58" s="147" t="n"/>
      <c r="K58" s="147" t="n"/>
      <c r="L58" s="147" t="n"/>
      <c r="M58" s="147" t="n"/>
      <c r="N58" s="147" t="n"/>
      <c r="O58" s="147" t="n"/>
      <c r="P58" s="147" t="n"/>
      <c r="Q58" s="147" t="n"/>
      <c r="R58" s="147" t="n"/>
      <c r="S58" s="147" t="n"/>
      <c r="T58" s="147" t="n"/>
      <c r="U58" s="147" t="n"/>
      <c r="V58" s="147" t="n"/>
      <c r="W58" s="147" t="n"/>
      <c r="X58" s="147" t="n"/>
      <c r="Y58" s="147" t="n"/>
      <c r="Z58" s="147" t="n"/>
      <c r="AA58" s="147" t="n"/>
      <c r="AB58" s="147" t="n"/>
      <c r="AC58" s="147" t="n"/>
      <c r="AD58" s="147" t="n"/>
      <c r="AE58" s="147" t="n"/>
      <c r="AF58" s="147" t="n"/>
      <c r="AG58" s="147" t="n"/>
      <c r="AH58" s="147" t="n"/>
      <c r="AI58" s="147" t="n"/>
      <c r="AJ58" s="147" t="n"/>
      <c r="AK58" s="147" t="n"/>
    </row>
    <row r="59" ht="169.5" customHeight="1" s="128">
      <c r="A59" s="148" t="n"/>
      <c r="B59" s="149" t="inlineStr">
        <is>
          <t>2. Formulation</t>
        </is>
      </c>
      <c r="C59" s="149" t="n"/>
      <c r="D59" s="148" t="n"/>
      <c r="E59" s="148" t="inlineStr">
        <is>
          <t>What CORU asks of this competency — verbatim</t>
        </is>
      </c>
      <c r="F59" s="133" t="inlineStr">
        <is>
          <t>14 standards across this competency</t>
        </is>
      </c>
      <c r="G59" s="133" t="n"/>
      <c r="H59" s="149" t="n"/>
      <c r="I59" s="149" t="n"/>
      <c r="J59" s="149" t="n"/>
      <c r="K59" s="148" t="n"/>
      <c r="L59" s="148" t="n"/>
      <c r="M59" s="150" t="inlineStr">
        <is>
          <t>▸  CORU 1.3
     Be able to act in the best interest of service users at all times with due regard to their will and preference</t>
        </is>
      </c>
      <c r="N59" s="150" t="inlineStr">
        <is>
          <t>▸  CORU 1.12
     Understand and be able to apply the limits of the concept of confidentiality particularly in relation to child protection, vulnerable adults and elder abuse</t>
        </is>
      </c>
      <c r="O59" s="150" t="inlineStr">
        <is>
          <t>▸  CORU 2.1
     Be able to communicate diagnosis/assessment and/or treatment/management options in a way that can be understood by the service user</t>
        </is>
      </c>
      <c r="P59" s="150" t="inlineStr">
        <is>
          <t>▸  CORU 3.4
     Be able to analyse and critically evaluate the information collected in the assessment process</t>
        </is>
      </c>
      <c r="Q59" s="150" t="inlineStr">
        <is>
          <t>▸  CORU 3.5
     Be able to demonstrate sound logical reasoning and problem solving skills to determine appropriate problem lists, action plans and goals</t>
        </is>
      </c>
      <c r="R59" s="150" t="inlineStr">
        <is>
          <t>▸  CORU 3.6
     Be able to demonstrate an evidence-informed approach to professional decision-making, adapting practice to the needs of the service user and drawing on appropriate knowledge and skills in order to make professional judgments</t>
        </is>
      </c>
      <c r="S59" s="150" t="inlineStr">
        <is>
          <t>▸  CORU 5.2
     Demonstrate a critical understanding of relevant biological sciences, human development, social and behavioural sciences and other related sciences, together with a knowledge of health and wellbeing</t>
        </is>
      </c>
      <c r="T59" s="150" t="inlineStr">
        <is>
          <t>▸  CORU 5.5
     Be able to identify and understand the impact of governmental, organisational, community and societal structures, systems and culture on health and social care provision</t>
        </is>
      </c>
      <c r="U59" s="150" t="inlineStr">
        <is>
          <t>▸  CORU 5.14
     Know the impact of structures and systems in which educational services are provided on the development of children, young people and adult learners at individual, group and organisational levels</t>
        </is>
      </c>
      <c r="V59" s="150" t="inlineStr">
        <is>
          <t>▸  CORU 5.15
     Know psychological models related to the cognitive, behavioural, emotional, social and learning development of children, young people and adults in educational, health and social care services</t>
        </is>
      </c>
      <c r="W59" s="150" t="inlineStr">
        <is>
          <t>▸  CORU 5.16
     Know psychological models related to the impact of family structures, culture, community, organisations and systems on cognitive, behavioural, emotional, social and learning development</t>
        </is>
      </c>
      <c r="X59" s="150" t="inlineStr">
        <is>
          <t>▸  CORU 5.17
     Know psychological models related to the factors that hinder the fulfilment of potential and achievement among children, young people and adults, in order to identify needs and address barriers to learning and development</t>
        </is>
      </c>
      <c r="Y59" s="150" t="inlineStr">
        <is>
          <t>▸  CORU 5.29
     Know and apply educational psychology theory and systemic, ecological and problem-solving frameworks related to assessment methods</t>
        </is>
      </c>
      <c r="Z59" s="150" t="inlineStr">
        <is>
          <t>▸  CORU 5.32
     Interpret, synthesise and critically evaluate assessment data, within relevant conceptual frameworks, to inform case formulation and psychological intervention planning</t>
        </is>
      </c>
    </row>
    <row r="60" ht="169.5" customHeight="1" s="128">
      <c r="A60" s="148" t="n"/>
      <c r="B60" s="149" t="inlineStr">
        <is>
          <t>2. Formulation</t>
        </is>
      </c>
      <c r="C60" s="149" t="n"/>
      <c r="D60" s="148" t="n"/>
      <c r="E60" s="148" t="inlineStr">
        <is>
          <t>What the PSI Code asks of this competency — verbatim</t>
        </is>
      </c>
      <c r="F60" s="133" t="inlineStr">
        <is>
          <t>3 clauses across this competency</t>
        </is>
      </c>
      <c r="G60" s="133" t="n"/>
      <c r="H60" s="149" t="n"/>
      <c r="I60" s="149" t="n"/>
      <c r="J60" s="149" t="n"/>
      <c r="K60" s="148" t="n"/>
      <c r="L60" s="148" t="n"/>
      <c r="M60" s="150" t="inlineStr">
        <is>
          <t>▸  PSI 2.3.1
     Be mindful, when making decisions based on psychological data and techniques, of the limitations of such data and techniques.</t>
        </is>
      </c>
      <c r="N60" s="150" t="inlineStr">
        <is>
          <t>▸  PSI 4.2.5
     Take care in communicating their knowledge, findings and views to clearly differentiate facts, opinions, theories, hypotheses and ideas.</t>
        </is>
      </c>
      <c r="O60" s="150" t="inlineStr">
        <is>
          <t>▸  PSI 4.2.6
     Not suppress disconfirming evidence of their findings and views, and acknowledge alternative hypotheses and explanations.</t>
        </is>
      </c>
    </row>
    <row r="61" ht="109.5" customHeight="1" s="128">
      <c r="A61" s="151" t="n"/>
      <c r="B61" s="152" t="inlineStr">
        <is>
          <t>2. Formulation</t>
        </is>
      </c>
      <c r="C61" s="152" t="n"/>
      <c r="D61" s="151" t="n"/>
      <c r="E61" s="151" t="inlineStr">
        <is>
          <t>Three-year arc</t>
        </is>
      </c>
      <c r="F61" s="153" t="inlineStr">
        <is>
          <t>What good looks like each year</t>
        </is>
      </c>
      <c r="G61" s="153" t="n"/>
      <c r="H61" s="152" t="n"/>
      <c r="I61" s="152" t="n"/>
      <c r="J61" s="152" t="n"/>
      <c r="K61" s="151" t="n"/>
      <c r="L61" s="151" t="n"/>
      <c r="M61" s="154" t="inlineStr">
        <is>
          <t>Year 1 — You learn the four named frameworks and apply one explicitly to each substantial case. Naming the framework in the report is the marker.</t>
        </is>
      </c>
      <c r="N61" s="154" t="inlineStr">
        <is>
          <t>Year 2 — You formulate for co-occurring presentations and integrate multi-disciplinary information. Formulation stops being a section and becomes the argument of the report.</t>
        </is>
      </c>
      <c r="O61" s="154" t="inlineStr">
        <is>
          <t>Year 3 — You formulate for mental health difficulties and in high-risk contexts, holding several competing explanations at once.</t>
        </is>
      </c>
    </row>
    <row r="62" ht="30" customHeight="1" s="128">
      <c r="A62" s="155" t="n"/>
      <c r="B62" s="155" t="n"/>
      <c r="C62" s="155" t="n"/>
      <c r="D62" s="155" t="n"/>
      <c r="E62" s="155" t="n"/>
      <c r="F62" s="156" t="inlineStr">
        <is>
          <t>one skill = one row →</t>
        </is>
      </c>
      <c r="G62" s="155" t="n"/>
      <c r="H62" s="155" t="n"/>
      <c r="I62" s="155" t="n"/>
      <c r="J62" s="155" t="n"/>
      <c r="K62" s="155" t="n"/>
      <c r="L62" s="155" t="n"/>
      <c r="M62" s="157" t="inlineStr">
        <is>
          <t>1 · CORU — number and focus</t>
        </is>
      </c>
      <c r="N62" s="157" t="inlineStr">
        <is>
          <t>2 · PSI — number and focus</t>
        </is>
      </c>
      <c r="O62" s="157" t="inlineStr">
        <is>
          <t>3 · Why this matters</t>
        </is>
      </c>
      <c r="P62" s="157" t="inlineStr">
        <is>
          <t>4 · Teaching — how you build it</t>
        </is>
      </c>
      <c r="Q62" s="157" t="inlineStr">
        <is>
          <t>5 · What to read</t>
        </is>
      </c>
      <c r="R62" s="157" t="inlineStr">
        <is>
          <t>6 · Common errors that cost marks</t>
        </is>
      </c>
      <c r="S62" s="157" t="inlineStr">
        <is>
          <t>7 · Rubric — grade 3, 4, 5</t>
        </is>
      </c>
      <c r="T62" s="157" t="inlineStr">
        <is>
          <t>8 · Blocks and micro-skills with pass tests</t>
        </is>
      </c>
      <c r="U62" s="157" t="inlineStr">
        <is>
          <t>9 · Full chapter, where written</t>
        </is>
      </c>
      <c r="V62" s="157" t="inlineStr">
        <is>
          <t>10 · Referral areas this skill serves</t>
        </is>
      </c>
      <c r="W62" s="157" t="inlineStr">
        <is>
          <t>11 · Where the evidence goes</t>
        </is>
      </c>
      <c r="X62" s="157" t="inlineStr">
        <is>
          <t>12 · Law and policy</t>
        </is>
      </c>
      <c r="Y62" s="157" t="inlineStr">
        <is>
          <t>13 · Year and how it extends</t>
        </is>
      </c>
      <c r="Z62" s="157" t="inlineStr">
        <is>
          <t>14 · —</t>
        </is>
      </c>
      <c r="AA62" s="157" t="inlineStr">
        <is>
          <t>15 · —</t>
        </is>
      </c>
      <c r="AB62" s="157" t="inlineStr">
        <is>
          <t>16 · —</t>
        </is>
      </c>
      <c r="AC62" s="157" t="inlineStr">
        <is>
          <t>17 · —</t>
        </is>
      </c>
      <c r="AD62" s="157" t="inlineStr">
        <is>
          <t>18 · —</t>
        </is>
      </c>
      <c r="AE62" s="157" t="inlineStr">
        <is>
          <t>19 · —</t>
        </is>
      </c>
      <c r="AF62" s="157" t="inlineStr">
        <is>
          <t>20 · —</t>
        </is>
      </c>
    </row>
    <row r="63" ht="408.75" customHeight="1" s="128">
      <c r="A63" s="158" t="inlineStr">
        <is>
          <t>SKILL</t>
        </is>
      </c>
      <c r="B63" s="159" t="inlineStr">
        <is>
          <t>2. Formulation</t>
        </is>
      </c>
      <c r="C63" s="160" t="inlineStr">
        <is>
          <t>▸  Reading them
▸  Making your default explicit</t>
        </is>
      </c>
      <c r="D63" s="161" t="inlineStr">
        <is>
          <t>11. Learn the four frameworks for practice</t>
        </is>
      </c>
      <c r="E63" s="158" t="inlineStr">
        <is>
          <t>Macro skill</t>
        </is>
      </c>
      <c r="F63" s="161" t="inlineStr">
        <is>
          <t>11. Learn the four frameworks for practice</t>
        </is>
      </c>
      <c r="G63" s="162" t="inlineStr">
        <is>
          <t>Everything about this skill is on this row. Scroll right.</t>
        </is>
      </c>
      <c r="H63" s="158" t="n"/>
      <c r="I63" s="158" t="n"/>
      <c r="J63" s="158" t="n"/>
      <c r="K63" s="158">
        <f>COUNTIF(Log!$G$3:$G$402,"11. Learn the four frameworks for practice")</f>
        <v/>
      </c>
      <c r="L63" s="163">
        <f>IF(COUNTIF(Log!$G$3:$G$402,"11. Learn the four frameworks for practice")=0,"",SUMPRODUCT(MAX((Log!$G$3:$G$402="11. Learn the four frameworks for practice")*Log!$A$3:$A$402)))</f>
        <v/>
      </c>
      <c r="M63" s="164" t="inlineStr">
        <is>
          <t>▸  CORU 2.1
     Be able to communicate diagnosis/assessment and/or treatment/management options in a way that can be understood by the service user
▸  CORU 5.29
     Know and apply educational psychology theory and systemic, ecological and problem-solving frameworks related to assessment methods</t>
        </is>
      </c>
      <c r="N63" s="164" t="inlineStr">
        <is>
          <t>▸  PSI 4.2.5
     Take care in communicating their knowledge, findings and views to clearly differentiate facts, opinions, theories, hypotheses and ideas.
▸  PSI 4.2.6
     Not suppress disconfirming evidence of their findings and views, and acknowledge alternative hypotheses and explanations.</t>
        </is>
      </c>
      <c r="O63" s="165" t="inlineStr">
        <is>
          <t>A framework is not a form to fill in. It is a decision about what counts as an explanation. Choose Monsen and you have committed to making your reasoning visible and falsifiable; choose the Interactive Factors Framework and you have committed to showing causal layers interacting rather than listed. Trainees who skip this step do not end up frameworkless — they end up using an implicit one, usually a within-child deficit model absorbed from report templates, and they cannot defend it when an examiner or a parent asks why the formulation looks the way it does. Your 4 August review named assimilating multiple sources as a development area. That difficulty is almost always a framework problem rather than a data problem.</t>
        </is>
      </c>
      <c r="P63" s="165" t="inlineStr">
        <is>
          <t>▸  Monsen's Problem-Analysis Framework (Monsen &amp; Frederickson, 2008)
     A hypothesis-testing cycle: gather information, generate competing hypotheses, test each against the evidence, state the conclusion and what would disconfirm it. Its strength is that reasoning is inspectable — another psychologist can follow your steps and disagree at a specific point. Its weakness is that it is slow, and it can produce a tidy account of a messy situation by quietly dropping the hypotheses that did not resolve. Use it when the referral question is contested, when informants disagree, or when a previous formulation has not held.
▸  The Interactive Factors Framework (Frederickson &amp; Cline, 2009; after Morton &amp; Frith)
     Four levels — biological, cognitive, behavioural, and environmental — with arrows showing influence between them. Its strength is that it forces you to show interaction rather than list contributors, which is precisely the gap named in your review. Its weakness is that the arrows are easy to draw and hard to justify: an arrow is a causal claim and needs evidence. Use it for developmental and learning presentations where biology, cognition and environment are all live.
▸  The Constructionist Model of Informed and Reasoned Action, COMOIRA (Gameson &amp; Rhydderch, 2008)
     Puts change, not diagnosis, at the centre, and treats every account — yours, the teacher's, the parent's, the child's — as a construction rather than a report on reality. Its strength is that it handles disagreement without deciding who is wrong, and it keeps the child's own construction in the formulation. Its weakness is that it can float free of data if you are not disciplined. Use it in consultation-led work and where the adults around the child hold incompatible views.
▸  Carr's model (Carr, 2015)
     A clinical-psychology formulation structure: predisposing, precipitating, perpetuating and protective factors, mapped across a developmental history. Its strength is that it handles timing — why now, why this child, why it persists. Its weakness is that it is individual-centred and can under-weight the classroom. Use it where onset and maintenance matter, such as school avoidance or emerging mood difficulty.
▸  What choosing actually involves
     The referral question chooses the framework, not your preference. Ask: is the difficulty contested (Monsen), multi-level and developmental (IFF), a disagreement between adults (COMOIRA), or a question about onset and maintenance (Carr)? Write the answer down before you collect data, because the framework determines what data you need. Choosing afterwards is decoration.</t>
        </is>
      </c>
      <c r="Q63" s="165" t="inlineStr">
        <is>
          <t>▸  Monsen, J. J., &amp; Frederickson, N. (2008). The Monsen et al. problem-analysis framework. In B. Kelly, L. Woolfson &amp; J. Boyle (Eds.), Frameworks for practice in educational psychology. Jessica Kingsley. — read the worked case, not just the model.
▸  Gameson, J., &amp; Rhydderch, G. (2008). The constructionist model of informed and reasoned action (COMOIRA). In Kelly, Woolfson &amp; Boyle (Eds.), Frameworks for practice in educational psychology. Jessica Kingsley.
▸  Frederickson, N., &amp; Cline, T. (2009). Special educational needs, inclusion and diversity (2nd ed.). Open University Press. — the chapter presenting the Interactive Factors Framework.
▸  Carr, A. (2015). The handbook of child and adolescent clinical psychology (3rd ed.). Routledge. — the formulation chapter.
▸  Kelly, B., Woolfson, L., &amp; Boyle, J. (Eds.) (2008). Frameworks for practice in educational psychology. Jessica Kingsley. — the editors' introduction is the best single account of why frameworks matter at all.</t>
        </is>
      </c>
      <c r="R63" s="166" t="inlineStr">
        <is>
          <t>✗  Naming a framework in the report without using its structure. If you cite Monsen and the report contains no competing hypotheses, you have cited it decoratively and an examiner will see that immediately.
✗  Choosing the framework after the data is collected, to fit what you found. That is not formulation, it is retrospective justification.
✗  Using the same framework on every case. If every referral suits the Interactive Factors Framework, you are not choosing — you are defaulting.
✗  Treating the four as interchangeable. They make different claims about what an explanation is. Being able to say what each one leaves out is the test of whether you understand them.
✗  Not asking your supervisor which framework they use. Supervisors have defaults too, and knowing theirs tells you how your reports will be read.</t>
        </is>
      </c>
      <c r="S63" s="154" t="inlineStr">
        <is>
          <t>▸  GRADE 3
     You can name the four frameworks and give a rough account of each, but your reports do not visibly use one.
▸  GRADE 4
     You choose a framework deliberately, name it in the report, and the report's structure follows it.
▸  GRADE 5
     You justify the choice against the referral question, you can state what the chosen framework is blind to, and you say so in the limitations paragraph.</t>
        </is>
      </c>
      <c r="T63" s="165" t="inlineStr">
        <is>
          <t>▸  BLOCK 1 · Reading them
     [5–6 hours, once  ·  Before placement  ·  Study]
     What each of Monsen's Problem-Analysis, the Constructionist Model, the Interactive Factors Framework and Carr's Framework foregrounds.
     How you build it: Read all four. One page of notes each — what it foregrounds, what it leaves out, what it suits.
     ·  Read all four frameworks named in the handbook
          you have it when: You can name what each foregrounds
          [Handbook §2.1]
     ·  Identify what each framework is good for
          you have it when: You can say which referral type suits which
          [CORU SoP 5.29]
     ·  Identify what each leaves out
          you have it when: You can name a limitation of your preferred one
          [PSI Code 4.2.6]
▸  BLOCK 2 · Making your default explicit
     [1 hour, once  ·  Weeks 1–2  ·  Habit]
     Knowing which you reach for without thinking, and saying so out loud.
     How you build it: Tell your supervisor which you default to and ask which they use.
     ·  Make your preferred framework explicit in supervision
          you have it when: Your supervisor knows what you default to
          [Handbook §6 · CORU SoP 5.44]
     ·  Ask your supervisor which they use and why
          you have it when: You know whether they were trained in it
          [CORU SoP 4.5]</t>
        </is>
      </c>
      <c r="U63" s="165" t="inlineStr">
        <is>
          <t>No full chapter yet.</t>
        </is>
      </c>
      <c r="V63" s="165" t="inlineStr">
        <is>
          <t>—</t>
        </is>
      </c>
      <c r="W63" s="165" t="inlineStr">
        <is>
          <t>§2.1 · §6</t>
        </is>
      </c>
      <c r="X63" s="165" t="inlineStr">
        <is>
          <t>EPSEN Act 2004 (partly commenced) · UNCRPD 2018 — the social model</t>
        </is>
      </c>
      <c r="Y63" s="165" t="inlineStr">
        <is>
          <t>Year 1 — The four frameworks are Year 1 content; you keep using them.</t>
        </is>
      </c>
    </row>
    <row r="64" ht="408.75" customHeight="1" s="128">
      <c r="A64" s="158" t="inlineStr">
        <is>
          <t>SKILL</t>
        </is>
      </c>
      <c r="B64" s="159" t="inlineStr">
        <is>
          <t>2. Formulation</t>
        </is>
      </c>
      <c r="C64" s="160" t="inlineStr">
        <is>
          <t>▸  Applying the structure
▸  Making reasoning inspectable</t>
        </is>
      </c>
      <c r="D64" s="161" t="inlineStr">
        <is>
          <t>12. Name and apply one framework to each substantial case</t>
        </is>
      </c>
      <c r="E64" s="158" t="inlineStr">
        <is>
          <t>Macro skill</t>
        </is>
      </c>
      <c r="F64" s="161" t="inlineStr">
        <is>
          <t>12. Name and apply one framework to each substantial case</t>
        </is>
      </c>
      <c r="G64" s="162" t="inlineStr">
        <is>
          <t>Everything about this skill is on this row. Scroll right.</t>
        </is>
      </c>
      <c r="H64" s="158" t="n"/>
      <c r="I64" s="158" t="n"/>
      <c r="J64" s="158" t="n"/>
      <c r="K64" s="158">
        <f>COUNTIF(Log!$G$3:$G$402,"12. Name and apply one framework to each substantial case")</f>
        <v/>
      </c>
      <c r="L64" s="163">
        <f>IF(COUNTIF(Log!$G$3:$G$402,"12. Name and apply one framework to each substantial case")=0,"",SUMPRODUCT(MAX((Log!$G$3:$G$402="12. Name and apply one framework to each substantial case")*Log!$A$3:$A$402)))</f>
        <v/>
      </c>
      <c r="M64" s="164" t="inlineStr">
        <is>
          <t>▸  CORU 3.5
     Be able to demonstrate sound logical reasoning and problem solving skills to determine appropriate problem lists, action plans and goals
▸  CORU 5.29
     Know and apply educational psychology theory and systemic, ecological and problem-solving frameworks related to assessment methods
▸  CORU 5.32
     Interpret, synthesise and critically evaluate assessment data, within relevant conceptual frameworks, to inform case formulation and psychological intervention planning</t>
        </is>
      </c>
      <c r="N64" s="164" t="inlineStr">
        <is>
          <t>▸  PSI 4.2.5
     Take care in communicating their knowledge, findings and views to clearly differentiate facts, opinions, theories, hypotheses and ideas.
▸  PSI 4.2.6
     Not suppress disconfirming evidence of their findings and views, and acknowledge alternative hypotheses and explanations.</t>
        </is>
      </c>
      <c r="O64" s="165" t="inlineStr">
        <is>
          <t>The gap between knowing a framework and applying one is where most Year 1 reports fail. A report that lists findings — scores, then observation, then parent view, then teacher view — is a catalogue, and a catalogue leaves the reader to do the formulation. Applying a framework means the structure of your report is the structure of your reasoning, so a reader can see not just what you concluded but how, and can disagree at a named point. CORU 5.32 requires you to interpret, synthesise and critically evaluate assessment data within relevant conceptual frameworks. The phrase 'within relevant conceptual frameworks' is doing real work there.</t>
        </is>
      </c>
      <c r="P64" s="165" t="inlineStr">
        <is>
          <t>▸  Letting the framework structure the document
     If you have chosen Monsen, your report has a hypotheses section, and each hypothesis has evidence for and against. If you have chosen the Interactive Factors Framework, your report has levels and states the interactions between them. Do not write a standard report and add a framework sentence to the introduction. The test: delete the framework's name from your report — would a reader still be able to tell which one you used? If not, you did not apply it.
▸  Showing reasoning step by step
     Write the inference, not just the conclusion. Not 'John has a specific learning difficulty in reading' but 'John's word reading is at the 4th percentile while his Verbal Comprehension Index is at the 55th. The gap is not explained by instruction, as he has had two years of structured phonics, nor by attendance, which is 94%. The most parsimonious remaining explanation is a specific difficulty in phonological processing, supported by his score on [measure].' The second version can be argued with. That is the point.
▸  Including the child's own construction
     Every framework in the handbook has a place for the child's account, and it is the most commonly omitted element in trainee reports. Ask directly: what do you think is hard? what helps? what would you change? Then put the answer in the formulation, not in a decorative quote box. If the child's account contradicts the adults', that contradiction is a finding — see the skill on distinguishing primary from secondary needs.
▸  Citing it properly
     Name the framework and give the citation in the body of the report, not a footnote. 'This formulation is structured using the Interactive Factors Framework (Frederickson &amp; Cline, 2009), which considers biological, cognitive, behavioural and environmental contributors and the interactions between them.' One sentence, early, then deliver on it.
▸  The one-hour rule
     Budget an hour per case for formulation, separate from writing. Formulation done while typing the report becomes narration of the data. Sit with the data, choose the framework, sketch the structure on paper, then write.</t>
        </is>
      </c>
      <c r="Q64" s="165" t="inlineStr">
        <is>
          <t>▸  Monsen, J. J., &amp; Frederickson, N. (2008), as above — specifically the worked example showing hypotheses tested and rejected.
▸  Cameron, R. J. (2006). Educational psychology: The distinctive contribution. Educational Psychology in Practice, 22(4), 289–304. — on what psychological reasoning adds beyond description.
▸  Woolfson, L., Whaling, R., Stewart, A., &amp; Monsen, J. (2003). An integrated framework to guide educational psychologist practice. Educational Psychology in Practice, 19(4), 283–302.</t>
        </is>
      </c>
      <c r="R64" s="166" t="inlineStr">
        <is>
          <t>✗  The framework appears in the introduction and nowhere else.
✗  Conclusions stated without the inferential step that produced them, so a reader can only accept or reject the whole report.
✗  The child's view recorded as a quotation but not used in the formulation.
✗  Formulating while writing, so the report narrates the assessment in the order it happened rather than in the order the argument needs.
✗  Hedging everything. A formulation that commits to nothing cannot be wrong, and is therefore useless to the school.</t>
        </is>
      </c>
      <c r="S64" s="154" t="inlineStr">
        <is>
          <t>▸  GRADE 3
     The report presents findings accurately but the formulation is a summary of them.
▸  GRADE 4
     A named framework structures the report, the reasoning is visible, and the child's construction is included.
▸  GRADE 5
     The reasoning can be challenged at specific points because you have shown where it could fail, and you state what evidence would change your conclusion.</t>
        </is>
      </c>
      <c r="T64" s="165" t="inlineStr">
        <is>
          <t>▸  BLOCK 1 · Applying the structure
     [Ongoing · 1 hour per case initially  ·  Weeks 3–6  ·  Practice]
     Using the framework's own stages rather than writing prose and labelling it afterwards.
     How you build it: Use the stages as literal sub-headings for your first five cases. Remove them later.
     ·  Choose a framework deliberately for this case
          you have it when: You can say why this one and not another
          [CORU SoP 5.29]
     ·  Name and cite it in the report
          you have it when: It appears by name with a citation
          [CORU SoP 5.29 · 5.27]
     ·  Use the framework's own structure
          you have it when: The stages are visible rather than implied
          [CORU SoP 5.32]
▸  BLOCK 2 · Making reasoning inspectable
     [Ongoing  ·  Weeks 7–12  ·  Practice]
     Writing so a reader could disagree with one specific step rather than the whole thing.
     How you build it: Ask your supervisor to mark the point where they would part company with you.
     ·  Show the reasoning step by step
          you have it when: Someone could point at where they disagree
          [CORU SoP 3.5 · PSI Code 4.2.5]
     ·  Include the child's construction of the problem
          you have it when: The child's view shapes it, not just decorates it
          [CORU SoP 5.11 · UNCRC Art. 12]</t>
        </is>
      </c>
      <c r="U64" s="165" t="inlineStr">
        <is>
          <t>No full chapter yet.</t>
        </is>
      </c>
      <c r="V64" s="165" t="inlineStr">
        <is>
          <t>—</t>
        </is>
      </c>
      <c r="W64" s="165" t="inlineStr">
        <is>
          <t>Table 2 area 2 · Handbook §2.1 four frameworks · Appendix 5 tagged Formulation · Year 2 case study</t>
        </is>
      </c>
      <c r="X64" s="165" t="inlineStr">
        <is>
          <t>EPSEN Act 2004 (partly commenced) · UNCRPD 2018 — the social model · UNCRC Art. 12</t>
        </is>
      </c>
      <c r="Y64" s="165" t="inlineStr">
        <is>
          <t>Year 1 — Framework choice becomes deliberate rather than habitual in Year 2.</t>
        </is>
      </c>
    </row>
    <row r="65" ht="408.75" customHeight="1" s="128">
      <c r="A65" s="158" t="inlineStr">
        <is>
          <t>SKILL</t>
        </is>
      </c>
      <c r="B65" s="159" t="inlineStr">
        <is>
          <t>2. Formulation</t>
        </is>
      </c>
      <c r="C65" s="160" t="inlineStr">
        <is>
          <t>▸  Generating alternatives
▸  Testing against evidence
▸  Holding uncertainty</t>
        </is>
      </c>
      <c r="D65" s="161" t="inlineStr">
        <is>
          <t>13. Distinguish primary from secondary needs</t>
        </is>
      </c>
      <c r="E65" s="158" t="inlineStr">
        <is>
          <t>Macro skill</t>
        </is>
      </c>
      <c r="F65" s="161" t="inlineStr">
        <is>
          <t>13. Distinguish primary from secondary needs</t>
        </is>
      </c>
      <c r="G65" s="162" t="inlineStr">
        <is>
          <t>Everything about this skill is on this row. Scroll right.</t>
        </is>
      </c>
      <c r="H65" s="158" t="n"/>
      <c r="I65" s="158" t="n"/>
      <c r="J65" s="158" t="n"/>
      <c r="K65" s="158">
        <f>COUNTIF(Log!$G$3:$G$402,"13. Distinguish primary from secondary needs")</f>
        <v/>
      </c>
      <c r="L65" s="163">
        <f>IF(COUNTIF(Log!$G$3:$G$402,"13. Distinguish primary from secondary needs")=0,"",SUMPRODUCT(MAX((Log!$G$3:$G$402="13. Distinguish primary from secondary needs")*Log!$A$3:$A$402)))</f>
        <v/>
      </c>
      <c r="M65" s="164" t="inlineStr">
        <is>
          <t>▸  CORU 3.5
     Be able to demonstrate sound logical reasoning and problem solving skills to determine appropriate problem lists, action plans and goals
▸  CORU 3.6
     Be able to demonstrate an evidence-informed approach to professional decision-making, adapting practice to the needs of the service user and drawing on appropriate knowledge and skills in order to make professional judgments</t>
        </is>
      </c>
      <c r="N65" s="164" t="inlineStr">
        <is>
          <t>▸  PSI 2.3.1
     Be mindful, when making decisions based on psychological data and techniques, of the limitations of such data and techniques.
▸  PSI 4.2.5
     Take care in communicating their knowledge, findings and views to clearly differentiate facts, opinions, theories, hypotheses and ideas.
▸  PSI 4.2.6
     Not suppress disconfirming evidence of their findings and views, and acknowledge alternative hypotheses and explanations.</t>
        </is>
      </c>
      <c r="O65" s="165" t="inlineStr">
        <is>
          <t>Almost every referral arrives with the secondary need on the form. Schools refer for behaviour, and the behaviour is downstream of an unidentified reading difficulty. They refer for anxiety, and the anxiety is downstream of an unmet language need. If you formulate the presenting problem you will recommend an intervention for a symptom, it will not work, and the school will conclude that psychology does not help. Distinguishing primary from secondary is the single highest-value move in the whole formulation competency, and it is mostly a matter of asking what came first.</t>
        </is>
      </c>
      <c r="P65" s="165" t="inlineStr">
        <is>
          <t>▸  Generating more than one hypothesis, properly
     Two is the minimum and they must be genuinely competing — not 'dyslexia' and 'a specific difficulty with reading'. For a child referred for classroom behaviour, competing hypotheses might be: (a) an unidentified literacy difficulty makes independent work aversive, and the behaviour is escape-maintained; (b) the behaviour is attention-maintained and independent of task difficulty; (c) the classroom's demand level is developmentally inappropriate for most of the class and this child is the one who protests. Each predicts different data.
▸  Using timing as evidence
     Ask when each difficulty began, and get the answer from more than one source. If the behaviour predates the literacy difficulty, literacy is not driving it. If the behaviour began in second class, when independent written work started, that is strong. Developmental history is the instrument here, and it is why the parent interview matters more than trainees usually assume.
▸  Using the situational spread
     A primary difficulty shows up wherever its demand is present. A secondary one is tied to the context that provokes it. If the behaviour occurs in literacy and maths word problems but not in oral maths, PE or art, reading is implicated. If it occurs everywhere including yard, it is not task-driven. This is what the comparison observation is for.
▸  Recording the hypothesis you rejected
     Write it in the report: 'An attention-maintained explanation was considered and is less consistent with the pattern, because the behaviour did not occur during whole-class oral work where adult attention was equally available.' This is the single line that most distinguishes a grade 5 report from a grade 3. It shows you tested rather than assumed.
▸  Holding uncertainty honestly
     Sometimes the sequence genuinely cannot be established — records are missing, the child moved schools, the informants disagree and neither is more reliable. Say so, say what it would take to resolve it, and recommend accordingly. 'The direction of the relationship between X and Y cannot be established from the available information. A review after one term of targeted literacy support would clarify it.' That is a stronger report than a confident guess.</t>
        </is>
      </c>
      <c r="Q65" s="165" t="inlineStr">
        <is>
          <t>▸  Frederickson, N., &amp; Cline, T. (2009). Special educational needs, inclusion and diversity — the chapters on identification and on behaviour, read together.
▸  Carr, A. (2015). The handbook of child and adolescent clinical psychology — predisposing, precipitating, perpetuating and protective factors.
▸  Snowling, M. J., &amp; Hulme, C. (2012). Annual research review: The nature and classification of reading disorders. Journal of Child Psychology and Psychiatry, 53(5), 593–607. — for the literacy-to-behaviour pathway specifically.</t>
        </is>
      </c>
      <c r="R65" s="166" t="inlineStr">
        <is>
          <t>✗  Formulating the referral question rather than the problem. The referral question is a hypothesis someone else has already made.
✗  One hypothesis, tested for confirming evidence only.
✗  Treating co-occurrence as causation. Anxiety and reading difficulty appearing together does not tell you the direction.
✗  Never writing down what you rejected, so the report reads as if only one explanation was ever entertained.
✗  Forcing a primary/secondary distinction when the evidence does not support one, because it makes for a neater report.</t>
        </is>
      </c>
      <c r="S65" s="154" t="inlineStr">
        <is>
          <t>▸  GRADE 3
     You identify the needs present and describe them accurately.
▸  GRADE 4
     You generate competing hypotheses, test them against the data, and state which need is primary.
▸  GRADE 5
     You record the rejected hypothesis and why, and where the sequence is genuinely unclear you say so and specify what would resolve it.</t>
        </is>
      </c>
      <c r="T65" s="165" t="inlineStr">
        <is>
          <t>▸  BLOCK 1 · Generating alternatives
     [Habit — 20 minutes per case  ·  Weeks 3–6  ·  Habit]
     Producing more than one explanation before settling on any.
     How you build it: Write three hypotheses for every case for one month. It becomes automatic.
     ·  Generate more than one hypothesis
          you have it when: An alternative was genuinely considered
          [PSI Code 4.2.6 · CORU SoP 3.5]
     ·  Record the hypothesis you rejected and why
          you have it when: The rejected one appears somewhere
          [PSI Code 4.2.6]
▸  BLOCK 2 · Testing against evidence
     [Ongoing · one case a fortnight  ·  Weeks 7–12  ·  Practice]
     Judging which data supports and which undermines each.
     How you build it: Bring one case with your hypotheses and let your supervisor test them.
     ·  Test each hypothesis against the data
          you have it when: You can say what supports and undermines each
          [CORU SoP 3.6]
     ·  State explicitly which need is primary
          you have it when: The report says which, not just lists both
          [CORU SoP 3.5]
▸  BLOCK 3 · Holding uncertainty
     [Habit, not hours  ·  Ongoing all year  ·  Habit]
     Being able to say the sequence is unclear rather than choosing for tidiness.
     How you build it: Practise the sentence. Use it when it is true.
     ·  Recognise where the sequence is genuinely unclear
          you have it when: You said so rather than picking one
          [PSI Code 2.3.1 · 4.2.5]</t>
        </is>
      </c>
      <c r="U65" s="165" t="inlineStr">
        <is>
          <t>No full chapter yet.</t>
        </is>
      </c>
      <c r="V65" s="165" t="inlineStr">
        <is>
          <t>—</t>
        </is>
      </c>
      <c r="W65" s="165" t="inlineStr">
        <is>
          <t>Table 2 area 2 · Handbook §2.1 four frameworks · Appendix 5 tagged Formulation · Year 2 case study</t>
        </is>
      </c>
      <c r="X65" s="165" t="inlineStr">
        <is>
          <t>EPSEN Act 2004 (partly commenced) · UNCRPD 2018 — the social model</t>
        </is>
      </c>
      <c r="Y65" s="165" t="inlineStr">
        <is>
          <t>Year 1 — Harder when presentations co-occur, which is the Year 2 caseload.</t>
        </is>
      </c>
    </row>
    <row r="66" ht="408.75" customHeight="1" s="128">
      <c r="A66" s="158" t="inlineStr">
        <is>
          <t>SKILL</t>
        </is>
      </c>
      <c r="B66" s="159" t="inlineStr">
        <is>
          <t>2. Formulation</t>
        </is>
      </c>
      <c r="C66" s="160" t="inlineStr">
        <is>
          <t>▸  Knowing the common pairings
▸  Weighing separately</t>
        </is>
      </c>
      <c r="D66" s="161" t="inlineStr">
        <is>
          <t>14. Consider the likelihood of co-occurring conditions</t>
        </is>
      </c>
      <c r="E66" s="158" t="inlineStr">
        <is>
          <t>Macro skill</t>
        </is>
      </c>
      <c r="F66" s="161" t="inlineStr">
        <is>
          <t>14. Consider the likelihood of co-occurring conditions</t>
        </is>
      </c>
      <c r="G66" s="162" t="inlineStr">
        <is>
          <t>Everything about this skill is on this row. Scroll right.</t>
        </is>
      </c>
      <c r="H66" s="158" t="n"/>
      <c r="I66" s="158" t="n"/>
      <c r="J66" s="158" t="n"/>
      <c r="K66" s="158">
        <f>COUNTIF(Log!$G$3:$G$402,"14. Consider the likelihood of co-occurring conditions")</f>
        <v/>
      </c>
      <c r="L66" s="163">
        <f>IF(COUNTIF(Log!$G$3:$G$402,"14. Consider the likelihood of co-occurring conditions")=0,"",SUMPRODUCT(MAX((Log!$G$3:$G$402="14. Consider the likelihood of co-occurring conditions")*Log!$A$3:$A$402)))</f>
        <v/>
      </c>
      <c r="M66" s="164" t="inlineStr">
        <is>
          <t>▸  CORU 3.4
     Be able to analyse and critically evaluate the information collected in the assessment process
▸  CORU 5.15
     Know psychological models related to the cognitive, behavioural, emotional, social and learning development of children, young people and adults in educational, health and social care services
▸  CORU 5.17
     Know psychological models related to the factors that hinder the fulfilment of potential and achievement among children, young people and adults, in order to identify needs and address barriers to learning and development</t>
        </is>
      </c>
      <c r="N66" s="164" t="inlineStr">
        <is>
          <t>▸  PSI 4.2.5
     Take care in communicating their knowledge, findings and views to clearly differentiate facts, opinions, theories, hypotheses and ideas.
▸  PSI 4.2.6
     Not suppress disconfirming evidence of their findings and views, and acknowledge alternative hypotheses and explanations.</t>
        </is>
      </c>
      <c r="O66" s="165" t="inlineStr">
        <is>
          <t>Co-occurrence is the norm, not the exception, and diagnostic overshadowing is the most common way children get missed. Once a child has an autism diagnosis, their reading difficulty gets attributed to autism and never assessed. Once a child is identified as having a general learning disability, their anxiety is treated as part of the picture rather than as something treatable. Your job in a formulation is to consider a second presentation as routine rather than as a special step, and to weigh the evidence for each separately.</t>
        </is>
      </c>
      <c r="P66" s="165" t="inlineStr">
        <is>
          <t>▸  The pairings you should expect
     ADHD and specific learning difficulty co-occur at rates commonly reported between 30 and 50 per cent. Developmental Language Disorder and literacy difficulty are strongly associated. DCD co-occurs with both ADHD and DLD. Autism co-occurs with ADHD, with anxiety, and with intellectual disability. Anxiety accompanies most unidentified learning difficulties of long standing. Know the rates approximately, and check them in a current source before citing a figure in a report.
▸  Diagnostic overshadowing, and how to resist it
     The discipline is procedural rather than attitudinal. When a child arrives with an existing diagnosis, write down the difficulties that diagnosis does not explain, before you begin. If a child with autism cannot decode, autism does not explain the decoding — assess it. If a child with a general learning disability has attainment well below the level predicted by their cognitive profile, the discrepancy is a finding, not noise.
▸  Twice-exceptionality
     High ability plus a specific difficulty produces average attainment and a child who looks unremarkable while working several times harder than their peers. It is missed constantly because screening is attainment-based. The signal is a large discrepancy within the cognitive profile — strong verbal reasoning, weak processing speed or working memory — with attainment sitting between them. Look at index scatter, not just the composite.
▸  Weighing each separately
     Do not let evidence for one condition carry the other. Build the case for each independently: what would establish it, what evidence is present, what is absent. Then state what would be needed to establish the second presentation — which is often a referral rather than a conclusion you can reach yourself.
▸  Knowing what is not yours to diagnose
     As a trainee educational psychologist you do not diagnose ADHD, autism, or any medical condition. You describe the profile, note what it is consistent with, and refer. Writing 'this profile is consistent with an attentional difficulty and referral to [service] is recommended for diagnostic assessment' is correct. Writing 'John has ADHD' is outside your competence, and PSI 2.2.2 and 2.2.3 are explicit about that boundary.</t>
        </is>
      </c>
      <c r="Q66" s="165" t="inlineStr">
        <is>
          <t>▸  Frederickson, N., &amp; Cline, T. (2009). Special educational needs, inclusion and diversity — the chapters on specific difficulties and on co-occurrence.
▸  Kaplan, B. J., Dewey, D. M., Crawford, S. G., &amp; Wilson, B. N. (2001). The term comorbidity is of questionable value in reference to developmental disorders. Journal of Learning Disabilities, 34(6), 555–565. — on why the pairings are not accidental.
▸  Pennington, B. F. (2006). From single to multiple deficit models of developmental disorders. Cognition, 101(2), 385–413.
▸  NCSE guidance on twice-exceptional learners, and the NEPS Continuum of Support materials on identification.</t>
        </is>
      </c>
      <c r="R66" s="166" t="inlineStr">
        <is>
          <t>✗  Stopping at the first explanation that fits.
✗  Attributing every difficulty to an existing diagnosis.
✗  Missing high ability because attainment is average.
✗  Citing co-occurrence rates from memory. Check them — figures vary widely by study and an examiner may ask for the source.
✗  Diagnosing. You describe and refer.</t>
        </is>
      </c>
      <c r="S66" s="154" t="inlineStr">
        <is>
          <t>▸  GRADE 3
     You note an additional difficulty when it is obvious from the data.
▸  GRADE 4
     You consider a second presentation routinely, and weigh the evidence for each separately.
▸  GRADE 5
     You state explicitly what would be needed to establish the second presentation, and you name the boundary between description and diagnosis.</t>
        </is>
      </c>
      <c r="T66" s="165" t="inlineStr">
        <is>
          <t>▸  BLOCK 1 · Knowing the common pairings
     [3–4 hours, once  ·  Weeks 1–2  ·  Study]
     Which conditions commonly co-occur in this age band, and roughly how often.
     How you build it: One page listing the eight commonest pairings and their approximate base rates.
     ·  Know the common co-occurrences in this age band
          you have it when: SLD with ADHD, anxiety masking autism, and so on
          [CORU SoP 5.15 · 5.17]
     ·  Consider twice-exceptionality
          you have it when: High ability masking difficulty was considered
          [CORU SoP 5.17]
▸  BLOCK 2 · Weighing separately
     [Habit per case  ·  Weeks 7–12  ·  Habit]
     Not letting one explanation absorb everything.
     How you build it: For each case, ask what this formulation does not explain.
     ·  Consider a second presentation as routine
          you have it when: Considered, not only when obvious
          [CORU SoP 5.15]
     ·  Weigh the evidence for each separately
          you have it when: One diagnosis did not explain everything
          [CORU SoP 3.4]
     ·  State what would establish the second
          you have it when: You named the next step
          [CORU SoP 1.2]</t>
        </is>
      </c>
      <c r="U66" s="165" t="inlineStr">
        <is>
          <t>No full chapter yet.</t>
        </is>
      </c>
      <c r="V66" s="165" t="inlineStr">
        <is>
          <t>▸  3.3 Obsessive-compulsive and related
     full entry under 9. Behavioural and emotional rating scales</t>
        </is>
      </c>
      <c r="W66" s="165" t="inlineStr">
        <is>
          <t>Table 2 area 2 · Handbook §2.1 four frameworks · Appendix 5 tagged Formulation · Year 2 case study</t>
        </is>
      </c>
      <c r="X66" s="165" t="inlineStr">
        <is>
          <t>EPSEN Act 2004 (partly commenced) · UNCRPD 2018 — the social model</t>
        </is>
      </c>
      <c r="Y66" s="165" t="inlineStr">
        <is>
          <t>Year 1 — Central to Year 2 screening and diagnostic work.</t>
        </is>
      </c>
    </row>
    <row r="67" ht="408.75" customHeight="1" s="128">
      <c r="A67" s="158" t="inlineStr">
        <is>
          <t>SKILL</t>
        </is>
      </c>
      <c r="B67" s="159" t="inlineStr">
        <is>
          <t>2. Formulation</t>
        </is>
      </c>
      <c r="C67" s="160" t="inlineStr">
        <is>
          <t>▸  Knowing the factors
▸  Knowing the threshold
▸  Using strengths</t>
        </is>
      </c>
      <c r="D67" s="161" t="inlineStr">
        <is>
          <t>15. Analyse risk and resilience</t>
        </is>
      </c>
      <c r="E67" s="158" t="inlineStr">
        <is>
          <t>Macro skill</t>
        </is>
      </c>
      <c r="F67" s="161" t="inlineStr">
        <is>
          <t>15. Analyse risk and resilience</t>
        </is>
      </c>
      <c r="G67" s="162" t="inlineStr">
        <is>
          <t>Everything about this skill is on this row. Scroll right.</t>
        </is>
      </c>
      <c r="H67" s="158" t="n"/>
      <c r="I67" s="158" t="n"/>
      <c r="J67" s="158" t="n"/>
      <c r="K67" s="158">
        <f>COUNTIF(Log!$G$3:$G$402,"15. Analyse risk and resilience")</f>
        <v/>
      </c>
      <c r="L67" s="163">
        <f>IF(COUNTIF(Log!$G$3:$G$402,"15. Analyse risk and resilience")=0,"",SUMPRODUCT(MAX((Log!$G$3:$G$402="15. Analyse risk and resilience")*Log!$A$3:$A$402)))</f>
        <v/>
      </c>
      <c r="M67" s="164" t="inlineStr">
        <is>
          <t>▸  CORU 1.3
     Be able to act in the best interest of service users at all times with due regard to their will and preference
▸  CORU 1.12
     Understand and be able to apply the limits of the concept of confidentiality particularly in relation to child protection, vulnerable adults and elder abuse
▸  CORU 5.17
     Know psychological models related to the factors that hinder the fulfilment of potential and achievement among children, young people and adults, in order to identify needs and address barriers to learning and development</t>
        </is>
      </c>
      <c r="N67" s="164" t="inlineStr">
        <is>
          <t>▸  PSI 4.2.5
     Take care in communicating their knowledge, findings and views to clearly differentiate facts, opinions, theories, hypotheses and ideas.
▸  PSI 4.2.6
     Not suppress disconfirming evidence of their findings and views, and acknowledge alternative hypotheses and explanations.</t>
        </is>
      </c>
      <c r="O67" s="165" t="inlineStr">
        <is>
          <t>A formulation that records only what is wrong produces recommendations with nothing to build on. Protective factors are not a courtesy paragraph — they are the material the intervention is made from, because an intervention that runs through an existing strength is the one the school will actually sustain. Separately, and more seriously: this is the skill where you must know the point at which risk stops being a formulation matter and becomes a safeguarding one. Your 4 August review named risk management protocols as a development area. Know the threshold before the day you need it, not on it.</t>
        </is>
      </c>
      <c r="P67" s="165" t="inlineStr">
        <is>
          <t>▸  Risk factors at three levels
     Child level: developmental difficulty, chronic illness, early adversity, communication difficulty. Family level: parental ill health, bereavement, separation, housing instability, income strain, caring responsibilities. Community and school level: unstable placement, repeated changes of teacher, discrimination, low expectations, poor peer group, distance from services. Gather across all three or you will produce a within-child formulation by omission.
▸  Protective factors that are genuinely present
     The test is evidence, not optimism. 'Supportive family' is not a protective factor unless you can say what the family does. 'Good relationship with the SNA' is one if you observed it, or if the child named that adult when asked who helps. One reliable adult, one area of competence, one place the child chooses to go — these are real and usable. Write them specifically enough to build on.
▸  Building the recommendation on a protective factor
     If a child reads willingly with one particular teacher, the intervention is delivered by that teacher or explicitly models her approach. If the child's strength is oral reasoning, the access arrangement is a reader before it is anything else. This is what turns a list of strengths into a formulation that does work.
▸  The safeguarding threshold, in practice
     You are operating under Children First and the school's Designated Liaison Person route. The threshold is not a judgement call you make alone. If a child discloses harm, if you observe injury, if you have a reasonable concern about welfare, or if a child indicates intent to harm themselves or another — you stop, you do not continue the assessment, you tell your supervisor the same day, and you follow the DLP route. PSI 3.3.4 requires you to act to stop or offset serious harm even where a confidential relationship is involved. CORU 1.12 requires you to apply the limits of confidentiality in relation to child protection. Neither leaves discretion.
▸  What to do in the first hour
     Write down what was said or seen, verbatim where possible, with the time. Do not question the child further — that is not your role and it can compromise a later process. Tell your supervisor. Tell the DLP. Record who you told and when. Then record what you did, because your own record is the thing that protects both the child and you. Rehearse this sequence before you are in it; on 22/05/2026 you managed a disclosure at Grange, and that day is evidence for this skill.</t>
        </is>
      </c>
      <c r="Q67" s="165" t="inlineStr">
        <is>
          <t>▸  Children First: National Guidance for the Protection and Welfare of Children (DCEDIY, current edition) — and your NEPS service's own protocol, which is the one that binds you day to day.
▸  Masten, A. S. (2014). Global perspectives on resilience in children and youth. Child Development, 85(1), 6–20. — on ordinary rather than exceptional protective processes.
▸  Rutter, M. (2012). Resilience as a dynamic concept. Development and Psychopathology, 24(2), 335–344.
▸  PSI Code of Professional Ethics (2025), clauses 3.3.4 and 1.3.14 — read the actual wording, it is on the Reference sheet.</t>
        </is>
      </c>
      <c r="R67" s="166" t="inlineStr">
        <is>
          <t>✗  Listing risk and never using it in the recommendations.
✗  Listing protective factors that are aspirational rather than observed.
✗  Continuing an assessment after a disclosure because it felt rude to stop.
✗  Recording a concern in your own notes and not telling anyone that day.
✗  Treating risk analysis as a section of the report rather than as something that can interrupt the work at any point.</t>
        </is>
      </c>
      <c r="S67" s="154" t="inlineStr">
        <is>
          <t>▸  GRADE 3
     You identify risk and protective factors and record them.
▸  GRADE 4
     You gather across child, family and school levels, and at least one recommendation is built on a protective factor you evidenced.
▸  GRADE 5
     You can state the safeguarding threshold and the exact sequence you would follow, and your formulation shows how risk and protection interact over time rather than as two lists.</t>
        </is>
      </c>
      <c r="T67" s="165" t="inlineStr">
        <is>
          <t>▸  BLOCK 1 · Knowing the factors
     [3 hours, once  ·  Weeks 1–2  ·  Study]
     The established risk and protective factors at individual, family and school level.
     How you build it: One page each for risk and protective factors. Use it until you know it.
     ·  Identify risk factors across all three levels
          you have it when: Risk is named as risk, not as background
          [CORU SoP 5.17]
     ·  Identify protective factors genuinely present
          you have it when: Strengths are specific, not generic
          [CORU SoP 1.3]
▸  BLOCK 2 · Knowing the threshold
     [2–3 hours, once  ·  Before placement  ·  Study]
     When risk stops being a formulation matter and becomes a safeguarding one.
     How you build it: Read Children First National Guidance thresholds. Know them before you need them.
     ·  Recognise when risk crosses a safeguarding threshold
          you have it when: You escalated rather than described
          [Children First Act 2015 · CORU SoP 1.12]
▸  BLOCK 3 · Using strengths
     [Habit  ·  Weeks 7–12  ·  Habit]
     Building at least one recommendation on something already working.
     How you build it: Check every recommendation set for one strength-based item.
     ·  Build recommendations on a protective factor
          you have it when: At least one uses a strength
          [CORU SoP 5.34]</t>
        </is>
      </c>
      <c r="U67" s="165" t="inlineStr">
        <is>
          <t>No full chapter yet.</t>
        </is>
      </c>
      <c r="V67" s="165" t="inlineStr">
        <is>
          <t>▸  3.2 Anxiety
     full entry under 9. Behavioural and emotional rating scales
▸  3.4 Mood
     full entry under 9. Behavioural and emotional rating scales
▸  3.5 Trauma, attachment and loss
     FULL ENTRY HERE
▸  3.6 School attendance
     FULL ENTRY HERE</t>
        </is>
      </c>
      <c r="W67" s="165" t="inlineStr">
        <is>
          <t>Table 2 area 2 · Handbook §2.1 four frameworks · Appendix 5 tagged Formulation · Year 2 case study</t>
        </is>
      </c>
      <c r="X67" s="165" t="inlineStr">
        <is>
          <t>Children First Act 2015 · EPSEN Act 2004 (partly commenced) · UNCRPD 2018 — the social model</t>
        </is>
      </c>
      <c r="Y67" s="165" t="inlineStr">
        <is>
          <t>Year 1 — Becomes risk management proper in Year 3.</t>
        </is>
      </c>
    </row>
    <row r="68" ht="408.75" customHeight="1" s="128">
      <c r="A68" s="167" t="inlineStr">
        <is>
          <t>AREA</t>
        </is>
      </c>
      <c r="B68" s="167" t="inlineStr">
        <is>
          <t>2. Formulation</t>
        </is>
      </c>
      <c r="C68" s="167" t="n"/>
      <c r="D68" s="167" t="inlineStr">
        <is>
          <t>15. Analyse risk and resilience</t>
        </is>
      </c>
      <c r="E68" s="167" t="inlineStr">
        <is>
          <t>Referral area</t>
        </is>
      </c>
      <c r="F68" s="168" t="inlineStr">
        <is>
          <t>3.5 Trauma, attachment and loss</t>
        </is>
      </c>
      <c r="G68" s="167" t="inlineStr">
        <is>
          <t>ADDED — implied by the form</t>
        </is>
      </c>
      <c r="H68" s="167" t="n"/>
      <c r="I68" s="167" t="n"/>
      <c r="J68" s="167" t="n"/>
      <c r="K68" s="167">
        <f>COUNTIF(Log!$E$3:$E$402,"3.5 Trauma, attachment and loss")</f>
        <v/>
      </c>
      <c r="L68" s="169">
        <f>IF(COUNTIF(Log!$E$3:$E$402,"3.5 Trauma, attachment and loss")=0,"",SUMPRODUCT(MAX((Log!$E$3:$E$402="3.5 Trauma, attachment and loss")*Log!$A$3:$A$402)))</f>
        <v/>
      </c>
      <c r="M68" s="165" t="inlineStr">
        <is>
          <t>DIAGNOSES
▸  Reactive Attachment Disorder
     DSM-5-TR / ICD-11 6B40–6B4Z
▸  Disinhibited Social Engagement Disorder
     DSM-5-TR / ICD-11 6B45
▸  Posttraumatic Stress Disorder
     DSM-5-TR / ICD-11 6B40
▸  PTSD — preschool subtype (6 years and under)
     DSM-5-TR
▸  Complex PTSD
     ICD-11 6B41
▸  Acute Stress Disorder
     DSM-5-TR / ICD-11 6B40–6B4Z
▸  Adjustment Disorder (with depressed mood / anxiety / mixed / conduct / unspecified)
     DSM-5-TR / ICD-11 6B40–6B4Z
▸  Prolonged Grief Disorder
     DSM-5-TR / ICD-11 6B42</t>
        </is>
      </c>
      <c r="N68" s="170" t="inlineStr">
        <is>
          <t>PRESENTATIONS WITH NO DIAGNOSIS
▸  Complex or developmental trauma
     Not a DSM diagnosis
▸  Adverse Childhood Experiences (ACEs)
     Not a DSM diagnosis
▸  Bereavement reaction
     Not a DSM diagnosis
▸  Displacement, asylum and resettlement
     Added
▸  Trauma-informed classroom practice
     Added — the systemic response</t>
        </is>
      </c>
      <c r="O68" s="165" t="inlineStr">
        <is>
          <t>REFER TO
▸  Primary Care
▸  CAMHS (severe)
▸  CAMHS
▸  Primary Care (milder)
▸  NEPS critical incident response
▸  NEPS
▸  community services</t>
        </is>
      </c>
      <c r="P68" s="165" t="inlineStr">
        <is>
          <t>—</t>
        </is>
      </c>
      <c r="Q68" s="165" t="inlineStr">
        <is>
          <t>▸  Early Years / Pre-School (0–5)
     Parent and setting report only · attachment behaviour observed in the room · do not screen a preschooler for trauma — refer.</t>
        </is>
      </c>
      <c r="R68" s="165" t="inlineStr">
        <is>
          <t>▸  School Age (6–12)
     Parent and teacher report · NEPS critical incident materials where relevant · consultation with the school on trauma-informed practice · do not conduct trauma interviews.</t>
        </is>
      </c>
      <c r="S68" s="165" t="inlineStr">
        <is>
          <t>▸  Adolescent (13–16)
     Self-report where safe and where the young person has chosen to speak · always supervision first · CAMHS pathway · your role is school support, not trauma treatment.</t>
        </is>
      </c>
      <c r="T68" s="165" t="inlineStr">
        <is>
          <t>▸  Young Adult (17–26)
     Adult services.</t>
        </is>
      </c>
      <c r="U68" s="165" t="inlineStr">
        <is>
          <t>▸  Special Setting (class or school)
     Setting stability and staff consistency as the intervention.</t>
        </is>
      </c>
      <c r="AG68" s="171" t="inlineStr">
        <is>
          <t>Environmental Factors — Family, School, Community
· Family dynamics (including CEC, adopted and CYP with SGOs)
· Siblings, extended family, links and relationship to school and education
· Family stressors
· Financial stress
· Housing
· Home learning environment
· Parental attitude to school/education
· Trauma/significant life events
· Adverse childhood events
· Family views
· Bereavements/relational losses
· Key adults / members of staff (significant relationships both positive and negative in and out of school) and level of school commitment to child
· Travel distance to school
· School attendance
· Child's views/preferences
· School-parent relationship
· Peer group dynamics
· School learning environment
· Access to interventions and support
· Curriculum/exam boards
· Teacher expectations
· Teacher/staff understanding/knowledge
· Attainment-based grouping
· Influences in school and the local community
· Other agency involvement — Police, YOT, CAMHS, Speech and Language Service, Fair Access, SENAT, Virtual School, SGO Advisor, Intensive Planning Team, Prevent, CSE, Early Years, School Nurse, Portage, Early Help, Social and Caring Services Health Services</t>
        </is>
      </c>
      <c r="AH68" s="171" t="inlineStr">
        <is>
          <t>Within-Child — Biological Factors
· Family history including early development, physical development, medical conditions and diagnoses/difficulties
· General health
· Medication
· Dietary needs
· Sensory needs
· Addictions e.g. smoking, drink, drugs</t>
        </is>
      </c>
      <c r="AI68" s="171" t="inlineStr">
        <is>
          <t>Within-Child — Cognitive Factors
ASSESSABLE
· Memory
· Language
· Executive functioning: including emotional and behavioural regulation/development
· Attention and concentration
· Visual spatial ability
· Phonological processing
· Processing speed
· Non-verbal reasoning
· Verbal ability (e.g. word problems, verbal presentation)
· Logical reasoning ability
· Literacy skills
· Attainment
OBSERVATION AND CONSULTATION
· Signs of developmental trauma impacting on ability to participate in learning
· Ability to problem-solve
· Flexibility of thought and action
· Self-awareness</t>
        </is>
      </c>
      <c r="AJ68" s="171" t="inlineStr">
        <is>
          <t>Within-Child — Affective Factors
· Experience of developmental trauma
· Confidence
· Self-esteem
· Emotional understanding and expression
· Sense of enablement
· Sense of self
· Sense of belonging
· Motivation (intrinsic or extrinsic)
· Resiliency
· Mood
· Anxiety
· Aspirations
· Perseverance / determination
· Sense of humour
· Self-control
· Social skills
· Empathy</t>
        </is>
      </c>
      <c r="AK68" s="171" t="inlineStr">
        <is>
          <t>Within-Child — Behavioural Factors
· Ability to develop and maintain friendships and relationships
· Positive achievements
· Care/concern for others, volunteering, helping
· Dangerous or risk-taking behaviour
· Verbal / physical abuse
· Self-harm
· Bullying
· Truancy</t>
        </is>
      </c>
    </row>
    <row r="69" ht="408.75" customHeight="1" s="128">
      <c r="A69" s="167" t="inlineStr">
        <is>
          <t>AREA</t>
        </is>
      </c>
      <c r="B69" s="167" t="inlineStr">
        <is>
          <t>2. Formulation</t>
        </is>
      </c>
      <c r="C69" s="167" t="n"/>
      <c r="D69" s="167" t="inlineStr">
        <is>
          <t>15. Analyse risk and resilience</t>
        </is>
      </c>
      <c r="E69" s="167" t="inlineStr">
        <is>
          <t>Referral area</t>
        </is>
      </c>
      <c r="F69" s="168" t="inlineStr">
        <is>
          <t>3.6 School attendance</t>
        </is>
      </c>
      <c r="G69" s="167" t="inlineStr">
        <is>
          <t>ADDED — implied by the form</t>
        </is>
      </c>
      <c r="H69" s="167" t="n"/>
      <c r="I69" s="167" t="n"/>
      <c r="J69" s="167" t="n"/>
      <c r="K69" s="167">
        <f>COUNTIF(Log!$E$3:$E$402,"3.6 School attendance")</f>
        <v/>
      </c>
      <c r="L69" s="169">
        <f>IF(COUNTIF(Log!$E$3:$E$402,"3.6 School attendance")=0,"",SUMPRODUCT(MAX((Log!$E$3:$E$402="3.6 School attendance")*Log!$A$3:$A$402)))</f>
        <v/>
      </c>
      <c r="M69" s="165" t="inlineStr">
        <is>
          <t>No diagnoses. Everything here is a presentation.</t>
        </is>
      </c>
      <c r="N69" s="170" t="inlineStr">
        <is>
          <t>PRESENTATIONS WITH NO DIAGNOSIS
▸  Emotionally Based School Avoidance (school refusal)
     Not a DSM diagnosis
▸  Truancy distinguished from EBSA
     Added — different formulation, different response
▸  Parentally condoned absence
     Added
▸  Absence due to chronic illness
     Added
▸  Late arrival and partial attendance
     Added
▸  Return-to-school planning after extended absence
     Added</t>
        </is>
      </c>
      <c r="O69" s="165" t="inlineStr">
        <is>
          <t>REFER TO
▸  NEPS
▸  Primary Care
▸  Educational Welfare (Tusla)
▸  Paediatrics
▸  NEPS for school supports</t>
        </is>
      </c>
      <c r="P69" s="165" t="inlineStr">
        <is>
          <t>—</t>
        </is>
      </c>
      <c r="Q69" s="165" t="inlineStr">
        <is>
          <t>▸  Early Years / Pre-School (0–5)
     Preschool attendance is not compulsory — frame accordingly · parent report.</t>
        </is>
      </c>
      <c r="R69" s="165" t="inlineStr">
        <is>
          <t>▸  School Age (6–12)
     Attendance data (Form 2 asks for days out of days) · parent, pupil and teacher accounts separately — they usually differ · West EBSA framework · school-based risk factors.</t>
        </is>
      </c>
      <c r="S69" s="165" t="inlineStr">
        <is>
          <t>▸  Adolescent (13–16)
     Attendance data · pupil interview · EBSA assessment framework · graduated return plan · Tusla Educational Welfare involvement · this is a core development area for you — school avoidance therapeutic models.</t>
        </is>
      </c>
      <c r="T69" s="165" t="inlineStr">
        <is>
          <t>▸  Young Adult (17–26)
     Course attendance and engagement.</t>
        </is>
      </c>
      <c r="U69" s="165" t="inlineStr">
        <is>
          <t>▸  Special Setting (class or school)
     Attendance into and within the setting · transport as a factor.</t>
        </is>
      </c>
      <c r="AG69" s="171" t="inlineStr">
        <is>
          <t>Environmental Factors — Family, School, Community
· Family dynamics (including CEC, adopted and CYP with SGOs)
· Siblings, extended family, links and relationship to school and education
· Family stressors
· Financial stress
· Housing
· Home learning environment
· Parental attitude to school/education
· Trauma/significant life events
· Adverse childhood events
· Family views
· Bereavements/relational losses
· Key adults / members of staff (significant relationships both positive and negative in and out of school) and level of school commitment to child
· Travel distance to school
· School attendance
· Child's views/preferences
· School-parent relationship
· Peer group dynamics
· School learning environment
· Access to interventions and support
· Curriculum/exam boards
· Teacher expectations
· Teacher/staff understanding/knowledge
· Attainment-based grouping
· Influences in school and the local community
· Other agency involvement — Police, YOT, CAMHS, Speech and Language Service, Fair Access, SENAT, Virtual School, SGO Advisor, Intensive Planning Team, Prevent, CSE, Early Years, School Nurse, Portage, Early Help, Social and Caring Services Health Services</t>
        </is>
      </c>
      <c r="AH69" s="171" t="inlineStr">
        <is>
          <t>Within-Child — Biological Factors
· Family history including early development, physical development, medical conditions and diagnoses/difficulties
· General health
· Medication
· Dietary needs
· Sensory needs
· Addictions e.g. smoking, drink, drugs</t>
        </is>
      </c>
      <c r="AI69" s="171" t="inlineStr">
        <is>
          <t>Within-Child — Cognitive Factors
ASSESSABLE
· Memory
· Language
· Executive functioning: including emotional and behavioural regulation/development
· Attention and concentration
· Visual spatial ability
· Phonological processing
· Processing speed
· Non-verbal reasoning
· Verbal ability (e.g. word problems, verbal presentation)
· Logical reasoning ability
· Literacy skills
· Attainment
OBSERVATION AND CONSULTATION
· Signs of developmental trauma impacting on ability to participate in learning
· Ability to problem-solve
· Flexibility of thought and action
· Self-awareness</t>
        </is>
      </c>
      <c r="AJ69" s="171" t="inlineStr">
        <is>
          <t>Within-Child — Affective Factors
· Experience of developmental trauma
· Confidence
· Self-esteem
· Emotional understanding and expression
· Sense of enablement
· Sense of self
· Sense of belonging
· Motivation (intrinsic or extrinsic)
· Resiliency
· Mood
· Anxiety
· Aspirations
· Perseverance / determination
· Sense of humour
· Self-control
· Social skills
· Empathy</t>
        </is>
      </c>
      <c r="AK69" s="171" t="inlineStr">
        <is>
          <t>Within-Child — Behavioural Factors
· Ability to develop and maintain friendships and relationships
· Positive achievements
· Care/concern for others, volunteering, helping
· Dangerous or risk-taking behaviour
· Verbal / physical abuse
· Self-harm
· Bullying
· Truancy</t>
        </is>
      </c>
    </row>
    <row r="70" ht="408.75" customHeight="1" s="128">
      <c r="A70" s="158" t="inlineStr">
        <is>
          <t>SKILL</t>
        </is>
      </c>
      <c r="B70" s="159" t="inlineStr">
        <is>
          <t>2. Formulation</t>
        </is>
      </c>
      <c r="C70" s="160" t="inlineStr">
        <is>
          <t>▸  Knowing the models
▸  Gathering across levels
▸  Writing them as interacting</t>
        </is>
      </c>
      <c r="D70" s="161" t="inlineStr">
        <is>
          <t>16. Account for the biopsychosocial context</t>
        </is>
      </c>
      <c r="E70" s="158" t="inlineStr">
        <is>
          <t>Macro skill</t>
        </is>
      </c>
      <c r="F70" s="161" t="inlineStr">
        <is>
          <t>16. Account for the biopsychosocial context</t>
        </is>
      </c>
      <c r="G70" s="162" t="inlineStr">
        <is>
          <t>Everything about this skill is on this row. Scroll right.</t>
        </is>
      </c>
      <c r="H70" s="158" t="n"/>
      <c r="I70" s="158" t="n"/>
      <c r="J70" s="158" t="n"/>
      <c r="K70" s="158">
        <f>COUNTIF(Log!$G$3:$G$402,"16. Account for the biopsychosocial context")</f>
        <v/>
      </c>
      <c r="L70" s="163">
        <f>IF(COUNTIF(Log!$G$3:$G$402,"16. Account for the biopsychosocial context")=0,"",SUMPRODUCT(MAX((Log!$G$3:$G$402="16. Account for the biopsychosocial context")*Log!$A$3:$A$402)))</f>
        <v/>
      </c>
      <c r="M70" s="164" t="inlineStr">
        <is>
          <t>▸  CORU 5.2
     Demonstrate a critical understanding of relevant biological sciences, human development, social and behavioural sciences and other related sciences, together with a knowledge of health and wellbeing
▸  CORU 5.5
     Be able to identify and understand the impact of governmental, organisational, community and societal structures, systems and culture on health and social care provision
▸  CORU 5.14
     Know the impact of structures and systems in which educational services are provided on the development of children, young people and adult learners at individual, group and organisational levels
▸  CORU 5.16
     Know psychological models related to the impact of family structures, culture, community, organisations and systems on cognitive, behavioural, emotional, social and learning development</t>
        </is>
      </c>
      <c r="N70" s="164" t="inlineStr">
        <is>
          <t>▸  PSI 4.2.5
     Take care in communicating their knowledge, findings and views to clearly differentiate facts, opinions, theories, hypotheses and ideas.
▸  PSI 4.2.6
     Not suppress disconfirming evidence of their findings and views, and acknowledge alternative hypotheses and explanations.</t>
        </is>
      </c>
      <c r="O70" s="165" t="inlineStr">
        <is>
          <t>Which model of disability you are working from determines what you recommend, whether or not you have ever named it. A medical model locates the difficulty in the child and produces recommendations aimed at the child. A social model locates it in barriers and produces recommendations aimed at the environment. A biopsychosocial model holds both and is what CORU 5.2, 5.14, 5.16 and 5.5 collectively require. Most trainee reports are medical-model by default because the assessment tools are child-focused, and the report follows the tools.</t>
        </is>
      </c>
      <c r="P70" s="165" t="inlineStr">
        <is>
          <t>▸  Naming the model you are using
     Write it down before you start. If you are working from a biopsychosocial model, your report has to show the environment doing something, not just appearing in a paragraph. The question that exposes a default medical model: if the environment changed and the child did not, would any of your recommendations become unnecessary? If the answer is no, you have written a within-child report.
▸  Biological and developmental contributors
     Birth and developmental history, hearing and vision status, sleep, chronic illness, medication and its timing, genetic conditions, early intervention received. Note particularly: a history of glue ear during the infant classes is a live hypothesis for a literacy difficulty presenting at eight, and it is routinely missed because nobody asks about hearing four years after it resolved.
▸  Family, culture and community
     Home language and the amount of exposure to the language of instruction, literacy practices at home, parental experience of school, migration and displacement, community resources, and the family's own construction of the difficulty. For a child assessed through an interpreter, this is not background — it changes what the scores mean, and the report must say so.
▸  The school environment as a contributor, not a backdrop
     Class size, teaching approach, how much of the day is independent written work, staff turnover, the Continuum of Support level and whether what is documented is actually happening, physical environment, acoustics, seating. The gap between the support recorded in the Student Support File and the support observed in the room is a finding worth stating plainly.
▸  Writing the levels as interacting
     The move that separates a grade 5 from a grade 3 is showing influence, not listing contributors. Not 'John has a phonological processing difficulty. John's class has 29 pupils. John's first language is Ukrainian.' Instead: 'John's phonological processing difficulty is compounded by a class size which limits individual feedback, and by the fact that instruction is in his second language, so that errors which would ordinarily be corrected within a lesson persist uncorrected. Each factor alone would be manageable; together they account for the size of the gap.' That sentence is a formulation. The first version is a list.</t>
        </is>
      </c>
      <c r="Q70" s="165" t="inlineStr">
        <is>
          <t>▸  Frederickson, N., &amp; Cline, T. (2009). Special educational needs, inclusion and diversity — the opening chapters on models of disability, read before anything else in this skill.
▸  Bronfenbrenner, U., &amp; Morris, P. A. (2006). The bioecological model of human development. In Handbook of Child Psychology (6th ed.). Wiley.
▸  Engel, G. L. (1977). The need for a new medical model. Science, 196(4286), 129–136. — the original biopsychosocial argument, short and still worth reading.
▸  Oliver, M. (2013). The social model of disability: Thirty years on. Disability &amp; Society, 28(7), 1024–1026.
▸  NEPS Continuum of Support guidelines — the Irish policy frame your recommendations have to land inside.</t>
        </is>
      </c>
      <c r="R70" s="166" t="inlineStr">
        <is>
          <t>✗  Writing a within-child report while believing you hold a social model.
✗  Listing environmental factors in a context paragraph and never referring to them again.
✗  Not asking about hearing history, and attributing a literacy difficulty entirely to phonological processing.
✗  Treating English as an Additional Language as a footnote rather than as something that changes the interpretation of every verbally mediated score.
✗  Recommending only what the school already does, because you did not examine the environment closely enough to see what is missing.</t>
        </is>
      </c>
      <c r="S70" s="154" t="inlineStr">
        <is>
          <t>▸  GRADE 3
     You record biological, family and school information in the report.
▸  GRADE 4
     You name the model you are working from and show the levels contributing.
▸  GRADE 5
     You show the levels interacting, you state which interaction accounts for the size of the difficulty, and at least one recommendation targets the environment rather than the child.</t>
        </is>
      </c>
      <c r="T70" s="165" t="inlineStr">
        <is>
          <t>▸  BLOCK 1 · Knowing the models
     [3–4 hours, once  ·  Weeks 1–2  ·  Study]
     The social and biopsychosocial models of disability, and what each implies for how you write.
     How you build it: Read one short piece on each. Know which your service operates from.
     ·  Name which model of disability you are working from
          you have it when: Stated and consistent
          [UNCRPD 2018 · CORU SoP 5.5]
▸  BLOCK 2 · Gathering across levels
     [Habit per case  ·  Weeks 3–6  ·  Habit]
     Making sure you have data at individual, family and school level before formulating.
     How you build it: Check your sources against the three levels before writing.
     ·  Consider biological and developmental contributors
          you have it when: History used, not just recorded
          [CORU SoP 5.2]
     ·  Consider family, culture and community influence
          you have it when: Cultural and linguistic factors addressed explicitly
          [CORU SoP 5.16 · 5.24]
     ·  Consider the school environment as a contributor
          you have it when: Class size, teacher change, transitions considered
          [CORU SoP 5.14]
▸  BLOCK 3 · Writing them as interacting
     [Ongoing  ·  Weeks 7–12  ·  Practice]
     Showing the levels connected rather than listed.
     How you build it: Write one formulation where two levels appear in the same sentence.
     ·  Show the levels interacting rather than listed
          you have it when: The formulation connects them
          [CORU SoP 5.16]</t>
        </is>
      </c>
      <c r="U70" s="165" t="inlineStr">
        <is>
          <t>No full chapter yet.</t>
        </is>
      </c>
      <c r="V70" s="165" t="inlineStr">
        <is>
          <t>▸  3.5 Trauma, attachment and loss
     full entry under 15. Analyse risk and resilience
▸  5.3 Medical condition or other diagnosis
     full entry under 10. Adapt standardised procedure and record the adaptation</t>
        </is>
      </c>
      <c r="W70" s="165" t="inlineStr">
        <is>
          <t>Table 2 area 2 · Handbook §2.1 four frameworks · Appendix 5 tagged Formulation · Year 2 case study</t>
        </is>
      </c>
      <c r="X70" s="165" t="inlineStr">
        <is>
          <t>EPSEN Act 2004 (partly commenced) · UNCRPD 2018 — the social model · UNCRPD 2018</t>
        </is>
      </c>
      <c r="Y70" s="165" t="inlineStr">
        <is>
          <t>Year 1 — Deepens as family and community work increases in Year 2.</t>
        </is>
      </c>
    </row>
    <row r="71" ht="19.5" customHeight="1" s="128">
      <c r="A71" s="147" t="inlineStr">
        <is>
          <t>COMP</t>
        </is>
      </c>
      <c r="B71" s="147" t="inlineStr">
        <is>
          <t>3. Intervention</t>
        </is>
      </c>
      <c r="C71" s="147" t="n"/>
      <c r="D71" s="147" t="n"/>
      <c r="E71" s="147" t="inlineStr">
        <is>
          <t>7 macro skills · 0 referral areas</t>
        </is>
      </c>
      <c r="F71" s="147" t="n"/>
      <c r="G71" s="147" t="n"/>
      <c r="H71" s="147" t="n"/>
      <c r="I71" s="147" t="n"/>
      <c r="J71" s="147" t="n"/>
      <c r="K71" s="147" t="n"/>
      <c r="L71" s="147" t="n"/>
      <c r="M71" s="147" t="n"/>
      <c r="N71" s="147" t="n"/>
      <c r="O71" s="147" t="n"/>
      <c r="P71" s="147" t="n"/>
      <c r="Q71" s="147" t="n"/>
      <c r="R71" s="147" t="n"/>
      <c r="S71" s="147" t="n"/>
      <c r="T71" s="147" t="n"/>
      <c r="U71" s="147" t="n"/>
      <c r="V71" s="147" t="n"/>
      <c r="W71" s="147" t="n"/>
      <c r="X71" s="147" t="n"/>
      <c r="Y71" s="147" t="n"/>
      <c r="Z71" s="147" t="n"/>
      <c r="AA71" s="147" t="n"/>
      <c r="AB71" s="147" t="n"/>
      <c r="AC71" s="147" t="n"/>
      <c r="AD71" s="147" t="n"/>
      <c r="AE71" s="147" t="n"/>
      <c r="AF71" s="147" t="n"/>
      <c r="AG71" s="147" t="n"/>
      <c r="AH71" s="147" t="n"/>
      <c r="AI71" s="147" t="n"/>
      <c r="AJ71" s="147" t="n"/>
      <c r="AK71" s="147" t="n"/>
    </row>
    <row r="72" ht="169.5" customHeight="1" s="128">
      <c r="A72" s="148" t="n"/>
      <c r="B72" s="149" t="inlineStr">
        <is>
          <t>3. Intervention</t>
        </is>
      </c>
      <c r="C72" s="149" t="n"/>
      <c r="D72" s="148" t="n"/>
      <c r="E72" s="148" t="inlineStr">
        <is>
          <t>What CORU asks of this competency — verbatim</t>
        </is>
      </c>
      <c r="F72" s="133" t="inlineStr">
        <is>
          <t>15 standards across this competency</t>
        </is>
      </c>
      <c r="G72" s="133" t="n"/>
      <c r="H72" s="149" t="n"/>
      <c r="I72" s="149" t="n"/>
      <c r="J72" s="149" t="n"/>
      <c r="K72" s="148" t="n"/>
      <c r="L72" s="148" t="n"/>
      <c r="M72" s="150" t="inlineStr">
        <is>
          <t>▸  CORU 1.2
     Be able to identify the limits of their practice and know when to seek advice and additional expertise or refer to another professional</t>
        </is>
      </c>
      <c r="N72" s="150" t="inlineStr">
        <is>
          <t>▸  CORU 2.1
     Be able to communicate diagnosis/assessment and/or treatment/management options in a way that can be understood by the service user</t>
        </is>
      </c>
      <c r="O72" s="150" t="inlineStr">
        <is>
          <t>▸  CORU 2.14
     Understand the need to work in partnership with service users, their relatives/carers and other professionals in planning and evaluating goals, treatments and interventions, and be aware of the concepts of power and authority in relationships with service users</t>
        </is>
      </c>
      <c r="P72" s="150" t="inlineStr">
        <is>
          <t>▸  CORU 3.4
     Be able to analyse and critically evaluate the information collected in the assessment process</t>
        </is>
      </c>
      <c r="Q72" s="150" t="inlineStr">
        <is>
          <t>▸  CORU 3.8
     Be able to evaluate intervention plans using appropriate tools and recognised performance/outcome measures along with service user responses; revise the plans as necessary and where appropriate in conjunction with the service user</t>
        </is>
      </c>
      <c r="R72" s="150" t="inlineStr">
        <is>
          <t>▸  CORU 5.18
     Know psychotherapeutic models relevant to educational psychology and critically evaluate these as they are applied in practice</t>
        </is>
      </c>
      <c r="S72" s="150" t="inlineStr">
        <is>
          <t>▸  CORU 5.21
     Establish, maintain and conclude a professional relationship with a service user, safely and ethically, recognising and managing professional boundaries</t>
        </is>
      </c>
      <c r="T72" s="150" t="inlineStr">
        <is>
          <t>▸  CORU 5.22
     Be able to critically analyse the factors that influence therapeutic and professional relationships, including power dynamics between the practitioner and service user</t>
        </is>
      </c>
      <c r="U72" s="150" t="inlineStr">
        <is>
          <t>▸  CORU 5.27
     Be able to produce clear, concise, accessible and accurate reports — devised in collaboration with service users, as appropriate — that are suitable for the intended audience and context of their use, in order to communicate and justify professional opinions made</t>
        </is>
      </c>
      <c r="V72" s="150" t="inlineStr">
        <is>
          <t>▸  CORU 5.33
     Be able to critically evaluate the theory and application of evidence-based intervention methods — at individual and group levels — in educational, health and social care settings</t>
        </is>
      </c>
      <c r="W72" s="150" t="inlineStr">
        <is>
          <t>▸  CORU 5.34
     Design intervention(s) on the basis of available data, evidence-informed professional judgement, formulation and service user perspective</t>
        </is>
      </c>
      <c r="X72" s="150" t="inlineStr">
        <is>
          <t>▸  CORU 5.35
     Identify and evaluate the characteristics of school organisation and culture in order to contribute to school development that enhances the participation and wellbeing of all learners</t>
        </is>
      </c>
      <c r="Y72" s="150" t="inlineStr">
        <is>
          <t>▸  CORU 5.36
     Apply safe and ethical intervention(s) appropriate to the goals and purpose identified in intervention plan(s)</t>
        </is>
      </c>
      <c r="Z72" s="150" t="inlineStr">
        <is>
          <t>▸  CORU 5.38
     Know and apply a range of consultation approaches at individual, group and organisational levels</t>
        </is>
      </c>
      <c r="AA72" s="150" t="inlineStr">
        <is>
          <t>▸  CORU 5.40
     Work collaboratively with other professionals — including teachers, other school staff and multi-disciplinary teams — to build capacity among those responsible for the delivery of interventions</t>
        </is>
      </c>
    </row>
    <row r="73" ht="169.5" customHeight="1" s="128">
      <c r="A73" s="148" t="n"/>
      <c r="B73" s="149" t="inlineStr">
        <is>
          <t>3. Intervention</t>
        </is>
      </c>
      <c r="C73" s="149" t="n"/>
      <c r="D73" s="148" t="n"/>
      <c r="E73" s="148" t="inlineStr">
        <is>
          <t>What the PSI Code asks of this competency — verbatim</t>
        </is>
      </c>
      <c r="F73" s="133" t="inlineStr">
        <is>
          <t>9 clauses across this competency</t>
        </is>
      </c>
      <c r="G73" s="133" t="n"/>
      <c r="H73" s="149" t="n"/>
      <c r="I73" s="149" t="n"/>
      <c r="J73" s="149" t="n"/>
      <c r="K73" s="148" t="n"/>
      <c r="L73" s="148" t="n"/>
      <c r="M73" s="150" t="inlineStr">
        <is>
          <t>▸  PSI 1.3.4
     Provide, in obtaining informed consent, as much information as a reasonable or prudent person, family, group or community would want to know before deciding — in language they understand, taking reasonable steps to ensure it is in fact understood.</t>
        </is>
      </c>
      <c r="N73" s="150" t="inlineStr">
        <is>
          <t>▸  PSI 1.4.1
     Seek as full and active participation as possible from others in decisions which affect them.</t>
        </is>
      </c>
      <c r="O73" s="150" t="inlineStr">
        <is>
          <t>▸  PSI 2.2.2
     Recognise the boundaries of their competence, and do not exceed these.</t>
        </is>
      </c>
      <c r="P73" s="150" t="inlineStr">
        <is>
          <t>▸  PSI 2.3.2
     Direct their interventions towards clear objectives, and do not persist after the objectives have been met or if it is apparent they cannot be met.</t>
        </is>
      </c>
      <c r="Q73" s="150" t="inlineStr">
        <is>
          <t>▸  PSI 2.3.3
     Terminate an activity when it is clear the activity is more harmful than beneficial, or when it is no longer needed.</t>
        </is>
      </c>
      <c r="R73" s="150" t="inlineStr">
        <is>
          <t>▸  PSI 3.1.2
     Monitor and evaluate the effect of their professional activities, record their findings and, if appropriate, communicate new knowledge to others in the field.</t>
        </is>
      </c>
      <c r="S73" s="150" t="inlineStr">
        <is>
          <t>▸  PSI 3.4.3
     When referring a client, maintain support and responsibility for caring until contact has commenced with the agent to whom referral was made.</t>
        </is>
      </c>
      <c r="T73" s="150" t="inlineStr">
        <is>
          <t>▸  PSI 3.4.4
     Give reasonable notice and make reasonably certain that discontinuation will cause no harm to the client, before discontinuing services.</t>
        </is>
      </c>
      <c r="U73" s="150" t="inlineStr">
        <is>
          <t>▸  PSI 4.3.1
     Respect the right of clients and research participants to receive an appropriate explanation of the nature, purpose and results of investigations, assessments and research findings, in language they can understand.</t>
        </is>
      </c>
    </row>
    <row r="74" ht="109.5" customHeight="1" s="128">
      <c r="A74" s="151" t="n"/>
      <c r="B74" s="152" t="inlineStr">
        <is>
          <t>3. Intervention</t>
        </is>
      </c>
      <c r="C74" s="152" t="n"/>
      <c r="D74" s="151" t="n"/>
      <c r="E74" s="151" t="inlineStr">
        <is>
          <t>Three-year arc</t>
        </is>
      </c>
      <c r="F74" s="153" t="inlineStr">
        <is>
          <t>What good looks like each year</t>
        </is>
      </c>
      <c r="G74" s="153" t="n"/>
      <c r="H74" s="152" t="n"/>
      <c r="I74" s="152" t="n"/>
      <c r="J74" s="152" t="n"/>
      <c r="K74" s="151" t="n"/>
      <c r="L74" s="151" t="n"/>
      <c r="M74" s="154" t="inlineStr">
        <is>
          <t>Year 1 — You observe interventions being delivered, then deliver simple ones. Recommendations are written at the right Continuum of Support level and cite evidence.</t>
        </is>
      </c>
      <c r="N74" s="154" t="inlineStr">
        <is>
          <t>Year 2 — You design, deliver and evaluate evidence-based interventions, including positive behaviour support and CBT with children and young people.</t>
        </is>
      </c>
      <c r="O74" s="154" t="inlineStr">
        <is>
          <t>Year 3 — You work therapeutically in complex systems, using ACT, CFT, DBT and trauma-informed approaches, and evaluate at programme level.</t>
        </is>
      </c>
    </row>
    <row r="75" ht="30" customHeight="1" s="128">
      <c r="A75" s="155" t="n"/>
      <c r="B75" s="155" t="n"/>
      <c r="C75" s="155" t="n"/>
      <c r="D75" s="155" t="n"/>
      <c r="E75" s="155" t="n"/>
      <c r="F75" s="156" t="inlineStr">
        <is>
          <t>one skill = one row →</t>
        </is>
      </c>
      <c r="G75" s="155" t="n"/>
      <c r="H75" s="155" t="n"/>
      <c r="I75" s="155" t="n"/>
      <c r="J75" s="155" t="n"/>
      <c r="K75" s="155" t="n"/>
      <c r="L75" s="155" t="n"/>
      <c r="M75" s="157" t="inlineStr">
        <is>
          <t>1 · CORU — number and focus</t>
        </is>
      </c>
      <c r="N75" s="157" t="inlineStr">
        <is>
          <t>2 · PSI — number and focus</t>
        </is>
      </c>
      <c r="O75" s="157" t="inlineStr">
        <is>
          <t>3 · Why this matters</t>
        </is>
      </c>
      <c r="P75" s="157" t="inlineStr">
        <is>
          <t>4 · Teaching — how you build it</t>
        </is>
      </c>
      <c r="Q75" s="157" t="inlineStr">
        <is>
          <t>5 · What to read</t>
        </is>
      </c>
      <c r="R75" s="157" t="inlineStr">
        <is>
          <t>6 · Common errors that cost marks</t>
        </is>
      </c>
      <c r="S75" s="157" t="inlineStr">
        <is>
          <t>7 · Rubric — grade 3, 4, 5</t>
        </is>
      </c>
      <c r="T75" s="157" t="inlineStr">
        <is>
          <t>8 · Blocks and micro-skills with pass tests</t>
        </is>
      </c>
      <c r="U75" s="157" t="inlineStr">
        <is>
          <t>9 · Full chapter, where written</t>
        </is>
      </c>
      <c r="V75" s="157" t="inlineStr">
        <is>
          <t>10 · Referral areas this skill serves</t>
        </is>
      </c>
      <c r="W75" s="157" t="inlineStr">
        <is>
          <t>11 · Where the evidence goes</t>
        </is>
      </c>
      <c r="X75" s="157" t="inlineStr">
        <is>
          <t>12 · Law and policy</t>
        </is>
      </c>
      <c r="Y75" s="157" t="inlineStr">
        <is>
          <t>13 · Year and how it extends</t>
        </is>
      </c>
      <c r="Z75" s="157" t="inlineStr">
        <is>
          <t>14 · —</t>
        </is>
      </c>
      <c r="AA75" s="157" t="inlineStr">
        <is>
          <t>15 · —</t>
        </is>
      </c>
      <c r="AB75" s="157" t="inlineStr">
        <is>
          <t>16 · —</t>
        </is>
      </c>
      <c r="AC75" s="157" t="inlineStr">
        <is>
          <t>17 · —</t>
        </is>
      </c>
      <c r="AD75" s="157" t="inlineStr">
        <is>
          <t>18 · —</t>
        </is>
      </c>
      <c r="AE75" s="157" t="inlineStr">
        <is>
          <t>19 · —</t>
        </is>
      </c>
      <c r="AF75" s="157" t="inlineStr">
        <is>
          <t>20 · —</t>
        </is>
      </c>
    </row>
    <row r="76" ht="408.75" customHeight="1" s="128">
      <c r="A76" s="158" t="inlineStr">
        <is>
          <t>SKILL</t>
        </is>
      </c>
      <c r="B76" s="159" t="inlineStr">
        <is>
          <t>3. Intervention</t>
        </is>
      </c>
      <c r="C76" s="160" t="inlineStr">
        <is>
          <t>▸  Knowing what exists
▸  Specifying an intervention
▸  Measuring it</t>
        </is>
      </c>
      <c r="D76" s="161" t="inlineStr">
        <is>
          <t>17. Educational interventions in literacy</t>
        </is>
      </c>
      <c r="E76" s="158" t="inlineStr">
        <is>
          <t>Macro skill</t>
        </is>
      </c>
      <c r="F76" s="161" t="inlineStr">
        <is>
          <t>17. Educational interventions in literacy</t>
        </is>
      </c>
      <c r="G76" s="162" t="inlineStr">
        <is>
          <t>Everything about this skill is on this row. Scroll right.</t>
        </is>
      </c>
      <c r="H76" s="158" t="n"/>
      <c r="I76" s="158" t="n"/>
      <c r="J76" s="158" t="n"/>
      <c r="K76" s="158">
        <f>COUNTIF(Log!$G$3:$G$402,"17. Educational interventions in literacy")</f>
        <v/>
      </c>
      <c r="L76" s="163">
        <f>IF(COUNTIF(Log!$G$3:$G$402,"17. Educational interventions in literacy")=0,"",SUMPRODUCT(MAX((Log!$G$3:$G$402="17. Educational interventions in literacy")*Log!$A$3:$A$402)))</f>
        <v/>
      </c>
      <c r="M76" s="164" t="inlineStr">
        <is>
          <t>▸  CORU 3.8
     Be able to evaluate intervention plans using appropriate tools and recognised performance/outcome measures along with service user responses; revise the plans as necessary and where appropriate in conjunction with the service user
▸  CORU 5.33
     Be able to critically evaluate the theory and application of evidence-based intervention methods — at individual and group levels — in educational, health and social care settings
▸  CORU 5.34
     Design intervention(s) on the basis of available data, evidence-informed professional judgement, formulation and service user perspective</t>
        </is>
      </c>
      <c r="N76" s="164" t="inlineStr">
        <is>
          <t>▸  PSI 2.3.2
     Direct their interventions towards clear objectives, and do not persist after the objectives have been met or if it is apparent they cannot be met.
▸  PSI 2.3.3
     Terminate an activity when it is clear the activity is more harmful than beneficial, or when it is no longer needed.
▸  PSI 3.1.2
     Monitor and evaluate the effect of their professional activities, record their findings and, if appropriate, communicate new knowledge to others in the field.</t>
        </is>
      </c>
      <c r="O76" s="165" t="inlineStr">
        <is>
          <t>A report that identifies a reading difficulty and recommends 'targeted literacy support' has done half a job and the weaker half. The school already knew the child could not read. What they need from a psychologist is which component is broken, which intervention addresses that component, at what intensity, for how long, and how they will know whether it worked. CORU 5.34 requires intervention designed on the basis of available data, evidence-informed judgement and formulation — which means the intervention must follow from your assessment, not from a list of what the school already owns.</t>
        </is>
      </c>
      <c r="P76" s="165" t="inlineStr">
        <is>
          <t>▸  The components, because the intervention follows the component
     Reading is not one thing. Phonological awareness, phonics and decoding, fluency, vocabulary, and comprehension are separable and a child can fail at any one of them with the others intact. A child who decodes accurately but slowly has a fluency problem and phonics instruction will not touch it. A child who decodes fluently and cannot answer questions has a comprehension or vocabulary problem. Identify the component before you name a programme.
▸  What works, by component
     Phonological awareness and decoding: systematic, explicit, synthetic phonics, taught to mastery — this is the most robust finding in the literacy literature. Fluency: repeated reading with feedback, and paired reading. Vocabulary: direct instruction of a small number of words taught deeply, not lists. Comprehension: explicit strategy instruction — prediction, clarification, questioning, summarising — modelled then gradually released. Ireland-specific: UFLI and the NEPS literacy materials are what schools are likely to have; know them well enough to say whether what the school is doing matches the component you identified.
▸  Specifying rather than recommending
     A usable recommendation has five parts: what, who delivers it, how often and for how long per session, over what period, and what will be measured. 'Daily 20-minute structured phonics delivered by the SET in a group of no more than three, for one term, with progress monitored fortnightly on non-word reading' is a recommendation. 'Literacy support' is a wish. Intensity is the variable schools most often get wrong and psychologists most often leave unspecified.
▸  Measuring it
     Choose the measure before the intervention starts and take a baseline. Use something sensitive to short-term change — curriculum-based measurement, words correct per minute, non-word reading — not an annual standardised test, which will not move in a term and will tell you nothing. Set the review date in the report. CORU 3.8 and 5.37 both require you to evaluate and revise, and you cannot revise what you did not measure.
▸  Knowing what the evidence does not support
     Coloured overlays and tinted lenses for reading difficulty, learning-styles matching, and most commercial 'brain training' packages do not have the evidence base their marketing claims. You will meet schools using them. The professional move is not to denounce but to redirect: acknowledge the effort, state plainly what the evidence supports, and offer the alternative. PSI 4.2.2 requires you to avoid misrepresenting the effectiveness of services.</t>
        </is>
      </c>
      <c r="Q76" s="165" t="inlineStr">
        <is>
          <t>▸  National Reading Panel (2000). Teaching children to read. NICHD. — the component structure and the evidence for each.
▸  Ehri, L. C. (2005). Learning to read words: Theory, findings, and issues. Scientific Studies of Reading, 9(2), 167–188.
▸  Snowling, M. J., &amp; Hulme, C. (2011). Evidence-based interventions for reading and language difficulties. British Journal of Educational Psychology, 81(1), 1–23.
▸  EEF Teaching and Learning Toolkit — reading comprehension strategies, phonics, and one-to-one tuition strands, each with cost and effect estimates.
▸  NEPS Continuum of Support guidelines and literacy resources.</t>
        </is>
      </c>
      <c r="R76" s="166" t="inlineStr">
        <is>
          <t>✗  Recommending a programme without identifying which component is impaired.
✗  Leaving intensity unspecified, so the school delivers fifteen minutes a week and concludes the intervention does not work.
✗  Choosing an annual standardised measure to monitor a one-term intervention.
✗  No baseline, so no way to attribute change.
✗  Recommending only what the school already does, because you did not ask what else exists.</t>
        </is>
      </c>
      <c r="S76" s="154" t="inlineStr">
        <is>
          <t>▸  GRADE 3
     You recommend an intervention appropriate to a reading difficulty.
▸  GRADE 4
     You identify the impaired component, name an intervention with evidence for that component, and specify intensity, duration and deliverer.
▸  GRADE 5
     You specify the monitoring measure and review point, you can cite the evidence for your choice, and you can say what you would do if the first term shows no change.</t>
        </is>
      </c>
      <c r="T76" s="165" t="inlineStr">
        <is>
          <t>▸  BLOCK 1 · Knowing what exists
     [4–5 hours, once  ·  Weeks 3–6  ·  Study]
     The structured phonics programmes available in Irish schools and what each is designed for.
     How you build it: List the five most common on your patch. Ask the SETs which they actually use.
     ·  Know the programmes available locally
          you have it when: You can name what these schools hold
          [CORU SoP 5.33]
     ·  Match the programme to the phonological profile
          you have it when: The recommendation follows the assessment
          [CORU SoP 5.34]
▸  BLOCK 2 · Specifying an intervention
     [2 hours, then habit  ·  Weeks 7–12  ·  Practice]
     Turning a recommendation into something with a dose, a deliverer and a review point.
     How you build it: Write one fully specified recommendation and have it checked by a SET for feasibility.
     ·  Specify how often, how long, over what period
          you have it when: Frequency and duration stated
          [CORU SoP 5.34 · PSI Code 2.3.2]
     ·  Identify who delivers and whether they are trained
          you have it when: Delivery assigned to a named role
          [CORU SoP 5.40]
▸  BLOCK 3 · Measuring it
     [Habit per case  ·  Weeks 7–12  ·  Habit]
     Baseline, outcome measure, review date — built in from the start.
     How you build it: Choose the measure before the intervention starts, never after.
     ·  Take a baseline before it starts
          you have it when: There is a pre-measure
          [CORU SoP 3.8]
     ·  Set a review point and a measure
          you have it when: Measurable by someone other than you
          [CORU SoP 5.37 · PSI Code 3.1.2]</t>
        </is>
      </c>
      <c r="U76" s="165" t="inlineStr">
        <is>
          <t>No full chapter yet.</t>
        </is>
      </c>
      <c r="V76" s="165" t="inlineStr">
        <is>
          <t>▸  1.4 Literacy — reading (fluency / comprehension), writing and spelling
     full entry under 5. WIAT administration, scoring and interpretation</t>
        </is>
      </c>
      <c r="W76" s="165" t="inlineStr">
        <is>
          <t>Table 2 area 3 · Appendix 5 tagged Intervention with outcomes · Year 2 PBS case study</t>
        </is>
      </c>
      <c r="X76" s="165" t="inlineStr">
        <is>
          <t>Education Act 1998 — school duties · Equal Status Acts — reasonable accommodation</t>
        </is>
      </c>
      <c r="Y76" s="165" t="inlineStr">
        <is>
          <t>Year 1 — You deliver rather than recommend from Year 2.</t>
        </is>
      </c>
    </row>
    <row r="77" ht="408.75" customHeight="1" s="128">
      <c r="A77" s="158" t="inlineStr">
        <is>
          <t>SKILL</t>
        </is>
      </c>
      <c r="B77" s="159" t="inlineStr">
        <is>
          <t>3. Intervention</t>
        </is>
      </c>
      <c r="C77" s="160" t="inlineStr">
        <is>
          <t>▸  Knowing how number develops
▸  Placing it on the Continuum</t>
        </is>
      </c>
      <c r="D77" s="161" t="inlineStr">
        <is>
          <t>18. Educational interventions in numeracy</t>
        </is>
      </c>
      <c r="E77" s="158" t="inlineStr">
        <is>
          <t>Macro skill</t>
        </is>
      </c>
      <c r="F77" s="161" t="inlineStr">
        <is>
          <t>18. Educational interventions in numeracy</t>
        </is>
      </c>
      <c r="G77" s="162" t="inlineStr">
        <is>
          <t>Everything about this skill is on this row. Scroll right.</t>
        </is>
      </c>
      <c r="H77" s="158" t="n"/>
      <c r="I77" s="158" t="n"/>
      <c r="J77" s="158" t="n"/>
      <c r="K77" s="158">
        <f>COUNTIF(Log!$G$3:$G$402,"18. Educational interventions in numeracy")</f>
        <v/>
      </c>
      <c r="L77" s="163">
        <f>IF(COUNTIF(Log!$G$3:$G$402,"18. Educational interventions in numeracy")=0,"",SUMPRODUCT(MAX((Log!$G$3:$G$402="18. Educational interventions in numeracy")*Log!$A$3:$A$402)))</f>
        <v/>
      </c>
      <c r="M77" s="164" t="inlineStr">
        <is>
          <t>▸  CORU 3.4
     Be able to analyse and critically evaluate the information collected in the assessment process
▸  CORU 5.33
     Be able to critically evaluate the theory and application of evidence-based intervention methods — at individual and group levels — in educational, health and social care settings
▸  CORU 5.34
     Design intervention(s) on the basis of available data, evidence-informed professional judgement, formulation and service user perspective</t>
        </is>
      </c>
      <c r="N77" s="164" t="inlineStr">
        <is>
          <t>▸  PSI 2.3.2
     Direct their interventions towards clear objectives, and do not persist after the objectives have been met or if it is apparent they cannot be met.
▸  PSI 2.3.3
     Terminate an activity when it is clear the activity is more harmful than beneficial, or when it is no longer needed.</t>
        </is>
      </c>
      <c r="O77" s="165" t="inlineStr">
        <is>
          <t>Numeracy is the poor relation in educational psychology practice — less research, fewer programmes, less confident practitioners — and trainees often avoid it by writing a generic maths recommendation. But the developmental sequence in number is well described, and knowing it lets you say where a child actually is rather than that they are behind. That is the difference between a recommendation a teacher can act on and one they cannot.</t>
        </is>
      </c>
      <c r="P77" s="165" t="inlineStr">
        <is>
          <t>▸  How number develops
     Subitising, then counting with one-to-one correspondence, then cardinality (understanding that the last number counted is the quantity), then number comparison and the mental number line, then part-whole relations, then derived facts and strategies, then formal procedures. A child who has not secured cardinality cannot meaningfully do addition, and drilling addition facts will not help. Locate the child in this sequence before recommending anything.
▸  Separating the sources of failure
     A maths word problem failure can be a reading problem, a working memory problem, a number sense problem, a procedural knowledge problem, or anxiety. These need different interventions and the assessment has to distinguish them. Give the same problem orally and in writing; give a calculation with and without the language wrapper. The difference is the finding.
▸  What the evidence supports
     Explicit teaching of strategies rather than drill. Concrete–pictorial–abstract sequencing, with the concrete stage not rushed. Number-line work for magnitude and comparison. Small-group explicit instruction for children behind their peers. Manipulatives used to represent structure, not as an activity in themselves. Maths anxiety, where present, needs addressing alongside the instruction, not after it.
▸  Placing it on the Continuum of Support
     Name the level: Classroom Support, School Support, or School Support Plus. This is how Irish schools allocate resource, and a recommendation that does not name a level leaves the school guessing. If you are recommending School Support Plus, say what makes it that rather than School Support — usually intensity, individualisation and the involvement of outside services.
▸  Being honest about the evidence base
     The numeracy intervention literature is thinner than the literacy one and the programmes have weaker evidence. Say so in the report rather than implying more certainty than exists. PSI 2.3.1 requires you to be mindful of the limits of psychological data and techniques, and a limitations sentence about the numeracy evidence base is a mark of competence, not a weakness.</t>
        </is>
      </c>
      <c r="Q77" s="165" t="inlineStr">
        <is>
          <t>▸  Gersten, R., Chard, D. J., Jayanthi, M., Baker, S. K., Morphy, P., &amp; Flojo, J. (2009). Mathematics instruction for students with learning disabilities. Review of Educational Research, 79(3), 1202–1242.
▸  Dowker, A. (2004). What works for children with mathematical difficulties? DfES Research Report 554.
▸  Butterworth, B., Varma, S., &amp; Laurillard, D. (2011). Dyscalculia: From brain to education. Science, 332(6033), 1049–1053.
▸  EEF Improving Mathematics in the Early Years and Key Stage 1, and Improving Mathematics in Key Stages 2 and 3.
▸  NEPS Continuum of Support guidelines.</t>
        </is>
      </c>
      <c r="R77" s="166" t="inlineStr">
        <is>
          <t>✗  Generic maths recommendations that do not locate the child developmentally.
✗  Not separating the reading load from the calculation load.
✗  Recommending drill for a child who has not secured cardinality.
✗  Omitting the Continuum level, so the school cannot allocate.
✗  Implying the numeracy evidence base is as strong as the literacy one.</t>
        </is>
      </c>
      <c r="S77" s="154" t="inlineStr">
        <is>
          <t>▸  GRADE 3
     You recommend numeracy support appropriate to the difficulty.
▸  GRADE 4
     You locate the child in the developmental sequence, separate the sources of failure, and name the Continuum level.
▸  GRADE 5
     You cite the evidence and state its limits, and your recommendation specifies the instructional approach rather than a programme name.</t>
        </is>
      </c>
      <c r="T77" s="165" t="inlineStr">
        <is>
          <t>▸  BLOCK 1 · Knowing how number develops
     [4 hours, once  ·  Weeks 3–6  ·  Study]
     Number sense, counting principles, fact retrieval and the concrete–pictorial–abstract sequence.
     How you build it: One chapter on numeracy development. Write the CPA sequence out in your own words.
     ·  Know concrete–pictorial–abstract sequencing
          you have it when: You can explain it to a teacher in two minutes
          [CORU SoP 5.33]
     ·  Distinguish fact retrieval from conceptual difficulty
          you have it when: The recommendation targets the right one
          [CORU SoP 3.4 · 5.34]
▸  BLOCK 2 · Placing it on the Continuum
     [3 hours  ·  Weeks 7–12  ·  Practice]
     Knowing which level of support a numeracy recommendation belongs at.
     How you build it: Map one school's numeracy provision across the three levels.
     ·  Recommend at the right point on the Continuum
          you have it when: Level stated
          [NEPS Continuum of Support]
     ·  Specify what success would look like
          you have it when: A teacher would know whether it worked
          [CORU SoP 3.8]</t>
        </is>
      </c>
      <c r="U77" s="165" t="inlineStr">
        <is>
          <t>No full chapter yet.</t>
        </is>
      </c>
      <c r="V77" s="165" t="inlineStr">
        <is>
          <t>▸  1.5 Maths skills — concepts and computation
     full entry under 5. WIAT administration, scoring and interpretation</t>
        </is>
      </c>
      <c r="W77" s="165" t="inlineStr">
        <is>
          <t>NEPS Continuum of Support · Table 2 area 3 · Appendix 5 tagged Intervention with outcomes · Year 2 PBS case study</t>
        </is>
      </c>
      <c r="X77" s="165" t="inlineStr">
        <is>
          <t>Education Act 1998 — school duties · Equal Status Acts — reasonable accommodation</t>
        </is>
      </c>
      <c r="Y77" s="165" t="inlineStr">
        <is>
          <t>Year 1 — You deliver rather than recommend from Year 2.</t>
        </is>
      </c>
    </row>
    <row r="78" ht="408.75" customHeight="1" s="128">
      <c r="A78" s="158" t="inlineStr">
        <is>
          <t>SKILL</t>
        </is>
      </c>
      <c r="B78" s="159" t="inlineStr">
        <is>
          <t>3. Intervention</t>
        </is>
      </c>
      <c r="C78" s="160" t="inlineStr">
        <is>
          <t>▸  Knowing the evidence
▸  Group facilitation
▸  Leaving it behind</t>
        </is>
      </c>
      <c r="D78" s="161" t="inlineStr">
        <is>
          <t>19. Wellbeing interventions at class and group level</t>
        </is>
      </c>
      <c r="E78" s="158" t="inlineStr">
        <is>
          <t>Macro skill</t>
        </is>
      </c>
      <c r="F78" s="161" t="inlineStr">
        <is>
          <t>19. Wellbeing interventions at class and group level</t>
        </is>
      </c>
      <c r="G78" s="162" t="inlineStr">
        <is>
          <t>Everything about this skill is on this row. Scroll right.</t>
        </is>
      </c>
      <c r="H78" s="158" t="n"/>
      <c r="I78" s="158" t="n"/>
      <c r="J78" s="158" t="n"/>
      <c r="K78" s="158">
        <f>COUNTIF(Log!$G$3:$G$402,"19. Wellbeing interventions at class and group level")</f>
        <v/>
      </c>
      <c r="L78" s="163">
        <f>IF(COUNTIF(Log!$G$3:$G$402,"19. Wellbeing interventions at class and group level")=0,"",SUMPRODUCT(MAX((Log!$G$3:$G$402="19. Wellbeing interventions at class and group level")*Log!$A$3:$A$402)))</f>
        <v/>
      </c>
      <c r="M78" s="164" t="inlineStr">
        <is>
          <t>▸  CORU 5.33
     Be able to critically evaluate the theory and application of evidence-based intervention methods — at individual and group levels — in educational, health and social care settings
▸  CORU 5.36
     Apply safe and ethical intervention(s) appropriate to the goals and purpose identified in intervention plan(s)
▸  CORU 5.40
     Work collaboratively with other professionals — including teachers, other school staff and multi-disciplinary teams — to build capacity among those responsible for the delivery of interventions</t>
        </is>
      </c>
      <c r="N78" s="164" t="inlineStr">
        <is>
          <t>▸  PSI 2.3.2
     Direct their interventions towards clear objectives, and do not persist after the objectives have been met or if it is apparent they cannot be met.
▸  PSI 2.3.3
     Terminate an activity when it is clear the activity is more harmful than beneficial, or when it is no longer needed.</t>
        </is>
      </c>
      <c r="O78" s="165" t="inlineStr">
        <is>
          <t>Working at class and group level is where educational psychology does something a clinician cannot, and it is the competency Irish trainees evidence most thinly — your own review named systemic work as a development area. A universal or targeted group intervention reaches thirty children for the cost of one assessment. It is also where the risk of doing harm through a badly designed group is real and under-discussed.</t>
        </is>
      </c>
      <c r="P78" s="165" t="inlineStr">
        <is>
          <t>▸  The tiers, and choosing the right one
     Universal (whole class or whole school), targeted or selective (a group identified as at risk), and indicated (individual). Universal programmes have small effect sizes across many children; targeted groups have larger effects on fewer. The choice is not about severity alone — it is about whether the difficulty is shared. If a third of the class has the difficulty, a targeted group misidentifies a classroom problem as a child problem.
▸  What the evidence supports
     Social and emotional learning programmes delivered with fidelity produce modest but real gains in wellbeing and in attainment. Fidelity is the variable that predicts whether they work — poorly implemented SEL produces nothing. CBT-informed anxiety groups for children have reasonable support. Mindfulness in schools has mixed evidence and some trials showing no effect or harm in adolescents; do not present it as established. Friends for Life and similar manualised programmes are used in Irish settings — know which your service uses.
▸  Facilitating a group without doing harm
     Screen who is in it. A group of children with the same difficulty can normalise it or can amplify it — deviancy training is a documented risk when grouping children with conduct difficulties. Set ground rules with the group rather than for them. Manage disclosure: a child may disclose in a group and you have no control over what the other children repeat. Say at the start what you will do if someone tells you something that worries you, in the children's own terms.
▸  Leaving it behind
     The intervention that ends when you leave has failed. Build in the school staff from the first session — co-facilitate, then hand over, then review. CORU 5.40 asks you to build capacity among those responsible for delivery. Write the handover into the plan at the start; it does not happen if it is an afterthought.
▸  Evaluating a group
     Pre and post measures on the children, a fidelity check on the delivery, and a teacher or facilitator view. Something as simple as a validated brief measure at week one and week eight will let you say whether it worked, and gives you a practice-based research output — which is another of your named development areas, met by the same piece of work.</t>
        </is>
      </c>
      <c r="Q78" s="165" t="inlineStr">
        <is>
          <t>▸  Durlak, J. A., Weissberg, R. P., Dymnicki, A. B., Taylor, R. D., &amp; Schellinger, K. B. (2011). The impact of enhancing students' social and emotional learning: A meta-analysis. Child Development, 82(1), 405–432.
▸  Dishion, T. J., McCord, J., &amp; Poulin, F. (1999). When interventions harm: Peer groups and problem behavior. American Psychologist, 54(9), 755–764. — read this before you run any group.
▸  Kuyken, W. et al. (2022). Effectiveness of universal school-based mindfulness training. Evidence-Based Mental Health, 25(3). — the trial that complicated the mindfulness story.
▸  Weare, K., &amp; Nind, M. (2011). Mental health promotion and problem prevention in schools: What does the evidence say? Health Promotion International, 26(S1).
▸  Department of Education Wellbeing Policy Statement and Framework for Practice.</t>
        </is>
      </c>
      <c r="R78" s="166" t="inlineStr">
        <is>
          <t>✗  Running a targeted group for a difficulty that is actually classroom-wide.
✗  No fidelity check, so you cannot tell whether the programme or its delivery failed.
✗  Grouping children with conduct difficulties without considering deviancy training.
✗  Not setting out disclosure rules with the children at the start.
✗  No handover, so the work ends when the placement does.</t>
        </is>
      </c>
      <c r="S78" s="154" t="inlineStr">
        <is>
          <t>▸  GRADE 3
     You have contributed to a group intervention.
▸  GRADE 4
     You chose the tier deliberately, screened membership, and co-facilitated with school staff.
▸  GRADE 5
     You evaluated with pre and post measures and a fidelity check, handed over to staff, and can state what you would change.</t>
        </is>
      </c>
      <c r="T78" s="165" t="inlineStr">
        <is>
          <t>▸  BLOCK 1 · Knowing the evidence
     [4–5 hours, once  ·  Weeks 3–6  ·  Study]
     Which whole-class wellbeing programmes have an evidence base, and how strong it is.
     How you build it: Read one review of school-based wellbeing programmes. Note which are used in Irish schools.
     ·  Know the evidence base for what you recommend
          you have it when: You can cite it
          [CORU SoP 5.33 · 5.41]
▸  BLOCK 2 · Group facilitation
     [6–8 hours  ·  Weeks 7–12  ·  Practice]
     Running a session with a class rather than an individual — pacing, managing participation, adapting live.
     How you build it: Co-facilitate twice with the teacher before leading anything.
     ·  Co-facilitate rather than only observe
          you have it when: You delivered part of it
          [CORU SoP 5.36]
     ·  Adapt delivery to the group in front of you
          you have it when: You changed something in response
          [CORU SoP 5.36]
▸  BLOCK 3 · Leaving it behind
     [Habit  ·  Weeks 7–12  ·  Practice]
     Making sure the teacher can run it without you.
     How you build it: Ask at the end what they will do next week. If they cannot say, it did not land.
     ·  Measure something before and after
          you have it when: There is outcome data, however simple
          [CORU SoP 3.8]
     ·  Leave the teacher able to run it
          you have it when: Capacity remains after you go
          [CORU SoP 5.40]</t>
        </is>
      </c>
      <c r="U78" s="165" t="inlineStr">
        <is>
          <t>No full chapter yet.</t>
        </is>
      </c>
      <c r="V78" s="165" t="inlineStr">
        <is>
          <t>▸  2.1 Behaviour in class
     full entry under 1. Observation in classroom, playground and clinic
▸  3.6 School attendance
     full entry under 15. Analyse risk and resilience</t>
        </is>
      </c>
      <c r="W78" s="165" t="inlineStr">
        <is>
          <t>Table 2 area 3 · Appendix 5 tagged Intervention with outcomes · Year 2 PBS case study</t>
        </is>
      </c>
      <c r="X78" s="165" t="inlineStr">
        <is>
          <t>Education Act 1998 — school duties · Equal Status Acts — reasonable accommodation</t>
        </is>
      </c>
      <c r="Y78" s="165" t="inlineStr">
        <is>
          <t>Year 1 — Becomes group and whole-class delivery in Year 2.</t>
        </is>
      </c>
    </row>
    <row r="79" ht="408.75" customHeight="1" s="128">
      <c r="A79" s="158" t="inlineStr">
        <is>
          <t>SKILL</t>
        </is>
      </c>
      <c r="B79" s="159" t="inlineStr">
        <is>
          <t>3. Intervention</t>
        </is>
      </c>
      <c r="C79" s="160" t="inlineStr">
        <is>
          <t>▸  The micro-techniques
▸  Knowing your limit
▸  Ending well</t>
        </is>
      </c>
      <c r="D79" s="161" t="inlineStr">
        <is>
          <t>20. Foundations in counselling skills</t>
        </is>
      </c>
      <c r="E79" s="158" t="inlineStr">
        <is>
          <t>Macro skill</t>
        </is>
      </c>
      <c r="F79" s="161" t="inlineStr">
        <is>
          <t>20. Foundations in counselling skills</t>
        </is>
      </c>
      <c r="G79" s="162" t="inlineStr">
        <is>
          <t>Everything about this skill is on this row. Scroll right.</t>
        </is>
      </c>
      <c r="H79" s="158" t="n"/>
      <c r="I79" s="158" t="n"/>
      <c r="J79" s="158" t="n"/>
      <c r="K79" s="158">
        <f>COUNTIF(Log!$G$3:$G$402,"20. Foundations in counselling skills")</f>
        <v/>
      </c>
      <c r="L79" s="163">
        <f>IF(COUNTIF(Log!$G$3:$G$402,"20. Foundations in counselling skills")=0,"",SUMPRODUCT(MAX((Log!$G$3:$G$402="20. Foundations in counselling skills")*Log!$A$3:$A$402)))</f>
        <v/>
      </c>
      <c r="M79" s="164" t="inlineStr">
        <is>
          <t>▸  CORU 1.2
     Be able to identify the limits of their practice and know when to seek advice and additional expertise or refer to another professional
▸  CORU 5.18
     Know psychotherapeutic models relevant to educational psychology and critically evaluate these as they are applied in practice
▸  CORU 5.21
     Establish, maintain and conclude a professional relationship with a service user, safely and ethically, recognising and managing professional boundaries</t>
        </is>
      </c>
      <c r="N79" s="164" t="inlineStr">
        <is>
          <t>▸  PSI 2.2.2
     Recognise the boundaries of their competence, and do not exceed these.
▸  PSI 2.3.2
     Direct their interventions towards clear objectives, and do not persist after the objectives have been met or if it is apparent they cannot be met.
▸  PSI 2.3.3
     Terminate an activity when it is clear the activity is more harmful than beneficial, or when it is no longer needed.
▸  PSI 3.4.3
     When referring a client, maintain support and responsibility for caring until contact has commenced with the agent to whom referral was made.
▸  PSI 3.4.4
     Give reasonable notice and make reasonably certain that discontinuation will cause no harm to the client, before discontinuing services.</t>
        </is>
      </c>
      <c r="O79" s="165" t="inlineStr">
        <is>
          <t>You are not a therapist and Year 1 is not therapy training. But every parent feedback meeting, every pupil interview, every difficult consultation runs on counselling micro-skills, and without them you will get thin information and damaged relationships. The other half of this skill is knowing precisely where your competence ends — PSI 2.2.2 and 2.2.3 put that boundary in writing, and crossing it is one of the more serious things a trainee can do.</t>
        </is>
      </c>
      <c r="P79" s="165" t="inlineStr">
        <is>
          <t>▸  The micro-techniques, and what each is for
     Open questions get an account; closed questions confirm a detail. Reflection of content shows you heard; reflection of feeling shows you understood and is the one trainees skip. Summarising at intervals lets the person correct you, which is how you avoid building a formulation on a misunderstanding. Silence — three to five seconds after an answer — produces more than any follow-up question, and is the hardest to tolerate. Practise silence deliberately; it feels far longer than it is.
▸  Reflecting feeling without labelling
     'That sounds frightening' is a hypothesis offered for correction. 'You're anxious about it' is a label applied. The first invites 'no, more angry actually', which is information. The second closes it. Tentativeness is not weakness here — it is the technique.
▸  Knowing your limit, concretely
     You can listen, contain, and help someone think. You cannot deliver therapy, treat a mental health condition, or work with trauma. If a parent begins disclosing their own mental health difficulty, your job is to listen, acknowledge, and signpost — not to take it on. If a child's disclosure moves toward trauma, you stop and refer. Write the referral routes out in advance so that in the moment you have a name to give rather than a vague suggestion to see someone.
▸  Solution-focused technique as the usable middle
     Solution-focused approaches are widely used in Irish educational psychology, are within trainee competence with supervision, and are well suited to school work. Scaling questions, the miracle question, exception-finding and identifying what is already working give you a structure for a pupil interview that is both useful and defensible. You have already used this framework at Roscommon; build it deliberately rather than incidentally.
▸  Ending well
     Signal the ending before it arrives — 'we have about ten minutes left'. Summarise what was said and what happens next. Be explicit about what you will and will not do, and what will be written down and who will see it. An unclear ending leaves a parent expecting contact that is not coming, which does more damage than a blunt but clear one.</t>
        </is>
      </c>
      <c r="Q79" s="165" t="inlineStr">
        <is>
          <t>▸  Egan, G., &amp; Reese, R. J. (2021). The skilled helper (11th ed.). Cengage. — the standard text for the micro-skills.
▸  Ratner, H., George, E., &amp; Iveson, C. (2012). Solution focused brief therapy: 100 key points and techniques. Routledge.
▸  Rogers, C. R. (1957). The necessary and sufficient conditions of therapeutic personality change. Journal of Consulting Psychology, 21(2), 95–103.
▸  PSI Code of Professional Ethics (2025), 2.2.2, 2.2.3 and 2.2.4 — the competence boundary in the Code's own words. Full text is on this sheet, Part B.
▸  Kelly, B., &amp; Perkins, D. F. (Eds.) (2012). Handbook of implementation science for psychology in education. Cambridge University Press.</t>
        </is>
      </c>
      <c r="R79" s="166" t="inlineStr">
        <is>
          <t>✗  Filling silence.
✗  Labelling feeling instead of offering it tentatively.
✗  Drifting into therapy with a parent because the conversation went there and it felt unkind to stop.
✗  Not knowing the referral route, so the signpost is vague.
✗  Ending without saying what happens next or what gets written down.</t>
        </is>
      </c>
      <c r="S79" s="154" t="inlineStr">
        <is>
          <t>▸  GRADE 3
     You use open questions and can conduct an interview that gathers information.
▸  GRADE 4
     You reflect feeling tentatively, tolerate silence, summarise to allow correction, and can state where your competence ends.
▸  GRADE 5
     You use a named approach deliberately, you recognise in the moment when a conversation is moving outside your competence, and you redirect and refer cleanly.</t>
        </is>
      </c>
      <c r="T79" s="165" t="inlineStr">
        <is>
          <t>▸  BLOCK 1 · The micro-techniques
     [8–10 hours plus practice  ·  Weeks 7–12  ·  Practice]
     Open questions, reflective listening, summarising, silence, scaling.
     How you build it: One skills course or text. Then practise each deliberately, one per session.
     ·  Use open questions and reflective listening
          you have it when: The young person speaks more than you do
          [CORU SoP 5.18]
     ·  Hold silence without filling it
          you have it when: You waited
          [CORU SoP 5.21]
     ·  Use scaling or solution-focused questioning
          you have it when: You have a technique, not just a conversation
          [CORU SoP 5.18]
▸  BLOCK 2 · Knowing your limit
     [2 hours, once  ·  Weeks 3–6  ·  Habit]
     Where educational psychology counselling stops and therapy begins.
     How you build it: Agree the boundary with your supervisor explicitly, in writing if possible.
     ·  Recognise when the work exceeds your competence
          you have it when: You named your limit before reaching it
          [CORU SoP 1.2 · PSI Code 2.2.2]
     ·  Know the onward referral route and use it
          you have it when: You referred rather than continued
          [PSI Code 3.4.3]
▸  BLOCK 3 · Ending well
     [Habit  ·  Ongoing all year  ·  Habit]
     Concluding a relationship rather than letting it lapse.
     How you build it: Plan the ending at session one. Say how many sessions there will be.
     ·  Close the relationship properly
          you have it when: There was an ending, not a lapse
          [CORU SoP 5.21 · PSI Code 3.4.4]</t>
        </is>
      </c>
      <c r="U79" s="165" t="inlineStr">
        <is>
          <t>No full chapter yet.</t>
        </is>
      </c>
      <c r="V79" s="165" t="inlineStr">
        <is>
          <t>▸  3.1 Confidence and self-esteem
     full entry under 9. Behavioural and emotional rating scales
▸  3.2 Anxiety
     full entry under 9. Behavioural and emotional rating scales
▸  3.4 Mood
     full entry under 9. Behavioural and emotional rating scales</t>
        </is>
      </c>
      <c r="W79" s="165" t="inlineStr">
        <is>
          <t>Table 2 area 3 · Appendix 5 tagged Intervention with outcomes · Year 2 PBS case study</t>
        </is>
      </c>
      <c r="X79" s="165" t="inlineStr">
        <is>
          <t>Education Act 1998 — school duties · Equal Status Acts — reasonable accommodation</t>
        </is>
      </c>
      <c r="Y79" s="165" t="inlineStr">
        <is>
          <t>Year 1 — Foundation skills in Year 1; CBT in Year 2; ACT, CFT, DBT in Year 3.</t>
        </is>
      </c>
    </row>
    <row r="80" ht="408.75" customHeight="1" s="128">
      <c r="A80" s="158" t="inlineStr">
        <is>
          <t>SKILL</t>
        </is>
      </c>
      <c r="B80" s="159" t="inlineStr">
        <is>
          <t>3. Intervention</t>
        </is>
      </c>
      <c r="C80" s="160" t="inlineStr">
        <is>
          <t>▸  Knowing the Continuum
▸  Writing them so they happen
▸  Building in evaluation</t>
        </is>
      </c>
      <c r="D80" s="161" t="inlineStr">
        <is>
          <t>21. Write recommendations naming the Continuum of Support level</t>
        </is>
      </c>
      <c r="E80" s="158" t="inlineStr">
        <is>
          <t>Macro skill</t>
        </is>
      </c>
      <c r="F80" s="161" t="inlineStr">
        <is>
          <t>21. Write recommendations naming the Continuum of Support level</t>
        </is>
      </c>
      <c r="G80" s="162" t="inlineStr">
        <is>
          <t>Everything about this skill is on this row. Scroll right.</t>
        </is>
      </c>
      <c r="H80" s="158" t="n"/>
      <c r="I80" s="158" t="n"/>
      <c r="J80" s="158" t="n"/>
      <c r="K80" s="158">
        <f>COUNTIF(Log!$G$3:$G$402,"21. Write recommendations naming the Continuum of Support level")</f>
        <v/>
      </c>
      <c r="L80" s="163">
        <f>IF(COUNTIF(Log!$G$3:$G$402,"21. Write recommendations naming the Continuum of Support level")=0,"",SUMPRODUCT(MAX((Log!$G$3:$G$402="21. Write recommendations naming the Continuum of Support level")*Log!$A$3:$A$402)))</f>
        <v/>
      </c>
      <c r="M80" s="164" t="inlineStr">
        <is>
          <t>▸  CORU 3.8
     Be able to evaluate intervention plans using appropriate tools and recognised performance/outcome measures along with service user responses; revise the plans as necessary and where appropriate in conjunction with the service user
▸  CORU 5.34
     Design intervention(s) on the basis of available data, evidence-informed professional judgement, formulation and service user perspective
▸  CORU 5.35
     Identify and evaluate the characteristics of school organisation and culture in order to contribute to school development that enhances the participation and wellbeing of all learners</t>
        </is>
      </c>
      <c r="N80" s="164" t="inlineStr">
        <is>
          <t>▸  PSI 2.3.2
     Direct their interventions towards clear objectives, and do not persist after the objectives have been met or if it is apparent they cannot be met.
▸  PSI 2.3.3
     Terminate an activity when it is clear the activity is more harmful than beneficial, or when it is no longer needed.
▸  PSI 3.1.2
     Monitor and evaluate the effect of their professional activities, record their findings and, if appropriate, communicate new knowledge to others in the field.</t>
        </is>
      </c>
      <c r="O80" s="165" t="inlineStr">
        <is>
          <t>The Continuum of Support is the structure Irish schools use to allocate resource. A recommendation that does not name a level is a recommendation the school cannot action, however good the psychology behind it. This is the most concrete Ireland-specific skill in the intervention competency, and it is the one that determines whether your report changes anything.</t>
        </is>
      </c>
      <c r="P80" s="165" t="inlineStr">
        <is>
          <t>▸  The three levels, precisely
     Classroom Support: led by the class teacher, differentiation within ordinary teaching, documented in a Classroom Support Plan. School Support: additional targeted input from the SET, usually small group, with a Student Support File and review dates. School Support Plus: individualised, higher intensity, typically involving outside professionals, with a detailed plan and formal review. Know which documentation each level generates, because naming a level implies that paperwork.
▸  Naming the level and justifying it
     State the level and say what makes it that level. 'School Support Plus is recommended because the difficulty has persisted across two terms of School Support at [described intensity] without measurable change, and because input from occupational therapy is required.' A level named without justification gets downgraded by whoever allocates.
▸  Writing recommendations that actually happen
     The features that predict implementation: addressed to a named role rather than 'the school'; specific about frequency and duration; achievable with resources the school has or can get; sequenced, with a small number first; and with a review date. Five actionable recommendations beat fifteen aspirational ones. Ask yourself for each: who does this on Monday morning?
▸  Building in evaluation
     Every recommendation needs a way of knowing whether it worked. Add one line: 'review at the end of term 2 using [measure]'. This takes five minutes, satisfies CORU 3.8 and 5.37, and is the single most commonly omitted element in trainee reports.
▸  Writing for the actual reader
     The report is read by a parent, a class teacher, a SET and possibly a SENO. Write so each can find their part. Avoid unexplained test names and percentiles in the recommendations section — the findings section is where the technical detail lives. CORU 5.27 requires reports suitable for the intended audience, and PSI 1.2.8 requires communicating in language the recipient understands.</t>
        </is>
      </c>
      <c r="Q80" s="165" t="inlineStr">
        <is>
          <t>▸  NEPS Continuum of Support: Guidelines for Teachers, and the associated resource packs for primary and post-primary.
▸  NCSE guidance on the allocation of special education teaching resources.
▸  Department of Education circulars on the SET allocation model — check for the current circular rather than relying on an older one.
▸  Frederickson, N., &amp; Cline, T. (2009). Special educational needs, inclusion and diversity — on the relationship between assessment and provision.</t>
        </is>
      </c>
      <c r="R80" s="166" t="inlineStr">
        <is>
          <t>✗  Not naming a level.
✗  Naming a level without justifying why it is that one rather than the one below.
✗  Fifteen recommendations, so none are prioritised.
✗  Addressing recommendations to 'the school' rather than a role.
✗  No review point, so nothing is ever evaluated.</t>
        </is>
      </c>
      <c r="S80" s="154" t="inlineStr">
        <is>
          <t>▸  GRADE 3
     Your reports contain recommendations relevant to the findings.
▸  GRADE 4
     You name the Continuum level, justify it, address recommendations to roles, and specify frequency and duration.
▸  GRADE 5
     Recommendations are sequenced and small in number, each carries a review point and measure, and the section is written so a parent and a teacher can each act on it.</t>
        </is>
      </c>
      <c r="T80" s="165" t="inlineStr">
        <is>
          <t>▸  BLOCK 1 · Knowing the Continuum
     [5–6 hours, once  ·  Weeks 1–2  ·  Study]
     What classroom support, school support and school support plus each mean in practice.
     How you build it: Read the NEPS Continuum documents. Map one school onto them.
     ·  State the Continuum level for each recommendation
          you have it when: The level appears in the text
          [NEPS Continuum of Support]
     ·  Check the school can actually resource it
          you have it when: You asked before recommending
          [CORU SoP 5.35]
▸  BLOCK 2 · Writing them so they happen
     [20 minutes per case  ·  Weeks 7–12  ·  Practice]
     Specificity — who, what, how often, how long, measured how, reviewed when.
     How you build it: Ask your supervisor to strike out anything unresourceable. Fastest way to learn what is realistic.
     ·  Name who delivers
          you have it when: Responsibility assigned to a role
          [CORU SoP 5.34]
     ·  Name how often and for how long
          you have it when: Dosage specified
          [CORU SoP 5.34 · PSI Code 2.3.2]
     ·  Limit the number so they can be acted on
          you have it when: Five that happen beat fifteen that do not
          [CORU SoP 5.34]
▸  BLOCK 3 · Building in evaluation
     [5 minutes per report  ·  Weeks 7–12  ·  Habit]
     A measure, a measurer and a date on every substantial recommendation.
     How you build it: One sentence per recommendation. Non-negotiable.
     ·  State how progress will be measured
          you have it when: A measure and a measurer named
          [CORU SoP 3.8 · PSI Code 3.1.2]
     ·  Set a review date
          you have it when: There is a date
          [PSI Code 2.3.2]
     ·  Build at least one on a strength
          you have it when: Not only compensation for deficit
          [CORU SoP 1.3]</t>
        </is>
      </c>
      <c r="U80" s="165" t="inlineStr">
        <is>
          <t>No full chapter yet.</t>
        </is>
      </c>
      <c r="V80" s="165" t="inlineStr">
        <is>
          <t>▸  3.6 School attendance
     full entry under 15. Analyse risk and resilience
▸  5.6 School and access factors
     full entry under 24. Familiarise with SET provision and allocation</t>
        </is>
      </c>
      <c r="W80" s="165" t="inlineStr">
        <is>
          <t>NEPS Continuum of Support · Table 2 area 3 · Appendix 5 tagged Intervention with outcomes · Year 2 PBS case study</t>
        </is>
      </c>
      <c r="X80" s="165" t="inlineStr">
        <is>
          <t>Education Act 1998 — school duties · Equal Status Acts — reasonable accommodation</t>
        </is>
      </c>
      <c r="Y80" s="165" t="inlineStr">
        <is>
          <t>Year 1 — Recommendations get more specific as intervention knowledge grows.</t>
        </is>
      </c>
    </row>
    <row r="81" ht="408.75" customHeight="1" s="128">
      <c r="A81" s="158" t="inlineStr">
        <is>
          <t>SKILL</t>
        </is>
      </c>
      <c r="B81" s="159" t="inlineStr">
        <is>
          <t>3. Intervention</t>
        </is>
      </c>
      <c r="C81" s="160" t="inlineStr">
        <is>
          <t>▸  Structuring the session
▸  Translating
▸  Holding the room</t>
        </is>
      </c>
      <c r="D81" s="161" t="inlineStr">
        <is>
          <t>22. Observe and deliver parental feedback sessions</t>
        </is>
      </c>
      <c r="E81" s="158" t="inlineStr">
        <is>
          <t>Macro skill</t>
        </is>
      </c>
      <c r="F81" s="161" t="inlineStr">
        <is>
          <t>22. Observe and deliver parental feedback sessions</t>
        </is>
      </c>
      <c r="G81" s="162" t="inlineStr">
        <is>
          <t>Everything about this skill is on this row. Scroll right.</t>
        </is>
      </c>
      <c r="H81" s="158" t="n"/>
      <c r="I81" s="158" t="n"/>
      <c r="J81" s="158" t="n"/>
      <c r="K81" s="158">
        <f>COUNTIF(Log!$G$3:$G$402,"22. Observe and deliver parental feedback sessions")</f>
        <v/>
      </c>
      <c r="L81" s="163">
        <f>IF(COUNTIF(Log!$G$3:$G$402,"22. Observe and deliver parental feedback sessions")=0,"",SUMPRODUCT(MAX((Log!$G$3:$G$402="22. Observe and deliver parental feedback sessions")*Log!$A$3:$A$402)))</f>
        <v/>
      </c>
      <c r="M81" s="164" t="inlineStr">
        <is>
          <t>▸  CORU 2.1
     Be able to communicate diagnosis/assessment and/or treatment/management options in a way that can be understood by the service user
▸  CORU 2.14
     Understand the need to work in partnership with service users, their relatives/carers and other professionals in planning and evaluating goals, treatments and interventions, and be aware of the concepts of power and authority in relationships with service users
▸  CORU 5.27
     Be able to produce clear, concise, accessible and accurate reports — devised in collaboration with service users, as appropriate — that are suitable for the intended audience and context of their use, in order to communicate and justify professional opinions made</t>
        </is>
      </c>
      <c r="N81" s="164" t="inlineStr">
        <is>
          <t>▸  PSI 1.3.4
     Provide, in obtaining informed consent, as much information as a reasonable or prudent person, family, group or community would want to know before deciding — in language they understand, taking reasonable steps to ensure it is in fact understood.
▸  PSI 1.4.1
     Seek as full and active participation as possible from others in decisions which affect them.
▸  PSI 2.3.2
     Direct their interventions towards clear objectives, and do not persist after the objectives have been met or if it is apparent they cannot be met.
▸  PSI 2.3.3
     Terminate an activity when it is clear the activity is more harmful than beneficial, or when it is no longer needed.
▸  PSI 4.3.1
     Respect the right of clients and research participants to receive an appropriate explanation of the nature, purpose and results of investigations, assessments and research findings, in language they can understand.</t>
        </is>
      </c>
      <c r="O81" s="165" t="inlineStr">
        <is>
          <t>The feedback session is where the assessment becomes real for the family, and it is the part of the work most likely to go wrong in ways that cannot be repaired. A parent who leaves confused will not implement anything; a parent who leaves feeling judged will disengage from the school. It is also the moment where you find out whether your formulation survives contact with the person who knows the child best.</t>
        </is>
      </c>
      <c r="P81" s="165" t="inlineStr">
        <is>
          <t>▸  Structuring the session
     Open by checking what they already know and what they want from the session — this takes two minutes and reshapes everything after it. Give the headline finding early, plainly, before the detail; parents sit through explanation waiting for the verdict and hear none of it. Then the supporting detail. Then what it means practically. Then recommendations. Then questions, with real time left. Check understanding by asking them to say back what they will tell their partner.
▸  Translating scores into meaning
     Never lead with a percentile. 'Out of a hundred children her age, about ninety would read more accurately than she does at the moment' is a percentile made human. Or compare to demand: 'she can hold about three pieces of information at once, and the instructions she is given in class routinely contain five'. If you use a number, explain what it is a number of.
▸  Holding the room when it goes difficult
     Parents cry, get angry, disagree, or go silent. None of these require you to fix them. Pause. Acknowledge plainly — 'this is hard to hear'. Do not fill the silence with more findings. If a parent disagrees with a finding, that is information: ask what they see that is different. Sometimes they are right and you have missed something. If a parent becomes angry, it is usually about the system rather than about you; do not defend the system reflexively.
▸  Managing the school's presence
     Feedback sessions often include a teacher or SET. That changes the dynamic — parents may not say in front of the school what they would say alone, and the school may have a stake in a particular outcome. Decide deliberately who is in the room, and consider offering the parent a few minutes separately. CORU 2.14 asks you to be aware of power and authority in these relationships.
▸  Interpreters
     If an interpreter is needed, brief them before the session: no summarising, no editing, first person, and tell them the technical terms that will come up. Address the parent, not the interpreter. Allow roughly double the time. Say in the report that the session was conducted through an interpreter and what that means for interpretation. CORU 2.5 requires you to recognise when a professional translator is needed — you did this repeatedly at Boyle, and it is strong evidence.</t>
        </is>
      </c>
      <c r="Q81" s="165" t="inlineStr">
        <is>
          <t>▸  Frederickson, N., &amp; Cline, T. (2009). Special educational needs, inclusion and diversity — the chapters on working with families and on assessment in a second language.
▸  Buckley, J. A., &amp; Epstein, M. H. (2004). The Behavioral and Emotional Rating Scale-2: Providing a comprehensive approach to strength-based assessment. California School Psychologist, 9, 21–27. — on strength-based feedback.
▸  Tervalon, M., &amp; Murray-García, J. (1998). Cultural humility versus cultural competence. Journal of Health Care for the Poor and Underserved, 9(2), 117–125.
▸  HSE guidance on working with interpreters in health and social care settings.
▸  CORU Standards of Proficiency 2.1, 2.2, 2.5 and 5.27 — full text on this sheet, Part B.</t>
        </is>
      </c>
      <c r="R81" s="166" t="inlineStr">
        <is>
          <t>✗  Leading with scores.
✗  Delivering all the detail before the headline, so the parent hears none of it.
✗  Filling a silence after difficult news.
✗  Defending a finding a parent disputes instead of asking what they see.
✗  Addressing the interpreter rather than the parent.</t>
        </is>
      </c>
      <c r="S81" s="154" t="inlineStr">
        <is>
          <t>▸  GRADE 3
     You have observed and contributed to feedback sessions.
▸  GRADE 4
     You structure the session, translate scores into meaning, and check understanding.
▸  GRADE 5
     You hold the room when it goes difficult, manage the school's presence deliberately, and work effectively through an interpreter.</t>
        </is>
      </c>
      <c r="T81" s="165" t="inlineStr">
        <is>
          <t>▸  BLOCK 1 · Structuring the session
     [3 hours plus observation  ·  Weeks 3–6  ·  Practice]
     The order — opening, overall picture, detail, strengths, recommendations, next steps.
     How you build it: Observe two of your supervisor's. Write down their order. Use it.
     ·  Plan the first three sentences
          you have it when: You knew how you would open
          [CORU SoP 2.1]
     ·  Give the overall picture before the detail
          you have it when: You did not lead with scores
          [CORU SoP 5.27]
     ·  Agree next steps and who does what
          you have it when: Someone left with an action
          [CORU SoP 2.16]
▸  BLOCK 2 · Translating
     [Habit  ·  Weeks 7–12  ·  Habit]
     Saying it so a parent could repeat it accurately to someone else.
     How you build it: Rewrite three technical sentences in plain words before every feedback session.
     ·  Avoid jargon and check understanding repeatedly
          you have it when: You checked more than once
          [PSI Code 4.3.1]
     ·  Name strengths specifically rather than as preamble
          you have it when: It does not sound like a formula
          [CORU SoP 1.3]
▸  BLOCK 3 · Holding the room
     [3 hours, then practice  ·  Ongoing all year  ·  Practice]
     What to do with distress, disagreement, and questions you cannot answer.
     How you build it: Ask your supervisor for their three sentences for each. Have your own.
     ·  Ask what the parent hopes to hear before starting
          you have it when: You asked
          [CORU SoP 2.14 · PSI Code 1.4.1]
     ·  Deliver difficult information clearly
          you have it when: The parent left knowing
          [PSI Code 1.3.4]
     ·  Hold silence when someone is upset
          you have it when: You did not fill it
          [CORU SoP 2.2]
     ·  Answer the question actually asked
          you have it when: Not the easier adjacent one
          [CORU SoP 2.11]
     ·  Say what you do not know
          you have it when: Uncertainty admitted
          [PSI Code 4.1.3]</t>
        </is>
      </c>
      <c r="U81" s="165" t="inlineStr">
        <is>
          <t>No full chapter yet.</t>
        </is>
      </c>
      <c r="V81" s="165" t="inlineStr">
        <is>
          <t>—</t>
        </is>
      </c>
      <c r="W81" s="165" t="inlineStr">
        <is>
          <t>Table 2 area 3 · Appendix 5 tagged Intervention with outcomes · Year 2 PBS case study</t>
        </is>
      </c>
      <c r="X81" s="165" t="inlineStr">
        <is>
          <t>Education Act 1998 — school duties · Equal Status Acts — reasonable accommodation</t>
        </is>
      </c>
      <c r="Y81" s="165" t="inlineStr">
        <is>
          <t>Year 1 — You lead feedback sessions from Year 2.</t>
        </is>
      </c>
    </row>
    <row r="82" ht="408.75" customHeight="1" s="128">
      <c r="A82" s="158" t="inlineStr">
        <is>
          <t>SKILL</t>
        </is>
      </c>
      <c r="B82" s="159" t="inlineStr">
        <is>
          <t>3. Intervention</t>
        </is>
      </c>
      <c r="C82" s="160" t="inlineStr">
        <is>
          <t>▸  Learning one model
▸  Question technique
▸  Closing the loop</t>
        </is>
      </c>
      <c r="D82" s="161" t="inlineStr">
        <is>
          <t>23. Observe and then contribute to teacher consultation</t>
        </is>
      </c>
      <c r="E82" s="158" t="inlineStr">
        <is>
          <t>Macro skill</t>
        </is>
      </c>
      <c r="F82" s="161" t="inlineStr">
        <is>
          <t>23. Observe and then contribute to teacher consultation</t>
        </is>
      </c>
      <c r="G82" s="162" t="inlineStr">
        <is>
          <t>Everything about this skill is on this row. Scroll right.</t>
        </is>
      </c>
      <c r="H82" s="158" t="n"/>
      <c r="I82" s="158" t="n"/>
      <c r="J82" s="158" t="n"/>
      <c r="K82" s="158">
        <f>COUNTIF(Log!$G$3:$G$402,"23. Observe and then contribute to teacher consultation")</f>
        <v/>
      </c>
      <c r="L82" s="163">
        <f>IF(COUNTIF(Log!$G$3:$G$402,"23. Observe and then contribute to teacher consultation")=0,"",SUMPRODUCT(MAX((Log!$G$3:$G$402="23. Observe and then contribute to teacher consultation")*Log!$A$3:$A$402)))</f>
        <v/>
      </c>
      <c r="M82" s="164" t="inlineStr">
        <is>
          <t>▸  CORU 5.22
     Be able to critically analyse the factors that influence therapeutic and professional relationships, including power dynamics between the practitioner and service user
▸  CORU 5.38
     Know and apply a range of consultation approaches at individual, group and organisational levels
▸  CORU 5.40
     Work collaboratively with other professionals — including teachers, other school staff and multi-disciplinary teams — to build capacity among those responsible for the delivery of interventions</t>
        </is>
      </c>
      <c r="N82" s="164" t="inlineStr">
        <is>
          <t>▸  PSI 2.3.2
     Direct their interventions towards clear objectives, and do not persist after the objectives have been met or if it is apparent they cannot be met.
▸  PSI 2.3.3
     Terminate an activity when it is clear the activity is more harmful than beneficial, or when it is no longer needed.</t>
        </is>
      </c>
      <c r="O82" s="165" t="inlineStr">
        <is>
          <t>Consultation is how one psychologist reaches more children than they could ever assess, and it is the activity Irish educational psychologists spend most of their time on. It is also a distinct skill with its own models, not just a meeting. The BPS treats consultation as a competency in its own right; the Irish documents fold it into other competencies, which means it is easy to do a whole placement without ever learning a model.</t>
        </is>
      </c>
      <c r="P82" s="165" t="inlineStr">
        <is>
          <t>▸  Learning one model properly
     Pick one and use it repeatedly rather than sampling several. Problem-solving consultation follows a sequence: problem identification, problem analysis, plan design, implementation, evaluation — and the evidence says problem identification is where consultations succeed or fail. Solution-focused consultation starts from exceptions and preferred futures. Collaborative consultation positions you and the teacher as joint problem-solvers with different expertise, which is usually the right stance in a school.
▸  Problem identification, which is most of the work
     The presenting concern is rarely the workable problem. 'He's disruptive' becomes workable when it becomes 'he leaves his seat during independent written work, about four times in a thirty-minute period, mostly in the second half'. Getting from the first to the second is the consultation skill. It takes questions, not suggestions, and it usually takes longer than the teacher expects.
▸  Question technique
     Questions that open a consultation up: when does it not happen? what have you already tried and what happened? what would you see instead if this improved? what do you think is going on? The last one matters — teachers usually have a hypothesis and are rarely asked for it, and it is often right. Avoid 'have you tried', which reads as an implied criticism however it is meant.
▸  Staying out of the expert role
     The pull toward being the person with the answer is strong, especially when you are a trainee and want to be useful. Resist it. A solution you supply is a solution the teacher owns less, implements less faithfully and abandons sooner. Your expertise is in the process and in the psychology; theirs is in the child and the classroom. CORU 5.40 frames this as building capacity.
▸  Closing the loop
     Agree who does what by when, write it down, send it within twenty-four hours, and set a review date. Ten minutes. Consultations without a written record and a review date evaporate, and the teacher concludes that psychology is talk. Your review named record-keeping and write-up of consultations as a development area — this is the habit that addresses it.</t>
        </is>
      </c>
      <c r="Q82" s="165" t="inlineStr">
        <is>
          <t>▸  Wagner, P. (2000). Consultation: Developing a comprehensive approach to service delivery. Educational Psychology in Practice, 16(1), 9–18.
▸  Sheridan, S. M., &amp; Kratochwill, T. R. (2007). Conjoint behavioral consultation: Promoting family-school connections and interventions. Springer.
▸  Wagner, P. (2008). Consultation as a framework for practice. In Kelly, Woolfson &amp; Boyle (Eds.), Frameworks for practice in educational psychology. Jessica Kingsley.
▸  Gutkin, T. B., &amp; Curtis, M. J. (2009). School-based consultation: The science and practice of indirect service delivery. In Handbook of School Psychology (4th ed.). Wiley.
▸  BPS Standards for the Accreditation of Doctoral Programmes in Educational Psychology (2023) — the consultation competency, which the Irish standards do not separate out.</t>
        </is>
      </c>
      <c r="R82" s="166" t="inlineStr">
        <is>
          <t>✗  Accepting the presenting concern as the problem.
✗  Offering solutions before the problem is defined.
✗  Asking 'have you tried', which teachers hear as criticism.
✗  Never asking the teacher what they think is going on.
✗  No written record and no review date, so nothing follows.</t>
        </is>
      </c>
      <c r="S82" s="154" t="inlineStr">
        <is>
          <t>▸  GRADE 3
     You have observed consultations and contributed to them.
▸  GRADE 4
     You use a named model, you spend real time on problem identification, and you record actions and review dates.
▸  GRADE 5
     You stay out of the expert role, your questions demonstrably shift the teacher's framing, and you can evidence a consultation that changed classroom practice.</t>
        </is>
      </c>
      <c r="T82" s="165" t="inlineStr">
        <is>
          <t>▸  BLOCK 1 · Learning one model
     [4–5 hours plus practice  ·  Weeks 3–6  ·  Study]
     A structured consultation model with named stages you can follow.
     How you build it: Read one model properly. Follow it explicitly for five consultations.
     ·  Use a named consultation model
          you have it when: You can say which one
          [CORU SoP 5.38]
     ·  Contract at the start
          you have it when: Both parties know what this meeting is for
          [CORU SoP 5.38]
▸  BLOCK 2 · Question technique
     [Ongoing  ·  Weeks 7–12  ·  Practice]
     Asking so the other person generates the solution.
     How you build it: Ask your supervisor to count how many solutions you supplied.
     ·  Ask questions that open rather than close
          you have it when: The teacher generated the solution
          [CORU SoP 5.38 · 5.40]
     ·  Identify who holds the problem and who holds the power
          you have it when: You noticed the difference
          [CORU SoP 5.22]
▸  BLOCK 3 · Closing the loop
     [10 minutes per consultation  ·  Weeks 7–12  ·  Habit]
     Actions with names and dates, and checking what happened.
     How you build it: Diary the review date at the moment you agree it.
     ·  Agree actions with a review point
          you have it when: Specific and dated
          [CORU SoP 5.37]
     ·  Build capacity rather than doing it for them
          you have it when: They could do it again without you
          [CORU SoP 5.40]</t>
        </is>
      </c>
      <c r="U82" s="165" t="inlineStr">
        <is>
          <t>No full chapter yet.</t>
        </is>
      </c>
      <c r="V82" s="165" t="inlineStr">
        <is>
          <t>▸  2.1 Behaviour in class
     full entry under 1. Observation in classroom, playground and clinic
▸  3.6 School attendance
     full entry under 15. Analyse risk and resilience</t>
        </is>
      </c>
      <c r="W82" s="165" t="inlineStr">
        <is>
          <t>Table 2 area 3 · Appendix 5 tagged Intervention with outcomes · Year 2 PBS case study</t>
        </is>
      </c>
      <c r="X82" s="165" t="inlineStr">
        <is>
          <t>Education Act 1998 — school duties · Equal Status Acts — reasonable accommodation</t>
        </is>
      </c>
      <c r="Y82" s="165" t="inlineStr">
        <is>
          <t>Year 1 — You lead consultation from Year 2.</t>
        </is>
      </c>
    </row>
    <row r="83" ht="19.5" customHeight="1" s="128">
      <c r="A83" s="147" t="inlineStr">
        <is>
          <t>COMP</t>
        </is>
      </c>
      <c r="B83" s="147" t="inlineStr">
        <is>
          <t>4. Systemic Change</t>
        </is>
      </c>
      <c r="C83" s="147" t="n"/>
      <c r="D83" s="147" t="n"/>
      <c r="E83" s="147" t="inlineStr">
        <is>
          <t>6 macro skills · 2 referral areas</t>
        </is>
      </c>
      <c r="F83" s="147" t="n"/>
      <c r="G83" s="147" t="n"/>
      <c r="H83" s="147" t="n"/>
      <c r="I83" s="147" t="n"/>
      <c r="J83" s="147" t="n"/>
      <c r="K83" s="147" t="n"/>
      <c r="L83" s="147" t="n"/>
      <c r="M83" s="147" t="n"/>
      <c r="N83" s="147" t="n"/>
      <c r="O83" s="147" t="n"/>
      <c r="P83" s="147" t="n"/>
      <c r="Q83" s="147" t="n"/>
      <c r="R83" s="147" t="n"/>
      <c r="S83" s="147" t="n"/>
      <c r="T83" s="147" t="n"/>
      <c r="U83" s="147" t="n"/>
      <c r="V83" s="147" t="n"/>
      <c r="W83" s="147" t="n"/>
      <c r="X83" s="147" t="n"/>
      <c r="Y83" s="147" t="n"/>
      <c r="Z83" s="147" t="n"/>
      <c r="AA83" s="147" t="n"/>
      <c r="AB83" s="147" t="n"/>
      <c r="AC83" s="147" t="n"/>
      <c r="AD83" s="147" t="n"/>
      <c r="AE83" s="147" t="n"/>
      <c r="AF83" s="147" t="n"/>
      <c r="AG83" s="147" t="n"/>
      <c r="AH83" s="147" t="n"/>
      <c r="AI83" s="147" t="n"/>
      <c r="AJ83" s="147" t="n"/>
      <c r="AK83" s="147" t="n"/>
    </row>
    <row r="84" ht="169.5" customHeight="1" s="128">
      <c r="A84" s="148" t="n"/>
      <c r="B84" s="149" t="inlineStr">
        <is>
          <t>4. Systemic Change</t>
        </is>
      </c>
      <c r="C84" s="149" t="n"/>
      <c r="D84" s="148" t="n"/>
      <c r="E84" s="148" t="inlineStr">
        <is>
          <t>What CORU asks of this competency — verbatim</t>
        </is>
      </c>
      <c r="F84" s="133" t="inlineStr">
        <is>
          <t>13 standards across this competency</t>
        </is>
      </c>
      <c r="G84" s="133" t="n"/>
      <c r="H84" s="149" t="n"/>
      <c r="I84" s="149" t="n"/>
      <c r="J84" s="149" t="n"/>
      <c r="K84" s="148" t="n"/>
      <c r="L84" s="148" t="n"/>
      <c r="M84" s="150" t="inlineStr">
        <is>
          <t>▸  CORU 1.13
     Be aware of current data protection, freedom of information and other legislation relevant to the profession and be able to access new and emerging legislation</t>
        </is>
      </c>
      <c r="N84" s="150" t="inlineStr">
        <is>
          <t>▸  CORU 2.11
     Be able to express professional, informed and considered opinions to service users, health professionals and others in varied practice settings and contexts and within the limitations of confidentiality</t>
        </is>
      </c>
      <c r="O84" s="150" t="inlineStr">
        <is>
          <t>▸  CORU 2.16
     Understand the role and impact of effective interdisciplinary team working in meeting service user needs and be able to effectively contribute to decision-making within a team setting</t>
        </is>
      </c>
      <c r="P84" s="150" t="inlineStr">
        <is>
          <t>▸  CORU 4.5
     Understand the importance of and be able to seek professional development, supervision, feedback and peer review opportunities in order to continuously improve practice</t>
        </is>
      </c>
      <c r="Q84" s="150" t="inlineStr">
        <is>
          <t>▸  CORU 5.5
     Be able to identify and understand the impact of governmental, organisational, community and societal structures, systems and culture on health and social care provision</t>
        </is>
      </c>
      <c r="R84" s="150" t="inlineStr">
        <is>
          <t>▸  CORU 5.8
     Know the basic principles of effective teaching and learning, mentoring and supervision</t>
        </is>
      </c>
      <c r="S84" s="150" t="inlineStr">
        <is>
          <t>▸  CORU 5.13
     Know the structures and systems of school, community and social settings in which educational, health and social care services are provided for children, young people and adult learners</t>
        </is>
      </c>
      <c r="T84" s="150" t="inlineStr">
        <is>
          <t>▸  CORU 5.20
     Know and communicate the role of educational psychologists in providing evidence-based psychological services across educational, health and social care settings, focusing on supporting the psychological and educational development of children, young people and adult learners through assessment, diagnosis, formulation, intervention, prevention, advocacy, consultation, training and research</t>
        </is>
      </c>
      <c r="U84" s="150" t="inlineStr">
        <is>
          <t>▸  CORU 5.35
     Identify and evaluate the characteristics of school organisation and culture in order to contribute to school development that enhances the participation and wellbeing of all learners</t>
        </is>
      </c>
      <c r="V84" s="150" t="inlineStr">
        <is>
          <t>▸  CORU 5.38
     Know and apply a range of consultation approaches at individual, group and organisational levels</t>
        </is>
      </c>
      <c r="W84" s="150" t="inlineStr">
        <is>
          <t>▸  CORU 5.39
     Work as part of a multi-disciplinary team in order to actively contribute to the integrated delivery of interventions at individual and group levels</t>
        </is>
      </c>
      <c r="X84" s="150" t="inlineStr">
        <is>
          <t>▸  CORU 5.40
     Work collaboratively with other professionals — including teachers, other school staff and multi-disciplinary teams — to build capacity among those responsible for the delivery of interventions</t>
        </is>
      </c>
      <c r="Y84" s="150" t="inlineStr">
        <is>
          <t>▸  CORU 5.41
     Be able to critically analyse, appraise and evaluate psychological and other relevant contemporary research to inform evidence-based practice</t>
        </is>
      </c>
    </row>
    <row r="85" ht="169.5" customHeight="1" s="128">
      <c r="A85" s="148" t="n"/>
      <c r="B85" s="149" t="inlineStr">
        <is>
          <t>4. Systemic Change</t>
        </is>
      </c>
      <c r="C85" s="149" t="n"/>
      <c r="D85" s="148" t="n"/>
      <c r="E85" s="148" t="inlineStr">
        <is>
          <t>What the PSI Code asks of this competency — verbatim</t>
        </is>
      </c>
      <c r="F85" s="133" t="inlineStr">
        <is>
          <t>2 clauses across this competency</t>
        </is>
      </c>
      <c r="G85" s="133" t="n"/>
      <c r="H85" s="149" t="n"/>
      <c r="I85" s="149" t="n"/>
      <c r="J85" s="149" t="n"/>
      <c r="K85" s="148" t="n"/>
      <c r="L85" s="148" t="n"/>
      <c r="M85" s="150" t="inlineStr">
        <is>
          <t>▸  PSI 3.1.8
     Speak out if the policies, practices or regulations of the organisation within which they work seriously ignore or oppose any principle of this Code.</t>
        </is>
      </c>
      <c r="N85" s="150" t="inlineStr">
        <is>
          <t>▸  PSI 3.4.5
     Contribute where appropriate to the co-ordination of client services to avoid duplication or working at cross purposes — maintaining adequate records and communicating with other providers.</t>
        </is>
      </c>
    </row>
    <row r="86" ht="109.5" customHeight="1" s="128">
      <c r="A86" s="151" t="n"/>
      <c r="B86" s="152" t="inlineStr">
        <is>
          <t>4. Systemic Change</t>
        </is>
      </c>
      <c r="C86" s="152" t="n"/>
      <c r="D86" s="151" t="n"/>
      <c r="E86" s="151" t="inlineStr">
        <is>
          <t>Three-year arc</t>
        </is>
      </c>
      <c r="F86" s="153" t="inlineStr">
        <is>
          <t>What good looks like each year</t>
        </is>
      </c>
      <c r="G86" s="153" t="n"/>
      <c r="H86" s="152" t="n"/>
      <c r="I86" s="152" t="n"/>
      <c r="J86" s="152" t="n"/>
      <c r="K86" s="151" t="n"/>
      <c r="L86" s="151" t="n"/>
      <c r="M86" s="154" t="inlineStr">
        <is>
          <t>Year 1 — You learn how a school organises support and how a service is structured. Mostly observation and mapping.</t>
        </is>
      </c>
      <c r="N86" s="154" t="inlineStr">
        <is>
          <t>Year 2 — You work at class, school, team and family level and run group interventions and training.</t>
        </is>
      </c>
      <c r="O86" s="154" t="inlineStr">
        <is>
          <t>Year 3 — You influence and implement change, build collaborative relationships across organisations, and work systemically around mental health need.</t>
        </is>
      </c>
    </row>
    <row r="87" ht="30" customHeight="1" s="128">
      <c r="A87" s="155" t="n"/>
      <c r="B87" s="155" t="n"/>
      <c r="C87" s="155" t="n"/>
      <c r="D87" s="155" t="n"/>
      <c r="E87" s="155" t="n"/>
      <c r="F87" s="156" t="inlineStr">
        <is>
          <t>one skill = one row →</t>
        </is>
      </c>
      <c r="G87" s="155" t="n"/>
      <c r="H87" s="155" t="n"/>
      <c r="I87" s="155" t="n"/>
      <c r="J87" s="155" t="n"/>
      <c r="K87" s="155" t="n"/>
      <c r="L87" s="155" t="n"/>
      <c r="M87" s="157" t="inlineStr">
        <is>
          <t>1 · CORU — number and focus</t>
        </is>
      </c>
      <c r="N87" s="157" t="inlineStr">
        <is>
          <t>2 · PSI — number and focus</t>
        </is>
      </c>
      <c r="O87" s="157" t="inlineStr">
        <is>
          <t>3 · Why this matters</t>
        </is>
      </c>
      <c r="P87" s="157" t="inlineStr">
        <is>
          <t>4 · Teaching — how you build it</t>
        </is>
      </c>
      <c r="Q87" s="157" t="inlineStr">
        <is>
          <t>5 · What to read</t>
        </is>
      </c>
      <c r="R87" s="157" t="inlineStr">
        <is>
          <t>6 · Common errors that cost marks</t>
        </is>
      </c>
      <c r="S87" s="157" t="inlineStr">
        <is>
          <t>7 · Rubric — grade 3, 4, 5</t>
        </is>
      </c>
      <c r="T87" s="157" t="inlineStr">
        <is>
          <t>8 · Blocks and micro-skills with pass tests</t>
        </is>
      </c>
      <c r="U87" s="157" t="inlineStr">
        <is>
          <t>9 · Full chapter, where written</t>
        </is>
      </c>
      <c r="V87" s="157" t="inlineStr">
        <is>
          <t>10 · Referral areas this skill serves</t>
        </is>
      </c>
      <c r="W87" s="157" t="inlineStr">
        <is>
          <t>11 · Where the evidence goes</t>
        </is>
      </c>
      <c r="X87" s="157" t="inlineStr">
        <is>
          <t>12 · Law and policy</t>
        </is>
      </c>
      <c r="Y87" s="157" t="inlineStr">
        <is>
          <t>13 · Year and how it extends</t>
        </is>
      </c>
      <c r="Z87" s="157" t="inlineStr">
        <is>
          <t>14 · —</t>
        </is>
      </c>
      <c r="AA87" s="157" t="inlineStr">
        <is>
          <t>15 · —</t>
        </is>
      </c>
      <c r="AB87" s="157" t="inlineStr">
        <is>
          <t>16 · —</t>
        </is>
      </c>
      <c r="AC87" s="157" t="inlineStr">
        <is>
          <t>17 · —</t>
        </is>
      </c>
      <c r="AD87" s="157" t="inlineStr">
        <is>
          <t>18 · —</t>
        </is>
      </c>
      <c r="AE87" s="157" t="inlineStr">
        <is>
          <t>19 · —</t>
        </is>
      </c>
      <c r="AF87" s="157" t="inlineStr">
        <is>
          <t>20 · —</t>
        </is>
      </c>
    </row>
    <row r="88" ht="408.75" customHeight="1" s="128">
      <c r="A88" s="158" t="inlineStr">
        <is>
          <t>SKILL</t>
        </is>
      </c>
      <c r="B88" s="159" t="inlineStr">
        <is>
          <t>4. Systemic Change</t>
        </is>
      </c>
      <c r="C88" s="160" t="inlineStr">
        <is>
          <t>▸  The allocation model
▸  Deployment in practice
▸  The wider structures</t>
        </is>
      </c>
      <c r="D88" s="161" t="inlineStr">
        <is>
          <t>24. Familiarise with SET provision and allocation</t>
        </is>
      </c>
      <c r="E88" s="158" t="inlineStr">
        <is>
          <t>Macro skill</t>
        </is>
      </c>
      <c r="F88" s="161" t="inlineStr">
        <is>
          <t>24. Familiarise with SET provision and allocation</t>
        </is>
      </c>
      <c r="G88" s="162" t="inlineStr">
        <is>
          <t>Everything about this skill is on this row. Scroll right.</t>
        </is>
      </c>
      <c r="H88" s="158" t="n"/>
      <c r="I88" s="158" t="n"/>
      <c r="J88" s="158" t="n"/>
      <c r="K88" s="158">
        <f>COUNTIF(Log!$G$3:$G$402,"24. Familiarise with SET provision and allocation")</f>
        <v/>
      </c>
      <c r="L88" s="163">
        <f>IF(COUNTIF(Log!$G$3:$G$402,"24. Familiarise with SET provision and allocation")=0,"",SUMPRODUCT(MAX((Log!$G$3:$G$402="24. Familiarise with SET provision and allocation")*Log!$A$3:$A$402)))</f>
        <v/>
      </c>
      <c r="M88" s="164" t="inlineStr">
        <is>
          <t>▸  CORU 1.13
     Be aware of current data protection, freedom of information and other legislation relevant to the profession and be able to access new and emerging legislation
▸  CORU 5.5
     Be able to identify and understand the impact of governmental, organisational, community and societal structures, systems and culture on health and social care provision
▸  CORU 5.13
     Know the structures and systems of school, community and social settings in which educational, health and social care services are provided for children, young people and adult learners</t>
        </is>
      </c>
      <c r="N88" s="164" t="inlineStr">
        <is>
          <t>▸  PSI 3.1.8
     Speak out if the policies, practices or regulations of the organisation within which they work seriously ignore or oppose any principle of this Code.
▸  PSI 3.4.5
     Contribute where appropriate to the co-ordination of client services to avoid duplication or working at cross purposes — maintaining adequate records and communicating with other providers.</t>
        </is>
      </c>
      <c r="O88" s="165" t="inlineStr">
        <is>
          <t>You cannot recommend into a system you do not understand. If you do not know how special education teaching hours are allocated, your recommendations will ask for things the school cannot give and will not ask for things it could. Schools read that as a psychologist who does not know how schools work, and it costs you credibility you then spend the rest of the placement earning back.</t>
        </is>
      </c>
      <c r="P88" s="165" t="inlineStr">
        <is>
          <t>▸  The allocation model
     SET hours are allocated to schools as a block under a profiled model, not per child and not per diagnosis. The school decides internally how to deploy them. This has two consequences that matter for every report you write: a diagnosis does not generate hours, and recommending 'additional SET time' asks the school to take it from another child. Say what the hours should be used for, not that there should be more.
▸  Who decides what
     The principal and the SET team deploy the allocation, usually through a support plan review. The SENCO or SET coordinator holds the overview. The SENO handles applications for SNA access and for special class or special school placement — a different process from SET hours, and one trainees routinely conflate.
▸  SNA access is about care, not teaching
     SNA support is allocated for significant care needs, not for learning support. Recommending an SNA for a child with a reading difficulty is a category error and will be refused. If you mean adult proximity for safety, say that and say why.
▸  Reading the school's own documents
     Ask to see the Student Support File and the school's SEN policy. The gap between what the file records and what you observe in the room is one of the most useful findings available to you, and it is invisible unless you ask.
▸  Keeping current
     Circulars change. Check the current Department circular rather than relying on what you were told last year, and check before you cite anything in a report. CORU 1.13 requires you to be aware of current legislation and to access new and emerging legislation.</t>
        </is>
      </c>
      <c r="Q88" s="165" t="inlineStr">
        <is>
          <t>▸  NCSE — guidance on the special education teaching allocation model.
▸  Department of Education circulars — check for the current SET allocation circular.
▸  NEPS Continuum of Support: Guidelines for Teachers.
▸  Education for Persons with Special Educational Needs (EPSEN) Act 2004.</t>
        </is>
      </c>
      <c r="R88" s="166" t="inlineStr">
        <is>
          <t>✗  Recommending 'more SET hours', which asks the school to take them from another child.
✗  Confusing SNA allocation with teaching support.
✗  Assuming a diagnosis generates resource.
✗  Citing an out-of-date circular.
✗  Never asking to see the Student Support File.</t>
        </is>
      </c>
      <c r="S88" s="154" t="inlineStr">
        <is>
          <t>▸  GRADE 3
     You know that SET hours are allocated to schools rather than to children.
▸  GRADE 4
     You can explain the allocation model, the roles of SENCO, principal and SENO, and the SNA criteria.
▸  GRADE 5
     Your recommendations are written to fit the allocation model, and you use the gap between documented and observed support as a finding.</t>
        </is>
      </c>
      <c r="T88" s="165" t="inlineStr">
        <is>
          <t>▸  BLOCK 1 · The allocation model
     [4 hours, once  ·  Weeks 1–2  ·  Study]
     How SET hours are allocated to schools and what determines the figure.
     How you build it: Read the current SET allocation circular. Name the circular number.
     ·  Understand how SET hours are allocated
          you have it when: You can explain the model to a parent
          [CORU SoP 5.13]
     ·  Cite the specific circular rather than 'guidance'
          you have it when: You name the circular number
          [CORU SoP 1.13]
▸  BLOCK 2 · Deployment in practice
     [3 hours  ·  Weeks 3–6  ·  Practice]
     How a school actually uses what it is given, which is a different question.
     How you build it: Ask two SET coordinators how they deploy. Compare.
     ·  Know how the school deploys what it has
          you have it when: Allocation and deployment are different things
          [CORU SoP 5.14]
▸  BLOCK 3 · The wider structures
     [2–3 hours, once  ·  Weeks 1–2  ·  Study]
     The SENO role, the NCSE, and what each can and cannot do.
     How you build it: One page on who does what. Know who to contact for what.
     ·  Know the SENO route and what the NCSE can do
          you have it when: You know who to contact and for what
          [CORU SoP 5.5]</t>
        </is>
      </c>
      <c r="U88" s="165" t="inlineStr">
        <is>
          <t>No full chapter yet.</t>
        </is>
      </c>
      <c r="V88" s="165" t="inlineStr">
        <is>
          <t>▸  5.6 School and access factors
     FULL ENTRY HERE</t>
        </is>
      </c>
      <c r="W88" s="165" t="inlineStr">
        <is>
          <t>Table 2 area 4 · Table 3 category 7 · EDUC42700 Organisation of Supports and presentation</t>
        </is>
      </c>
      <c r="X88" s="165" t="inlineStr">
        <is>
          <t>Education Act 1998 · EPSEN Act 2004 · Education (Admission to Schools) Act 2018</t>
        </is>
      </c>
      <c r="Y88" s="165" t="inlineStr">
        <is>
          <t>Year 1 — Year 1 school placement content, not revisited directly.</t>
        </is>
      </c>
    </row>
    <row r="89" ht="408.75" customHeight="1" s="128">
      <c r="A89" s="167" t="inlineStr">
        <is>
          <t>AREA</t>
        </is>
      </c>
      <c r="B89" s="167" t="inlineStr">
        <is>
          <t>4. Systemic Change</t>
        </is>
      </c>
      <c r="C89" s="167" t="n"/>
      <c r="D89" s="167" t="inlineStr">
        <is>
          <t>24. Familiarise with SET provision and allocation</t>
        </is>
      </c>
      <c r="E89" s="167" t="inlineStr">
        <is>
          <t>Referral area</t>
        </is>
      </c>
      <c r="F89" s="168" t="inlineStr">
        <is>
          <t>5.6 School and access factors</t>
        </is>
      </c>
      <c r="G89" s="167" t="inlineStr">
        <is>
          <t>ADDED — implied by the form</t>
        </is>
      </c>
      <c r="H89" s="167" t="n"/>
      <c r="I89" s="167" t="n"/>
      <c r="J89" s="167" t="n"/>
      <c r="K89" s="167">
        <f>COUNTIF(Log!$E$3:$E$402,"5.6 School and access factors")</f>
        <v/>
      </c>
      <c r="L89" s="169">
        <f>IF(COUNTIF(Log!$E$3:$E$402,"5.6 School and access factors")=0,"",SUMPRODUCT(MAX((Log!$E$3:$E$402="5.6 School and access factors")*Log!$A$3:$A$402)))</f>
        <v/>
      </c>
      <c r="M89" s="165" t="inlineStr">
        <is>
          <t>No diagnoses. Everything here is a presentation.</t>
        </is>
      </c>
      <c r="N89" s="170" t="inlineStr">
        <is>
          <t>PRESENTATIONS WITH NO DIAGNOSIS
▸  Classroom environment
     Context, not a diagnosis
▸  Teaching match
     Context, not a diagnosis
▸  Curriculum demands
     Context, not a diagnosis
▸  Behaviour system fit
     Context, not a diagnosis
▸  Attendance and transitions
     Context, not a diagnosis
▸  Transition planning (early years to primary, primary to post-primary, school leaver)
     Not a diagnosis
▸  Assistive technology
     Not a diagnosis
▸  Reasonable Accommodations in State Examinations (RACE)
     Not a diagnosis
▸  SNA and resource teaching allocation
     Not a diagnosis
▸  Home learning environment
     Context, not a diagnosis
▸  Community context
     Context, not a diagnosis
▸  Continuum of Support level and whether it was actually implemented
     Added
▸  Whole-school policy and practice
     Added — your systemic change development area
▸  Staff training need identified through casework
     Added</t>
        </is>
      </c>
      <c r="O89" s="165" t="inlineStr">
        <is>
          <t>REFER TO
▸  NEPS
▸  Educational Welfare (Tusla)
▸  SENO
▸  State Examinations Commission
▸  NCSE
▸  Primary Care
▸  community services</t>
        </is>
      </c>
      <c r="P89" s="165" t="inlineStr">
        <is>
          <t>—</t>
        </is>
      </c>
      <c r="Q89" s="165" t="inlineStr">
        <is>
          <t>▸  Early Years / Pre-School (0–5)
     Preschool room organisation · AIM supports · staff:child ratio.</t>
        </is>
      </c>
      <c r="R89" s="165" t="inlineStr">
        <is>
          <t>▸  School Age (6–12)
     Classroom observation with the environment as the unit of analysis, not the child · Continuum of Support documentation · Student Support File · teaching approach.</t>
        </is>
      </c>
      <c r="S89" s="165" t="inlineStr">
        <is>
          <t>▸  Adolescent (13–16)
     Subject-by-subject variation · streaming and subject choice · RACE · post-school transition.</t>
        </is>
      </c>
      <c r="T89" s="165" t="inlineStr">
        <is>
          <t>▸  Young Adult (17–26)
     Course design and accommodation · workplace adjustment.</t>
        </is>
      </c>
      <c r="U89" s="165" t="inlineStr">
        <is>
          <t>▸  Special Setting (class or school)
     This is the band. Setting organisation, staffing, curriculum and integration are the assessment.</t>
        </is>
      </c>
      <c r="AG89" s="171" t="inlineStr">
        <is>
          <t>Environmental Factors — Family, School, Community
· Family dynamics (including CEC, adopted and CYP with SGOs)
· Siblings, extended family, links and relationship to school and education
· Family stressors
· Financial stress
· Housing
· Home learning environment
· Parental attitude to school/education
· Trauma/significant life events
· Adverse childhood events
· Family views
· Bereavements/relational losses
· Key adults / members of staff (significant relationships both positive and negative in and out of school) and level of school commitment to child
· Travel distance to school
· School attendance
· Child's views/preferences
· School-parent relationship
· Peer group dynamics
· School learning environment
· Access to interventions and support
· Curriculum/exam boards
· Teacher expectations
· Teacher/staff understanding/knowledge
· Attainment-based grouping
· Influences in school and the local community
· Other agency involvement — Police, YOT, CAMHS, Speech and Language Service, Fair Access, SENAT, Virtual School, SGO Advisor, Intensive Planning Team, Prevent, CSE, Early Years, School Nurse, Portage, Early Help, Social and Caring Services Health Services</t>
        </is>
      </c>
      <c r="AH89" s="171" t="inlineStr">
        <is>
          <t>Within-Child — Biological Factors
· Family history including early development, physical development, medical conditions and diagnoses/difficulties
· General health
· Medication
· Dietary needs
· Sensory needs
· Addictions e.g. smoking, drink, drugs</t>
        </is>
      </c>
      <c r="AI89" s="171" t="inlineStr">
        <is>
          <t>Within-Child — Cognitive Factors
ASSESSABLE
· Memory
· Language
· Executive functioning: including emotional and behavioural regulation/development
· Attention and concentration
· Visual spatial ability
· Phonological processing
· Processing speed
· Non-verbal reasoning
· Verbal ability (e.g. word problems, verbal presentation)
· Logical reasoning ability
· Literacy skills
· Attainment
OBSERVATION AND CONSULTATION
· Signs of developmental trauma impacting on ability to participate in learning
· Ability to problem-solve
· Flexibility of thought and action
· Self-awareness</t>
        </is>
      </c>
      <c r="AJ89" s="171" t="inlineStr">
        <is>
          <t>Within-Child — Affective Factors
· Experience of developmental trauma
· Confidence
· Self-esteem
· Emotional understanding and expression
· Sense of enablement
· Sense of self
· Sense of belonging
· Motivation (intrinsic or extrinsic)
· Resiliency
· Mood
· Anxiety
· Aspirations
· Perseverance / determination
· Sense of humour
· Self-control
· Social skills
· Empathy</t>
        </is>
      </c>
      <c r="AK89" s="171" t="inlineStr">
        <is>
          <t>Within-Child — Behavioural Factors
· Ability to develop and maintain friendships and relationships
· Positive achievements
· Care/concern for others, volunteering, helping
· Dangerous or risk-taking behaviour
· Verbal / physical abuse
· Self-harm
· Bullying
· Truancy</t>
        </is>
      </c>
    </row>
    <row r="90" ht="408.75" customHeight="1" s="128">
      <c r="A90" s="158" t="inlineStr">
        <is>
          <t>SKILL</t>
        </is>
      </c>
      <c r="B90" s="159" t="inlineStr">
        <is>
          <t>4. Systemic Change</t>
        </is>
      </c>
      <c r="C90" s="160" t="inlineStr">
        <is>
          <t>▸  Mapping accurately
▸  Finding the gap
▸  Giving it back</t>
        </is>
      </c>
      <c r="D90" s="161" t="inlineStr">
        <is>
          <t>25. Map the school's organisation of supports</t>
        </is>
      </c>
      <c r="E90" s="158" t="inlineStr">
        <is>
          <t>Macro skill</t>
        </is>
      </c>
      <c r="F90" s="161" t="inlineStr">
        <is>
          <t>25. Map the school's organisation of supports</t>
        </is>
      </c>
      <c r="G90" s="162" t="inlineStr">
        <is>
          <t>Everything about this skill is on this row. Scroll right.</t>
        </is>
      </c>
      <c r="H90" s="158" t="n"/>
      <c r="I90" s="158" t="n"/>
      <c r="J90" s="158" t="n"/>
      <c r="K90" s="158">
        <f>COUNTIF(Log!$G$3:$G$402,"25. Map the school's organisation of supports")</f>
        <v/>
      </c>
      <c r="L90" s="163">
        <f>IF(COUNTIF(Log!$G$3:$G$402,"25. Map the school's organisation of supports")=0,"",SUMPRODUCT(MAX((Log!$G$3:$G$402="25. Map the school's organisation of supports")*Log!$A$3:$A$402)))</f>
        <v/>
      </c>
      <c r="M90" s="164" t="inlineStr">
        <is>
          <t>▸  CORU 5.13
     Know the structures and systems of school, community and social settings in which educational, health and social care services are provided for children, young people and adult learners
▸  CORU 5.35
     Identify and evaluate the characteristics of school organisation and culture in order to contribute to school development that enhances the participation and wellbeing of all learners
▸  CORU 5.40
     Work collaboratively with other professionals — including teachers, other school staff and multi-disciplinary teams — to build capacity among those responsible for the delivery of interventions</t>
        </is>
      </c>
      <c r="N90" s="164" t="inlineStr">
        <is>
          <t>▸  PSI 3.1.8
     Speak out if the policies, practices or regulations of the organisation within which they work seriously ignore or oppose any principle of this Code.
▸  PSI 3.4.5
     Contribute where appropriate to the co-ordination of client services to avoid duplication or working at cross purposes — maintaining adequate records and communicating with other providers.</t>
        </is>
      </c>
      <c r="O90" s="165" t="inlineStr">
        <is>
          <t>Two schools with identical allocations produce completely different outcomes, and the difference is organisation. Mapping it tells you whether the child's difficulty is a child difficulty or a delivery difficulty — and if it is the latter, an individual intervention will not fix it. This is the clearest example of working at a level above the child, which your review named as a gap.</t>
        </is>
      </c>
      <c r="P90" s="165" t="inlineStr">
        <is>
          <t>▸  What to map
     Who is on the SEN team and who leads it. How children are identified and by whom. Withdrawal versus in-class support and the ratio between them. Group sizes. How plans are written, reviewed and by whom. How information moves from SET to class teacher and back. What happens at transition points within the school.
▸  How to gather it without it becoming an inspection
     Ask as curiosity, not audit. 'How does it usually work when a teacher is worried about someone?' gets you the real process; 'what is your identification procedure?' gets you the policy. You want the real one.
▸  Reading the pattern
     If every child is withdrawn in groups of six for the same programme regardless of need, the organisation is doing the deciding, not the assessment. If plans are written by the SET and never seen by the class teacher, nothing will generalise. These are findings, and they belong in the report — carefully worded, but there.
▸  Feeding it back without blame
     Describe rather than judge: 'support is currently organised by year group rather than by need, which means [named child] is working on material above his current level.' Offer one change, not five. Schools implement one.
▸  Recording it as systemic work
     Log it as systemic change, not as casework. Trainees do this work and then file it under assessment, which is how Systemic Change ends up thinly evidenced.</t>
        </is>
      </c>
      <c r="Q90" s="165" t="inlineStr">
        <is>
          <t>▸  Frederickson, N., &amp; Cline, T. (2009). Special educational needs, inclusion and diversity — the chapters on whole-school approaches.
▸  Fullan, M. (2016). The new meaning of educational change (5th ed.). Teachers College Press.
▸  Wagner, P. (2000). Consultation: Developing a comprehensive approach to service delivery. Educational Psychology in Practice, 16(1).
▸  Department of Education — Looking at Our School: A Quality Framework.</t>
        </is>
      </c>
      <c r="R90" s="166" t="inlineStr">
        <is>
          <t>✗  Asking for the policy and believing it describes the practice.
✗  Mapping and never using it in the formulation.
✗  Feeding back five changes.
✗  Wording it as criticism of named staff.
✗  Logging it as casework.</t>
        </is>
      </c>
      <c r="S90" s="154" t="inlineStr">
        <is>
          <t>▸  GRADE 3
     You can describe how the school organises support.
▸  GRADE 4
     You gathered it systematically, and the map informs your formulation.
▸  GRADE 5
     You identified a delivery-level factor, fed it back in a way the school could act on, and logged it as systemic work.</t>
        </is>
      </c>
      <c r="T90" s="165" t="inlineStr">
        <is>
          <t>▸  BLOCK 1 · Mapping accurately
     [6–8 hours for the first  ·  Weeks 3–6  ·  Practice]
     Recording what actually exists at each Continuum level in this school.
     How you build it: Do one school thoroughly. The first takes six hours; later ones take two.
     ·  Map each Continuum level against provision
          you have it when: The map is complete and accurate
          [NEPS Continuum of Support]
▸  BLOCK 2 · Finding the gap
     [2 hours per school  ·  Weeks 7–12  ·  Practice]
     Identifying where the continuum breaks down in this school.
     How you build it: Compare the map against what the Continuum expects. The difference is the gap.
     ·  Identify a gap in the continuum
          you have it when: You named one
          [CORU SoP 5.35]
     ·  Say what would close the gap
          you have it when: You proposed something the school could do
          [CORU SoP 5.35]
▸  BLOCK 3 · Giving it back
     [2 hours  ·  Weeks 7–12  ·  Practice]
     Presenting the map to the school so it is used rather than submitted.
     How you build it: Offer a twenty-minute slot at a staff meeting.
     ·  Present the map back to the school
          you have it when: It was used, not just submitted
          [CORU SoP 5.40]</t>
        </is>
      </c>
      <c r="U90" s="165" t="inlineStr">
        <is>
          <t>No full chapter yet.</t>
        </is>
      </c>
      <c r="V90" s="165" t="inlineStr">
        <is>
          <t>▸  5.6 School and access factors
     full entry under 24. Familiarise with SET provision and allocation</t>
        </is>
      </c>
      <c r="W90" s="165" t="inlineStr">
        <is>
          <t>NEPS Continuum of Support · Table 2 area 4 · Table 3 category 7 · EDUC42700 Organisation of Supports and presentation</t>
        </is>
      </c>
      <c r="X90" s="165" t="inlineStr">
        <is>
          <t>Education Act 1998 · EPSEN Act 2004 · Education (Admission to Schools) Act 2018</t>
        </is>
      </c>
      <c r="Y90" s="165" t="inlineStr">
        <is>
          <t>Year 1 — Becomes whole-school analysis in Year 2.</t>
        </is>
      </c>
    </row>
    <row r="91" ht="408.75" customHeight="1" s="128">
      <c r="A91" s="158" t="inlineStr">
        <is>
          <t>SKILL</t>
        </is>
      </c>
      <c r="B91" s="159" t="inlineStr">
        <is>
          <t>4. Systemic Change</t>
        </is>
      </c>
      <c r="C91" s="160" t="inlineStr">
        <is>
          <t>▸  Arranging them
▸  Knowing what to look at
▸  Recording it as evidence</t>
        </is>
      </c>
      <c r="D91" s="161" t="inlineStr">
        <is>
          <t>26. Visit a range of special education settings</t>
        </is>
      </c>
      <c r="E91" s="158" t="inlineStr">
        <is>
          <t>Macro skill</t>
        </is>
      </c>
      <c r="F91" s="161" t="inlineStr">
        <is>
          <t>26. Visit a range of special education settings</t>
        </is>
      </c>
      <c r="G91" s="162" t="inlineStr">
        <is>
          <t>Everything about this skill is on this row. Scroll right.</t>
        </is>
      </c>
      <c r="H91" s="158" t="n"/>
      <c r="I91" s="158" t="n"/>
      <c r="J91" s="158" t="n"/>
      <c r="K91" s="158">
        <f>COUNTIF(Log!$G$3:$G$402,"26. Visit a range of special education settings")</f>
        <v/>
      </c>
      <c r="L91" s="163">
        <f>IF(COUNTIF(Log!$G$3:$G$402,"26. Visit a range of special education settings")=0,"",SUMPRODUCT(MAX((Log!$G$3:$G$402="26. Visit a range of special education settings")*Log!$A$3:$A$402)))</f>
        <v/>
      </c>
      <c r="M91" s="164" t="inlineStr">
        <is>
          <t>▸  CORU 5.13
     Know the structures and systems of school, community and social settings in which educational, health and social care services are provided for children, young people and adult learners
▸  CORU 5.39
     Work as part of a multi-disciplinary team in order to actively contribute to the integrated delivery of interventions at individual and group levels</t>
        </is>
      </c>
      <c r="N91" s="164" t="inlineStr">
        <is>
          <t>▸  PSI 3.1.8
     Speak out if the policies, practices or regulations of the organisation within which they work seriously ignore or oppose any principle of this Code.
▸  PSI 3.4.5
     Contribute where appropriate to the co-ordination of client services to avoid duplication or working at cross purposes — maintaining adequate records and communicating with other providers.</t>
        </is>
      </c>
      <c r="O91" s="165" t="inlineStr">
        <is>
          <t>You will be asked whether a child needs a special class or a special school, and you cannot answer that honestly if you have never been in one. PSI 3.3.6 requires that experience in educational settings includes special education — it is a requirement, not enrichment, and you currently do not meet it.</t>
        </is>
      </c>
      <c r="P91" s="165" t="inlineStr">
        <is>
          <t>▸  What counts
     A special class attached to a mainstream school, a special school, an early intervention class, and where possible a post-primary special class. These are different environments with different populations; one visit does not cover the category.
▸  What to look at
     Staffing ratios and how adults are deployed. The curriculum actually in use — L1LP, L2LP, or an adapted mainstream curriculum. Communication systems in use and whether they are used consistently by everyone. Sensory environment. What integration with mainstream looks like in practice rather than on paper. Where pupils go afterwards.
▸  The question you are really answering
     Placement questions are about fit between a child's needs and what a setting can provide, not about severity. A child may need a special class for communication support and mainstream for maths. Seeing settings lets you write about fit rather than about category.
▸  Checking your own assumptions
     Most trainees arrive with a view about special provision, usually absorbed rather than examined. Notice yours. CORU 5.44 asks you to reflect on how your own values shape your practice, and placement questions are where those values have real consequences.
▸  Arranging it
     It will not happen unless you ask in week one and get a date. Put it in the Appendix 1. Ask your supervisor which settings the service works with most, and go to those.</t>
        </is>
      </c>
      <c r="Q91" s="165" t="inlineStr">
        <is>
          <t>▸  PSI Accreditation Standards (2022), 3.3.6 — the settings requirement.
▸  NCSE — policy advice on special schools and classes.
▸  NCCA — Level 1 and Level 2 Learning Programmes.
▸  Frederickson, N., &amp; Cline, T. (2009) — the chapters on inclusion and placement.</t>
        </is>
      </c>
      <c r="R91" s="166" t="inlineStr">
        <is>
          <t>✗  Treating one visit as covering special education.
✗  Observing the children and not the system.
✗  Writing placement recommendations without having seen the setting.
✗  Not examining your own assumptions about special provision.
✗  Leaving it unrequested until it is too late.</t>
        </is>
      </c>
      <c r="S91" s="154" t="inlineStr">
        <is>
          <t>▸  GRADE 3
     You have visited at least one special education setting.
▸  GRADE 4
     You visited a range, observed curriculum, staffing and communication systems, and can describe how they differ.
▸  GRADE 5
     You can write a placement recommendation framed as fit between need and provision, and you can name your own assumptions and how you checked them.</t>
        </is>
      </c>
      <c r="T91" s="165" t="inlineStr">
        <is>
          <t>▸  BLOCK 1 · Arranging them
     [2 hours, once  ·  Weeks 1–2  ·  Habit]
     Knowing which settings exist locally and getting access early.
     How you build it: List every special setting on your patch in week two. Request visits immediately.
     ·  Arrange visits early in the placement
          you have it when: Booked in the first weeks
          [Handbook Table 3]
▸  BLOCK 2 · Knowing what to look at
     [2 hours to build the schedule  ·  Weeks 3–6  ·  Study]
     Structure, staffing ratios, communication supports, sensory environment, therapy integration.
     How you build it: Take the same observation schedule to every setting so you can compare.
     ·  Observe structure, staffing and communication supports
          you have it when: You can describe how the setting works
          [CORU SoP 5.13]
     ·  Talk to therapy and SNA staff, not only teachers
          you have it when: You spoke to the people delivering
          [CORU SoP 5.39]
▸  BLOCK 3 · Recording it as evidence
     [10 minutes per visit  ·  Weeks 3–6  ·  Habit]
     Logging each visit separately so it counts for Table 3.
     How you build it: One Appendix 5 entry per setting, tagged with age band 5.
     ·  Log each visit separately in Appendix 5
          you have it when: Each setting is its own entry
          [Handbook Appendix 5]</t>
        </is>
      </c>
      <c r="U91" s="165" t="inlineStr">
        <is>
          <t>No full chapter yet.</t>
        </is>
      </c>
      <c r="V91" s="165" t="inlineStr">
        <is>
          <t>▸  5.4 Concerns about early development
     full entry under 2. Structured interviewing of parents for developmental history
▸  5.6 School and access factors
     full entry under 24. Familiarise with SET provision and allocation</t>
        </is>
      </c>
      <c r="W91" s="165" t="inlineStr">
        <is>
          <t>Appendix 5 · Table 2 area 4 · Table 3 category 7 · EDUC42700 Organisation of Supports and presentation · Table 3</t>
        </is>
      </c>
      <c r="X91" s="165" t="inlineStr">
        <is>
          <t>Education Act 1998 · EPSEN Act 2004 · Education (Admission to Schools) Act 2018</t>
        </is>
      </c>
      <c r="Y91" s="165" t="inlineStr">
        <is>
          <t>Year 1 — Year 1 special setting visits.</t>
        </is>
      </c>
    </row>
    <row r="92" ht="408.75" customHeight="1" s="128">
      <c r="A92" s="158" t="inlineStr">
        <is>
          <t>SKILL</t>
        </is>
      </c>
      <c r="B92" s="159" t="inlineStr">
        <is>
          <t>4. Systemic Change</t>
        </is>
      </c>
      <c r="C92" s="160" t="inlineStr">
        <is>
          <t>▸  Understanding the service
▸  Contributing</t>
        </is>
      </c>
      <c r="D92" s="161" t="inlineStr">
        <is>
          <t>27. Attend service team meetings</t>
        </is>
      </c>
      <c r="E92" s="158" t="inlineStr">
        <is>
          <t>Macro skill</t>
        </is>
      </c>
      <c r="F92" s="161" t="inlineStr">
        <is>
          <t>27. Attend service team meetings</t>
        </is>
      </c>
      <c r="G92" s="162" t="inlineStr">
        <is>
          <t>Everything about this skill is on this row. Scroll right.</t>
        </is>
      </c>
      <c r="H92" s="158" t="n"/>
      <c r="I92" s="158" t="n"/>
      <c r="J92" s="158" t="n"/>
      <c r="K92" s="158">
        <f>COUNTIF(Log!$G$3:$G$402,"27. Attend service team meetings")</f>
        <v/>
      </c>
      <c r="L92" s="163">
        <f>IF(COUNTIF(Log!$G$3:$G$402,"27. Attend service team meetings")=0,"",SUMPRODUCT(MAX((Log!$G$3:$G$402="27. Attend service team meetings")*Log!$A$3:$A$402)))</f>
        <v/>
      </c>
      <c r="M92" s="164" t="inlineStr">
        <is>
          <t>▸  CORU 2.11
     Be able to express professional, informed and considered opinions to service users, health professionals and others in varied practice settings and contexts and within the limitations of confidentiality
▸  CORU 2.16
     Understand the role and impact of effective interdisciplinary team working in meeting service user needs and be able to effectively contribute to decision-making within a team setting
▸  CORU 5.5
     Be able to identify and understand the impact of governmental, organisational, community and societal structures, systems and culture on health and social care provision</t>
        </is>
      </c>
      <c r="N92" s="164" t="inlineStr">
        <is>
          <t>▸  PSI 3.1.8
     Speak out if the policies, practices or regulations of the organisation within which they work seriously ignore or oppose any principle of this Code.
▸  PSI 3.4.5
     Contribute where appropriate to the co-ordination of client services to avoid duplication or working at cross purposes — maintaining adequate records and communicating with other providers.</t>
        </is>
      </c>
      <c r="O92" s="165" t="inlineStr">
        <is>
          <t>Team meetings are where you learn what the service actually is — its priorities, its pressures, how decisions get made, who holds what. They are also the only routine opportunity to practise contributing professionally among colleagues rather than in supervision, which is a distinct skill and one CORU 2.16 names directly.</t>
        </is>
      </c>
      <c r="P92" s="165" t="inlineStr">
        <is>
          <t>▸  Attending as participation, not observation
     Sitting silently for a term is a wasted term. Prepare one thing to contribute — a case question, a resource you found, an offer to take something on. Small and specific is better than impressive.
▸  Learning the service's shape
     Note the referral pathway from arrival to closure, the waiting times, the caseload sizes, what gets prioritised and why, and which other services are frequently involved. This is the knowledge that makes your recommendations realistic and it is not written down anywhere.
▸  Contributing without overreaching
     As a trainee your contribution is a question, an observation or an offer — not a verdict on service design. 'Can I ask how a referral like that usually gets prioritised?' is useful to you and unthreatening to everyone. Save opinions on how the service should run until you understand why it runs as it does.
▸  Multi-disciplinary meetings specifically
     Different professions formulate differently and use the same words for different things. Listen for where the disagreement actually is — it is usually about the model, not the facts. Your contribution is the psychological formulation, stated plainly and without jargon, and the reasoning behind it.
▸  Recording it
     These count as placement activity and evidence CORU 2.16 and 5.39. Log them with date, type and what you contributed, not just that you attended.</t>
        </is>
      </c>
      <c r="Q92" s="165" t="inlineStr">
        <is>
          <t>▸  CORU Standards of Proficiency 2.15, 2.16 and 2.17 — full text on this sheet, Part B.
▸  Frost, N., &amp; Robinson, M. (2007). Joining up children's services: Safeguarding children in multi-disciplinary teams. Child Abuse Review, 16(3).
▸  Hall, P. (2005). Interprofessional teamwork: Professional cultures as barriers. Journal of Interprofessional Care, 19(S1).</t>
        </is>
      </c>
      <c r="R92" s="166" t="inlineStr">
        <is>
          <t>✗  Attending silently for a term.
✗  Not learning the referral pathway, then writing unrealistic recommendations.
✗  Offering opinions on service design as a trainee.
✗  Using psychological jargon in a multi-disciplinary meeting.
✗  Logging attendance without logging contribution.</t>
        </is>
      </c>
      <c r="S92" s="154" t="inlineStr">
        <is>
          <t>▸  GRADE 3
     You attend team meetings.
▸  GRADE 4
     You prepare a contribution, and you can describe the service's referral pathway and priorities.
▸  GRADE 5
     You contribute a formulation in a multi-disciplinary setting in language others can use, and you can name where professional models differ.</t>
        </is>
      </c>
      <c r="T92" s="165" t="inlineStr">
        <is>
          <t>▸  BLOCK 1 · Understanding the service
     [2 hours, once  ·  Weeks 1–2  ·  Study]
     How casework is prioritised here and what the service can and cannot offer.
     How you build it: Ask directly how the queue is determined. Write down the answer.
     ·  Understand how casework is prioritised here
          you have it when: You know what determines the queue
          [CORU SoP 5.5]
     ·  Note what the service can and cannot offer
          you have it when: You know the limits before recommending
          [CORU SoP 5.5]
▸  BLOCK 2 · Contributing
     [Habit  ·  Weeks 7–12  ·  Practice]
     Saying something useful in a room of more experienced people.
     How you build it: Prepare one contribution before every meeting. Even a question counts.
     ·  Prepare something to contribute
          you have it when: You spoke
          [CORU SoP 2.16]
     ·  Contribute a psychological perspective
          you have it when: You added something another discipline would not
          [CORU SoP 2.11]</t>
        </is>
      </c>
      <c r="U92" s="165" t="inlineStr">
        <is>
          <t>No full chapter yet.</t>
        </is>
      </c>
      <c r="V92" s="165" t="inlineStr">
        <is>
          <t>▸  5.5 Involvement of other services
     FULL ENTRY HERE
▸  5.6 School and access factors
     full entry under 24. Familiarise with SET provision and allocation</t>
        </is>
      </c>
      <c r="W92" s="165" t="inlineStr">
        <is>
          <t>Table 2 area 4 · Table 3 category 7 · EDUC42700 Organisation of Supports and presentation</t>
        </is>
      </c>
      <c r="X92" s="165" t="inlineStr">
        <is>
          <t>Education Act 1998 · EPSEN Act 2004 · Education (Admission to Schools) Act 2018</t>
        </is>
      </c>
      <c r="Y92" s="165" t="inlineStr">
        <is>
          <t>Year 1 — You contribute rather than attend from Year 2.</t>
        </is>
      </c>
    </row>
    <row r="93" ht="408.75" customHeight="1" s="128">
      <c r="A93" s="167" t="inlineStr">
        <is>
          <t>AREA</t>
        </is>
      </c>
      <c r="B93" s="167" t="inlineStr">
        <is>
          <t>4. Systemic Change</t>
        </is>
      </c>
      <c r="C93" s="167" t="n"/>
      <c r="D93" s="167" t="inlineStr">
        <is>
          <t>27. Attend service team meetings</t>
        </is>
      </c>
      <c r="E93" s="167" t="inlineStr">
        <is>
          <t>Referral area</t>
        </is>
      </c>
      <c r="F93" s="168" t="inlineStr">
        <is>
          <t>5.5 Involvement of other services</t>
        </is>
      </c>
      <c r="G93" s="167" t="inlineStr">
        <is>
          <t>ON THE FORM — Section 5</t>
        </is>
      </c>
      <c r="H93" s="167" t="n"/>
      <c r="I93" s="167" t="n"/>
      <c r="J93" s="167" t="n"/>
      <c r="K93" s="167">
        <f>COUNTIF(Log!$E$3:$E$402,"5.5 Involvement of other services")</f>
        <v/>
      </c>
      <c r="L93" s="169">
        <f>IF(COUNTIF(Log!$E$3:$E$402,"5.5 Involvement of other services")=0,"",SUMPRODUCT(MAX((Log!$E$3:$E$402="5.5 Involvement of other services")*Log!$A$3:$A$402)))</f>
        <v/>
      </c>
      <c r="M93" s="165" t="inlineStr">
        <is>
          <t>DIAGNOSES
▸  Psychotic disorders (Delusional, Brief Psychotic, Schizophreniform, Schizophrenia, Schizoaffective)
     DSM-5-TR / ICD-11 6A20–6A2Z
▸  Bipolar and related disorders (Bipolar I, Bipolar II, Cyclothymic)
     DSM-5-TR / ICD-11 6A60–6A6Z
▸  Dissociative disorders (DID, Dissociative Amnesia, Depersonalisation/Derealisation)
     DSM-5-TR / ICD-11 6B60–6B6Z
▸  Personality disorders — Clusters A, B, C
     DSM-5-TR / ICD-11 6D10–6D11
▸  Catatonia
     DSM-5-TR / ICD-11 6A40–6A4Z</t>
        </is>
      </c>
      <c r="N93" s="170" t="inlineStr">
        <is>
          <t>PRESENTATIONS WITH NO DIAGNOSIS
▸  Care-experienced children (foster, kinship, residential, aftercare)
     Not a DSM diagnosis
▸  Child protection and welfare concerns
     Not a DSM diagnosis
▸  Domestic violence exposure
     Not a DSM diagnosis
▸  Parenting capacity concerns
     Not a DSM diagnosis
▸  Family functioning difficulties
     Not a DSM diagnosis
▸  Housing and economic problems
     DSM-5-TR Z-codes
▸  Social exclusion, discrimination, acculturation difficulty
     DSM-5-TR Z-codes
▸  Knowing which service does what, and the referral route
     Added — your named development area
▸  Multi-disciplinary meetings and your role in them
     Added
▸  Professional and service boundaries — what is not yours to do
     Added — your named development area</t>
        </is>
      </c>
      <c r="O93" s="165" t="inlineStr">
        <is>
          <t>REFER TO
▸  CAMHS
▸  Late adolescence and adult services
▸  CAMHS transition
▸  Tusla
▸  Primary Care
▸  Tusla — Children First
▸  community services
▸  NEPS
▸  supervisor</t>
        </is>
      </c>
      <c r="P93" s="165" t="inlineStr">
        <is>
          <t>—</t>
        </is>
      </c>
      <c r="Q93" s="165" t="inlineStr">
        <is>
          <t>▸  Early Years / Pre-School (0–5)
     Who is already involved, from Form 2 section 2 · do not duplicate an assessment another service has done.</t>
        </is>
      </c>
      <c r="R93" s="165" t="inlineStr">
        <is>
          <t>▸  School Age (6–12)
     Read every report supplied with the referral before planning · Form 2 section 2 lists services, dates and reports · duplication is a common trainee error.</t>
        </is>
      </c>
      <c r="S93" s="165" t="inlineStr">
        <is>
          <t>▸  Adolescent (13–16)
     Service transitions at 16 and 18 are a live issue — map them before the young person hits them.</t>
        </is>
      </c>
      <c r="T93" s="165" t="inlineStr">
        <is>
          <t>▸  Young Adult (17–26)
     Adult services mapping · what ends at 18 and what does not.</t>
        </is>
      </c>
      <c r="U93" s="165" t="inlineStr">
        <is>
          <t>▸  Special Setting (class or school)
     Multi-disciplinary team around the setting.</t>
        </is>
      </c>
      <c r="AG93" s="171" t="inlineStr">
        <is>
          <t>Environmental Factors — Family, School, Community
· Family dynamics (including CEC, adopted and CYP with SGOs)
· Siblings, extended family, links and relationship to school and education
· Family stressors
· Financial stress
· Housing
· Home learning environment
· Parental attitude to school/education
· Trauma/significant life events
· Adverse childhood events
· Family views
· Bereavements/relational losses
· Key adults / members of staff (significant relationships both positive and negative in and out of school) and level of school commitment to child
· Travel distance to school
· School attendance
· Child's views/preferences
· School-parent relationship
· Peer group dynamics
· School learning environment
· Access to interventions and support
· Curriculum/exam boards
· Teacher expectations
· Teacher/staff understanding/knowledge
· Attainment-based grouping
· Influences in school and the local community
· Other agency involvement — Police, YOT, CAMHS, Speech and Language Service, Fair Access, SENAT, Virtual School, SGO Advisor, Intensive Planning Team, Prevent, CSE, Early Years, School Nurse, Portage, Early Help, Social and Caring Services Health Services</t>
        </is>
      </c>
      <c r="AH93" s="171" t="inlineStr">
        <is>
          <t>Within-Child — Biological Factors
· Family history including early development, physical development, medical conditions and diagnoses/difficulties
· General health
· Medication
· Dietary needs
· Sensory needs
· Addictions e.g. smoking, drink, drugs</t>
        </is>
      </c>
      <c r="AI93" s="171" t="inlineStr">
        <is>
          <t>Within-Child — Cognitive Factors
ASSESSABLE
· Memory
· Language
· Executive functioning: including emotional and behavioural regulation/development
· Attention and concentration
· Visual spatial ability
· Phonological processing
· Processing speed
· Non-verbal reasoning
· Verbal ability (e.g. word problems, verbal presentation)
· Logical reasoning ability
· Literacy skills
· Attainment
OBSERVATION AND CONSULTATION
· Signs of developmental trauma impacting on ability to participate in learning
· Ability to problem-solve
· Flexibility of thought and action
· Self-awareness</t>
        </is>
      </c>
      <c r="AJ93" s="171" t="inlineStr">
        <is>
          <t>Within-Child — Affective Factors
· Experience of developmental trauma
· Confidence
· Self-esteem
· Emotional understanding and expression
· Sense of enablement
· Sense of self
· Sense of belonging
· Motivation (intrinsic or extrinsic)
· Resiliency
· Mood
· Anxiety
· Aspirations
· Perseverance / determination
· Sense of humour
· Self-control
· Social skills
· Empathy</t>
        </is>
      </c>
      <c r="AK93" s="171" t="inlineStr">
        <is>
          <t>Within-Child — Behavioural Factors
· Ability to develop and maintain friendships and relationships
· Positive achievements
· Care/concern for others, volunteering, helping
· Dangerous or risk-taking behaviour
· Verbal / physical abuse
· Self-harm
· Bullying
· Truancy</t>
        </is>
      </c>
    </row>
    <row r="94" ht="408.75" customHeight="1" s="128">
      <c r="A94" s="158" t="inlineStr">
        <is>
          <t>SKILL</t>
        </is>
      </c>
      <c r="B94" s="159" t="inlineStr">
        <is>
          <t>4. Systemic Change</t>
        </is>
      </c>
      <c r="C94" s="160" t="inlineStr">
        <is>
          <t>▸  Problem-solving consultation
▸  Solution-focused approaches
▸  Choosing between them</t>
        </is>
      </c>
      <c r="D94" s="161" t="inlineStr">
        <is>
          <t>28. Learn consultation models</t>
        </is>
      </c>
      <c r="E94" s="158" t="inlineStr">
        <is>
          <t>Macro skill</t>
        </is>
      </c>
      <c r="F94" s="161" t="inlineStr">
        <is>
          <t>28. Learn consultation models</t>
        </is>
      </c>
      <c r="G94" s="162" t="inlineStr">
        <is>
          <t>Everything about this skill is on this row. Scroll right.</t>
        </is>
      </c>
      <c r="H94" s="158" t="n"/>
      <c r="I94" s="158" t="n"/>
      <c r="J94" s="158" t="n"/>
      <c r="K94" s="158">
        <f>COUNTIF(Log!$G$3:$G$402,"28. Learn consultation models")</f>
        <v/>
      </c>
      <c r="L94" s="163">
        <f>IF(COUNTIF(Log!$G$3:$G$402,"28. Learn consultation models")=0,"",SUMPRODUCT(MAX((Log!$G$3:$G$402="28. Learn consultation models")*Log!$A$3:$A$402)))</f>
        <v/>
      </c>
      <c r="M94" s="164" t="inlineStr">
        <is>
          <t>▸  CORU 4.5
     Understand the importance of and be able to seek professional development, supervision, feedback and peer review opportunities in order to continuously improve practice
▸  CORU 5.38
     Know and apply a range of consultation approaches at individual, group and organisational levels</t>
        </is>
      </c>
      <c r="N94" s="164" t="inlineStr">
        <is>
          <t>▸  PSI 3.1.8
     Speak out if the policies, practices or regulations of the organisation within which they work seriously ignore or oppose any principle of this Code.
▸  PSI 3.4.5
     Contribute where appropriate to the co-ordination of client services to avoid duplication or working at cross purposes — maintaining adequate records and communicating with other providers.</t>
        </is>
      </c>
      <c r="O94" s="165" t="inlineStr">
        <is>
          <t>Consultation is the main delivery mechanism of Irish educational psychology and it is the competency the Irish standards fold into others rather than naming — so it is entirely possible to do a placement without ever learning a model. The BPS names it as a competency in its own right. Knowing a model is the difference between a conversation and a method.</t>
        </is>
      </c>
      <c r="P94" s="165" t="inlineStr">
        <is>
          <t>▸  Why a model at all
     Without one you will default to advice-giving, which is the least effective form of consultation and the most likely to be politely ignored. A model gives you a sequence, a stance, and something to fall back on when the conversation goes sideways.
▸  Problem-solving consultation
     Problem identification, problem analysis, plan design, implementation, evaluation. The evidence consistently shows problem identification predicts outcome — most failures happen because everyone agreed too quickly about what the problem was.
▸  Solution-focused consultation
     Starts from exceptions and preferred futures rather than causes. Scaling, the miracle question, amplifying what already works. Fast, well suited to teachers under time pressure, and the framework you already used at Roscommon.
▸  Collaborative and conjoint models
     Collaborative consultation positions you and the teacher as equals with different expertise. Conjoint behavioural consultation brings parent and teacher into the same process, which is powerful where home and school are giving contradictory accounts.
▸  Choosing and sticking with one
     Learn one properly this year rather than sampling four. Name it in supervision, use it repeatedly, and notice where it fails. Competence comes from repetition with reflection, not from breadth.</t>
        </is>
      </c>
      <c r="Q94" s="165" t="inlineStr">
        <is>
          <t>▸  Wagner, P. (2008). Consultation as a framework for practice. In Kelly, Woolfson &amp; Boyle (Eds.), Frameworks for practice in educational psychology.
▸  Sheridan, S. M., &amp; Kratochwill, T. R. (2007). Conjoint behavioral consultation. Springer.
▸  Gutkin, T. B., &amp; Curtis, M. J. (2009). School-based consultation. In Handbook of School Psychology (4th ed.).
▸  BPS Standards for Accreditation (2023) — the consultation competency.</t>
        </is>
      </c>
      <c r="R94" s="166" t="inlineStr">
        <is>
          <t>✗  Defaulting to advice-giving.
✗  Sampling several models and mastering none.
✗  Rushing problem identification.
✗  Using a model's techniques without its stance.
✗  Never naming which model you used, so it cannot be evidenced.</t>
        </is>
      </c>
      <c r="S94" s="154" t="inlineStr">
        <is>
          <t>▸  GRADE 3
     You can name several consultation models.
▸  GRADE 4
     You use one model deliberately and repeatedly, and name it in your records.
▸  GRADE 5
     You can say what your model is poor at, and you choose a different approach when the situation calls for it.</t>
        </is>
      </c>
      <c r="T94" s="165" t="inlineStr">
        <is>
          <t>▸  BLOCK 1 · Problem-solving consultation
     [4–5 hours plus practice  ·  Weeks 3–6  ·  Study]
     The stages of a structured problem-solving model and what each is for.
     How you build it: Read one account properly. Follow the stages explicitly five times.
     ·  Learn a structured problem-solving model
          you have it when: You can name and follow its stages
          [CORU SoP 5.38]
▸  BLOCK 2 · Solution-focused approaches
     [3–4 hours plus practice  ·  Weeks 7–12  ·  Practice]
     Scaling, exception-finding, preferred future questioning.
     How you build it: One short text. Then use scaling in three consultations.
     ·  Learn a solution-focused approach
          you have it when: You can use scaling and exception questions
          [CORU SoP 5.38]
▸  BLOCK 3 · Choosing between them
     [2 hours reflection  ·  Ongoing all year  ·  Study]
     Knowing which suits which situation, and being able to say why.
     How you build it: After five of each, write a half-page on what each gave you.
     ·  Ask your supervisor which model they use
          you have it when: You know whether they were trained in it
          [CORU SoP 4.5]
     ·  Follow one model explicitly for a set of consultations
          you have it when: You can say what the model gave you
          [CORU SoP 5.38]</t>
        </is>
      </c>
      <c r="U94" s="165" t="inlineStr">
        <is>
          <t>No full chapter yet.</t>
        </is>
      </c>
      <c r="V94" s="165" t="inlineStr">
        <is>
          <t>▸  5.4 Concerns about early development
     full entry under 2. Structured interviewing of parents for developmental history
▸  5.6 School and access factors
     full entry under 24. Familiarise with SET provision and allocation</t>
        </is>
      </c>
      <c r="W94" s="165" t="inlineStr">
        <is>
          <t>Table 2 area 4 · Table 3 category 7 · EDUC42700 Organisation of Supports and presentation</t>
        </is>
      </c>
      <c r="X94" s="165" t="inlineStr">
        <is>
          <t>Education Act 1998 · EPSEN Act 2004 · Education (Admission to Schools) Act 2018</t>
        </is>
      </c>
      <c r="Y94" s="165" t="inlineStr">
        <is>
          <t>Year 1 — Models learned in Year 1; applied at team and organisational level in Year 2 and 3.</t>
        </is>
      </c>
    </row>
    <row r="95" ht="408.75" customHeight="1" s="128">
      <c r="A95" s="158" t="inlineStr">
        <is>
          <t>SKILL</t>
        </is>
      </c>
      <c r="B95" s="159" t="inlineStr">
        <is>
          <t>4. Systemic Change</t>
        </is>
      </c>
      <c r="C95" s="160" t="inlineStr">
        <is>
          <t>▸  Knowing the content
▸  Presenting to professionals
▸  Capturing the impact</t>
        </is>
      </c>
      <c r="D95" s="161" t="inlineStr">
        <is>
          <t>29. Deliver the good practice presentation</t>
        </is>
      </c>
      <c r="E95" s="158" t="inlineStr">
        <is>
          <t>Macro skill</t>
        </is>
      </c>
      <c r="F95" s="161" t="inlineStr">
        <is>
          <t>29. Deliver the good practice presentation</t>
        </is>
      </c>
      <c r="G95" s="162" t="inlineStr">
        <is>
          <t>Everything about this skill is on this row. Scroll right.</t>
        </is>
      </c>
      <c r="H95" s="158" t="n"/>
      <c r="I95" s="158" t="n"/>
      <c r="J95" s="158" t="n"/>
      <c r="K95" s="158">
        <f>COUNTIF(Log!$G$3:$G$402,"29. Deliver the good practice presentation")</f>
        <v/>
      </c>
      <c r="L95" s="163">
        <f>IF(COUNTIF(Log!$G$3:$G$402,"29. Deliver the good practice presentation")=0,"",SUMPRODUCT(MAX((Log!$G$3:$G$402="29. Deliver the good practice presentation")*Log!$A$3:$A$402)))</f>
        <v/>
      </c>
      <c r="M95" s="164" t="inlineStr">
        <is>
          <t>▸  CORU 5.8
     Know the basic principles of effective teaching and learning, mentoring and supervision
▸  CORU 5.20
     Know and communicate the role of educational psychologists in providing evidence-based psychological services across educational, health and social care settings, focusing on supporting the psychological and educational development of children, young people and adult learners through assessment, diagnosis, formulation, intervention, prevention, advocacy, consultation, training and research
▸  CORU 5.40
     Work collaboratively with other professionals — including teachers, other school staff and multi-disciplinary teams — to build capacity among those responsible for the delivery of interventions
▸  CORU 5.41
     Be able to critically analyse, appraise and evaluate psychological and other relevant contemporary research to inform evidence-based practice</t>
        </is>
      </c>
      <c r="N95" s="164" t="inlineStr">
        <is>
          <t>▸  PSI 3.1.8
     Speak out if the policies, practices or regulations of the organisation within which they work seriously ignore or oppose any principle of this Code.
▸  PSI 3.4.5
     Contribute where appropriate to the co-ordination of client services to avoid duplication or working at cross purposes — maintaining adequate records and communicating with other providers.</t>
        </is>
      </c>
      <c r="O95" s="165" t="inlineStr">
        <is>
          <t>Training delivery reaches more people than casework ever will, and it is the activity where your review named a strength — interpersonal communication and delivery of training. Build on it. CORU 5.40 asks you to build capacity among those responsible for delivering interventions, and a presentation is the most direct way to do that.</t>
        </is>
      </c>
      <c r="P95" s="165" t="inlineStr">
        <is>
          <t>▸  Choosing a topic that comes from the work
     The best topics come from a pattern you noticed across cases — three referrals for the same misunderstanding, a resource nobody knew existed. That is practice-derived training and it lands differently from a generic slide deck.
▸  Pitching it to the audience
     Teachers want something usable on Monday. Every section should end with what to do, not what to know. Cut the theory to what is needed to make the practice make sense, and put the rest in a handout.
▸  Evidencing what you claim
     If you say an approach works, cite something. PSI 4.2.2 requires you not to misrepresent the effectiveness of what you offer, and a training audience will act on what you tell them. Be as careful about overclaiming in a presentation as in a report.
▸  Evaluating it
     A three-question form at the end: what will you do differently, what was most useful, what was missing. This takes two minutes, gives you evidence for the portfolio, and turns a presentation into a small piece of practice-based research — which covers a development area you are otherwise short on.
▸  Leaving something behind
     A one-page summary beats fifty slides. People keep one page.</t>
        </is>
      </c>
      <c r="Q95" s="165" t="inlineStr">
        <is>
          <t>▸  CORU Standards of Proficiency 5.8, 5.20 and 5.40 — full text on this sheet, Part B.
▸  Joyce, B., &amp; Showers, B. (2002). Student achievement through staff development (3rd ed.). ASCD. — why training alone rarely changes practice without coaching.
▸  Kirkpatrick, D. L., &amp; Kirkpatrick, J. D. (2006). Evaluating training programs (3rd ed.). Berrett-Koehler.
▸  EEF — Effective Professional Development guidance report.</t>
        </is>
      </c>
      <c r="R95" s="166" t="inlineStr">
        <is>
          <t>✗  A topic chosen because it interested you rather than because the school needed it.
✗  Theory-heavy with no Monday-morning action.
✗  Claiming effectiveness without evidence.
✗  No evaluation, so no portfolio evidence.
✗  Fifty slides and no handout.</t>
        </is>
      </c>
      <c r="S95" s="154" t="inlineStr">
        <is>
          <t>▸  GRADE 3
     You have contributed to delivering training.
▸  GRADE 4
     You chose a practice-derived topic, pitched it to the audience, and left a resource behind.
▸  GRADE 5
     You evaluated it, can report what changed, and can say what you would do differently — treating it as practice-based research.</t>
        </is>
      </c>
      <c r="T95" s="165" t="inlineStr">
        <is>
          <t>▸  BLOCK 1 · Knowing the content
     [6–8 hours  ·  Weeks 7–12  ·  Study]
     The evidence base for whatever you are presenting on.
     How you build it: Search properly, appraise five sources, use three.
     ·  Cite current peer-reviewed evidence
          you have it when: The evidence base is visible
          [CORU SoP 5.41]
▸  BLOCK 2 · Presenting to professionals
     [4–5 hours  ·  Weeks 7–12  ·  Practice]
     Pitching to teachers rather than examiners — translating every technical term.
     How you build it: Rehearse once in front of someone who is not a psychologist.
     ·  Pitch it at teachers rather than examiners
          you have it when: Every citation is translated
          [CORU SoP 5.40 · 5.8]
     ·  End with three things the school could do this term
          you have it when: Actionable, not aspirational
          [CORU SoP 5.40]
▸  BLOCK 3 · Capturing the impact
     [1 hour  ·  Weeks 7–12  ·  Habit]
     Getting feedback that evidences you built capacity.
     How you build it: Hand out a five-question feedback slip. File the results.
     ·  Collect and file feedback from the school
          you have it when: You have evidence it built capacity
          [CORU SoP 5.40]</t>
        </is>
      </c>
      <c r="U95" s="165" t="inlineStr">
        <is>
          <t>No full chapter yet.</t>
        </is>
      </c>
      <c r="V95" s="165" t="inlineStr">
        <is>
          <t>▸  5.6 School and access factors
     full entry under 24. Familiarise with SET provision and allocation</t>
        </is>
      </c>
      <c r="W95" s="165" t="inlineStr">
        <is>
          <t>Table 2 area 4 · Table 3 category 7 · EDUC42700 Organisation of Supports and presentation</t>
        </is>
      </c>
      <c r="X95" s="165" t="inlineStr">
        <is>
          <t>Education Act 1998 · EPSEN Act 2004 · Education (Admission to Schools) Act 2018</t>
        </is>
      </c>
      <c r="Y95" s="165" t="inlineStr">
        <is>
          <t>Year 1 — Presentation skills extend to CPD training for professionals in Year 2.</t>
        </is>
      </c>
    </row>
    <row r="96" ht="19.5" customHeight="1" s="128">
      <c r="A96" s="147" t="inlineStr">
        <is>
          <t>COMP</t>
        </is>
      </c>
      <c r="B96" s="147" t="inlineStr">
        <is>
          <t>5. Working with Others</t>
        </is>
      </c>
      <c r="C96" s="147" t="n"/>
      <c r="D96" s="147" t="n"/>
      <c r="E96" s="147" t="inlineStr">
        <is>
          <t>6 macro skills · 1 referral areas</t>
        </is>
      </c>
      <c r="F96" s="147" t="n"/>
      <c r="G96" s="147" t="n"/>
      <c r="H96" s="147" t="n"/>
      <c r="I96" s="147" t="n"/>
      <c r="J96" s="147" t="n"/>
      <c r="K96" s="147" t="n"/>
      <c r="L96" s="147" t="n"/>
      <c r="M96" s="147" t="n"/>
      <c r="N96" s="147" t="n"/>
      <c r="O96" s="147" t="n"/>
      <c r="P96" s="147" t="n"/>
      <c r="Q96" s="147" t="n"/>
      <c r="R96" s="147" t="n"/>
      <c r="S96" s="147" t="n"/>
      <c r="T96" s="147" t="n"/>
      <c r="U96" s="147" t="n"/>
      <c r="V96" s="147" t="n"/>
      <c r="W96" s="147" t="n"/>
      <c r="X96" s="147" t="n"/>
      <c r="Y96" s="147" t="n"/>
      <c r="Z96" s="147" t="n"/>
      <c r="AA96" s="147" t="n"/>
      <c r="AB96" s="147" t="n"/>
      <c r="AC96" s="147" t="n"/>
      <c r="AD96" s="147" t="n"/>
      <c r="AE96" s="147" t="n"/>
      <c r="AF96" s="147" t="n"/>
      <c r="AG96" s="147" t="n"/>
      <c r="AH96" s="147" t="n"/>
      <c r="AI96" s="147" t="n"/>
      <c r="AJ96" s="147" t="n"/>
      <c r="AK96" s="147" t="n"/>
    </row>
    <row r="97" ht="169.5" customHeight="1" s="128">
      <c r="A97" s="148" t="n"/>
      <c r="B97" s="149" t="inlineStr">
        <is>
          <t>5. Working with Others</t>
        </is>
      </c>
      <c r="C97" s="149" t="n"/>
      <c r="D97" s="148" t="n"/>
      <c r="E97" s="148" t="inlineStr">
        <is>
          <t>What CORU asks of this competency — verbatim</t>
        </is>
      </c>
      <c r="F97" s="133" t="inlineStr">
        <is>
          <t>14 standards across this competency</t>
        </is>
      </c>
      <c r="G97" s="133" t="n"/>
      <c r="H97" s="149" t="n"/>
      <c r="I97" s="149" t="n"/>
      <c r="J97" s="149" t="n"/>
      <c r="K97" s="148" t="n"/>
      <c r="L97" s="148" t="n"/>
      <c r="M97" s="150" t="inlineStr">
        <is>
          <t>▸  CORU 1.13
     Be aware of current data protection, freedom of information and other legislation relevant to the profession and be able to access new and emerging legislation</t>
        </is>
      </c>
      <c r="N97" s="150" t="inlineStr">
        <is>
          <t>▸  CORU 2.1
     Be able to communicate diagnosis/assessment and/or treatment/management options in a way that can be understood by the service user</t>
        </is>
      </c>
      <c r="O97" s="150" t="inlineStr">
        <is>
          <t>▸  CORU 2.2
     Be able to modify and adapt communication methods and styles, including verbal and non-verbal methods, to suit the individual service user, considering issues of language, age, culture, beliefs and health and/or social care needs</t>
        </is>
      </c>
      <c r="P97" s="150" t="inlineStr">
        <is>
          <t>▸  CORU 2.3
     Recognise service users as active participants in their health and social care and be able to support service users in communicating their needs, choices and concerns</t>
        </is>
      </c>
      <c r="Q97" s="150" t="inlineStr">
        <is>
          <t>▸  CORU 2.8
     Be able to produce clear, concise, accurate and objective documentation</t>
        </is>
      </c>
      <c r="R97" s="150" t="inlineStr">
        <is>
          <t>▸  CORU 2.10
     Be aware of and comply with local/national documentation standards including, for example, terminology and signature requirements</t>
        </is>
      </c>
      <c r="S97" s="150" t="inlineStr">
        <is>
          <t>▸  CORU 2.13
     Understand and be able to discuss the principles of effective conflict management</t>
        </is>
      </c>
      <c r="T97" s="150" t="inlineStr">
        <is>
          <t>▸  CORU 2.17
     Understand the role of relationships with professional colleagues and other workers in service delivery and the need to create professional relationships based on mutual respect and trust</t>
        </is>
      </c>
      <c r="U97" s="150" t="inlineStr">
        <is>
          <t>▸  CORU 3.2
     Be able to justify the selection of and implement appropriate assessment techniques and be able to undertake and record a thorough, sensitive and detailed assessment</t>
        </is>
      </c>
      <c r="V97" s="150" t="inlineStr">
        <is>
          <t>▸  CORU 5.13
     Know the structures and systems of school, community and social settings in which educational, health and social care services are provided for children, young people and adult learners</t>
        </is>
      </c>
      <c r="W97" s="150" t="inlineStr">
        <is>
          <t>▸  CORU 5.21
     Establish, maintain and conclude a professional relationship with a service user, safely and ethically, recognising and managing professional boundaries</t>
        </is>
      </c>
      <c r="X97" s="150" t="inlineStr">
        <is>
          <t>▸  CORU 5.25
     Select, evaluate and revise communication approaches to promote inclusive communication appropriate to the context of practice and the intended audience</t>
        </is>
      </c>
      <c r="Y97" s="150" t="inlineStr">
        <is>
          <t>▸  CORU 5.27
     Be able to produce clear, concise, accessible and accurate reports — devised in collaboration with service users, as appropriate — that are suitable for the intended audience and context of their use, in order to communicate and justify professional opinions made</t>
        </is>
      </c>
      <c r="Z97" s="150" t="inlineStr">
        <is>
          <t>▸  CORU 5.32
     Interpret, synthesise and critically evaluate assessment data, within relevant conceptual frameworks, to inform case formulation and psychological intervention planning</t>
        </is>
      </c>
    </row>
    <row r="98" ht="169.5" customHeight="1" s="128">
      <c r="A98" s="148" t="n"/>
      <c r="B98" s="149" t="inlineStr">
        <is>
          <t>5. Working with Others</t>
        </is>
      </c>
      <c r="C98" s="149" t="n"/>
      <c r="D98" s="148" t="n"/>
      <c r="E98" s="148" t="inlineStr">
        <is>
          <t>What the PSI Code asks of this competency — verbatim</t>
        </is>
      </c>
      <c r="F98" s="133" t="inlineStr">
        <is>
          <t>5 clauses across this competency</t>
        </is>
      </c>
      <c r="G98" s="133" t="n"/>
      <c r="H98" s="149" t="n"/>
      <c r="I98" s="149" t="n"/>
      <c r="J98" s="149" t="n"/>
      <c r="K98" s="148" t="n"/>
      <c r="L98" s="148" t="n"/>
      <c r="M98" s="150" t="inlineStr">
        <is>
          <t>▸  PSI 1.2.8
     Be acutely aware of the need for discretion in recording and communicating information, so as to prevent it being interpreted or used to the detriment of others: not recording information which could lead to misinterpretation; avoiding conjecture; clearly labelling opinion; and communicating in language the recipient can understand.</t>
        </is>
      </c>
      <c r="N98" s="150" t="inlineStr">
        <is>
          <t>▸  PSI 1.4.1
     Seek as full and active participation as possible from others in decisions which affect them.</t>
        </is>
      </c>
      <c r="O98" s="150" t="inlineStr">
        <is>
          <t>▸  PSI 2.3.1
     Be mindful, when making decisions based on psychological data and techniques, of the limitations of such data and techniques.</t>
        </is>
      </c>
      <c r="P98" s="150" t="inlineStr">
        <is>
          <t>▸  PSI 4.2.5
     Take care in communicating their knowledge, findings and views to clearly differentiate facts, opinions, theories, hypotheses and ideas.</t>
        </is>
      </c>
      <c r="Q98" s="150" t="inlineStr">
        <is>
          <t>▸  PSI 4.3.1
     Respect the right of clients and research participants to receive an appropriate explanation of the nature, purpose and results of investigations, assessments and research findings, in language they can understand.</t>
        </is>
      </c>
    </row>
    <row r="99" ht="109.5" customHeight="1" s="128">
      <c r="A99" s="151" t="n"/>
      <c r="B99" s="152" t="inlineStr">
        <is>
          <t>5. Working with Others</t>
        </is>
      </c>
      <c r="C99" s="152" t="n"/>
      <c r="D99" s="151" t="n"/>
      <c r="E99" s="151" t="inlineStr">
        <is>
          <t>Three-year arc</t>
        </is>
      </c>
      <c r="F99" s="153" t="inlineStr">
        <is>
          <t>What good looks like each year</t>
        </is>
      </c>
      <c r="G99" s="153" t="n"/>
      <c r="H99" s="152" t="n"/>
      <c r="I99" s="152" t="n"/>
      <c r="J99" s="152" t="n"/>
      <c r="K99" s="151" t="n"/>
      <c r="L99" s="151" t="n"/>
      <c r="M99" s="154" t="inlineStr">
        <is>
          <t>Year 1 — You build rapport, keep case notes to service standard and produce a report your supervisor will countersign.</t>
        </is>
      </c>
      <c r="N99" s="154" t="inlineStr">
        <is>
          <t>Year 2 — You adapt communication across health and disability settings and contribute in multi-disciplinary teams.</t>
        </is>
      </c>
      <c r="O99" s="154" t="inlineStr">
        <is>
          <t>Year 3 — You lead communication in complex cases, including disagreement between professionals and families.</t>
        </is>
      </c>
    </row>
    <row r="100" ht="30" customHeight="1" s="128">
      <c r="A100" s="155" t="n"/>
      <c r="B100" s="155" t="n"/>
      <c r="C100" s="155" t="n"/>
      <c r="D100" s="155" t="n"/>
      <c r="E100" s="155" t="n"/>
      <c r="F100" s="156" t="inlineStr">
        <is>
          <t>one skill = one row →</t>
        </is>
      </c>
      <c r="G100" s="155" t="n"/>
      <c r="H100" s="155" t="n"/>
      <c r="I100" s="155" t="n"/>
      <c r="J100" s="155" t="n"/>
      <c r="K100" s="155" t="n"/>
      <c r="L100" s="155" t="n"/>
      <c r="M100" s="157" t="inlineStr">
        <is>
          <t>1 · CORU — number and focus</t>
        </is>
      </c>
      <c r="N100" s="157" t="inlineStr">
        <is>
          <t>2 · PSI — number and focus</t>
        </is>
      </c>
      <c r="O100" s="157" t="inlineStr">
        <is>
          <t>3 · Why this matters</t>
        </is>
      </c>
      <c r="P100" s="157" t="inlineStr">
        <is>
          <t>4 · Teaching — how you build it</t>
        </is>
      </c>
      <c r="Q100" s="157" t="inlineStr">
        <is>
          <t>5 · What to read</t>
        </is>
      </c>
      <c r="R100" s="157" t="inlineStr">
        <is>
          <t>6 · Common errors that cost marks</t>
        </is>
      </c>
      <c r="S100" s="157" t="inlineStr">
        <is>
          <t>7 · Rubric — grade 3, 4, 5</t>
        </is>
      </c>
      <c r="T100" s="157" t="inlineStr">
        <is>
          <t>8 · Blocks and micro-skills with pass tests</t>
        </is>
      </c>
      <c r="U100" s="157" t="inlineStr">
        <is>
          <t>9 · Full chapter, where written</t>
        </is>
      </c>
      <c r="V100" s="157" t="inlineStr">
        <is>
          <t>10 · Referral areas this skill serves</t>
        </is>
      </c>
      <c r="W100" s="157" t="inlineStr">
        <is>
          <t>11 · Where the evidence goes</t>
        </is>
      </c>
      <c r="X100" s="157" t="inlineStr">
        <is>
          <t>12 · Law and policy</t>
        </is>
      </c>
      <c r="Y100" s="157" t="inlineStr">
        <is>
          <t>13 · Year and how it extends</t>
        </is>
      </c>
      <c r="Z100" s="157" t="inlineStr">
        <is>
          <t>14 · —</t>
        </is>
      </c>
      <c r="AA100" s="157" t="inlineStr">
        <is>
          <t>15 · —</t>
        </is>
      </c>
      <c r="AB100" s="157" t="inlineStr">
        <is>
          <t>16 · —</t>
        </is>
      </c>
      <c r="AC100" s="157" t="inlineStr">
        <is>
          <t>17 · —</t>
        </is>
      </c>
      <c r="AD100" s="157" t="inlineStr">
        <is>
          <t>18 · —</t>
        </is>
      </c>
      <c r="AE100" s="157" t="inlineStr">
        <is>
          <t>19 · —</t>
        </is>
      </c>
      <c r="AF100" s="157" t="inlineStr">
        <is>
          <t>20 · —</t>
        </is>
      </c>
    </row>
    <row r="101" ht="408.75" customHeight="1" s="128">
      <c r="A101" s="158" t="inlineStr">
        <is>
          <t>SKILL</t>
        </is>
      </c>
      <c r="B101" s="159" t="inlineStr">
        <is>
          <t>5. Working with Others</t>
        </is>
      </c>
      <c r="C101" s="160" t="inlineStr">
        <is>
          <t>▸  Meeting them where they are
▸  Giving real agency
▸  Closing</t>
        </is>
      </c>
      <c r="D101" s="161" t="inlineStr">
        <is>
          <t>30. Build rapport with a child during assessment</t>
        </is>
      </c>
      <c r="E101" s="158" t="inlineStr">
        <is>
          <t>Macro skill</t>
        </is>
      </c>
      <c r="F101" s="161" t="inlineStr">
        <is>
          <t>30. Build rapport with a child during assessment</t>
        </is>
      </c>
      <c r="G101" s="162" t="inlineStr">
        <is>
          <t>Everything about this skill is on this row. Scroll right.</t>
        </is>
      </c>
      <c r="H101" s="158" t="n"/>
      <c r="I101" s="158" t="n"/>
      <c r="J101" s="158" t="n"/>
      <c r="K101" s="158">
        <f>COUNTIF(Log!$G$3:$G$402,"30. Build rapport with a child during assessment")</f>
        <v/>
      </c>
      <c r="L101" s="163">
        <f>IF(COUNTIF(Log!$G$3:$G$402,"30. Build rapport with a child during assessment")=0,"",SUMPRODUCT(MAX((Log!$G$3:$G$402="30. Build rapport with a child during assessment")*Log!$A$3:$A$402)))</f>
        <v/>
      </c>
      <c r="M101" s="164" t="inlineStr">
        <is>
          <t>▸  CORU 2.2
     Be able to modify and adapt communication methods and styles, including verbal and non-verbal methods, to suit the individual service user, considering issues of language, age, culture, beliefs and health and/or social care needs
▸  CORU 2.3
     Recognise service users as active participants in their health and social care and be able to support service users in communicating their needs, choices and concerns
▸  CORU 5.21
     Establish, maintain and conclude a professional relationship with a service user, safely and ethically, recognising and managing professional boundaries</t>
        </is>
      </c>
      <c r="N101" s="164" t="inlineStr">
        <is>
          <t>▸  PSI 1.2.8
     Be acutely aware of the need for discretion in recording and communicating information, so as to prevent it being interpreted or used to the detriment of others: not recording information which could lead to misinterpretation; avoiding conjecture; clearly labelling opinion; and communicating in language the recipient can understand.
▸  PSI 1.4.1
     Seek as full and active participation as possible from others in decisions which affect them.
▸  PSI 4.3.1
     Respect the right of clients and research participants to receive an appropriate explanation of the nature, purpose and results of investigations, assessments and research findings, in language they can understand.</t>
        </is>
      </c>
      <c r="O101" s="165" t="inlineStr">
        <is>
          <t>Rapport is not politeness, it is measurement validity. A child who is anxious, bored or suspicious produces scores that underestimate them, and you will then build a formulation on a number that is wrong. Everything downstream — the recommendation, the resource, the placement — rests on whether the child engaged.</t>
        </is>
      </c>
      <c r="P101" s="165" t="inlineStr">
        <is>
          <t>▸  The first three minutes
     Introduce yourself in a sentence they can repeat. Say plainly why you are there, what will happen, how long it will take, and that there will be things they cannot do because the tasks get harder for everyone. Say what happens to the information. Then ask if they have questions and wait.
▸  Reading state and adjusting
     Watch for withdrawal, guessing, fatigue, and the shift from effort to compliance. Standardised administration is not negotiable, but breaks, order within permitted limits, and encouragement between items are. Know exactly what the manual permits before you need to use it.
▸  Adapting, and recording the adaptation
     If you deviate, record what you did and why, and state in the report what it means for interpretation. An adaptation recorded is a professional judgement; an adaptation unrecorded is an invalid administration. CORU 5.31 requires adapting and re-evaluating as appropriate — appropriate includes writing it down.
▸  Children who refuse
     Refusal is data. Note what was refused, when, and what preceded it. Do not coerce. Stopping and returning another day produces better data than a completed protocol obtained under pressure, and it protects the relationship the school has to keep.
▸  Ending
     Thank them specifically. Tell them what happens next and who will be told what. Children worry about this more than adults assume, and an unclear ending can undo a good session.</t>
        </is>
      </c>
      <c r="Q101" s="165" t="inlineStr">
        <is>
          <t>▸  Sattler, J. M. (2018). Assessment of children: Cognitive foundations (6th ed.). — the chapters on establishing rapport and on observing test behaviour.
▸  WISC-V UK administration and scoring manual — the sections on rapport, breaks and permitted queries.
▸  Frederickson, N., &amp; Cline, T. (2009) — on assessment conditions and validity.
▸  CORU Standards of Proficiency 5.21 and 5.31 — full text on this sheet, Part B.</t>
        </is>
      </c>
      <c r="R101" s="166" t="inlineStr">
        <is>
          <t>✗  Starting the first subtest within two minutes of meeting the child.
✗  Not explaining what happens to the information.
✗  Pushing through visible fatigue to finish the battery.
✗  Adapting without recording it.
✗  Ending without saying what happens next.</t>
        </is>
      </c>
      <c r="S101" s="154" t="inlineStr">
        <is>
          <t>▸  GRADE 3
     You establish a working relationship and complete the assessment.
▸  GRADE 4
     You explain purpose and confidentiality in the child's terms, read state, and use permitted adjustments.
▸  GRADE 5
     You adapt deliberately and record it with its implication for interpretation, and you can justify stopping an assessment.</t>
        </is>
      </c>
      <c r="T101" s="165" t="inlineStr">
        <is>
          <t>▸  BLOCK 1 · Meeting them where they are
     [2 hours plus observation  ·  Weeks 1–2  ·  Practice]
     Register, pace, physical positioning, and what to say first.
     How you build it: Watch your supervisor's first two minutes with three different children. Write down what they do.
     ·  Meet the child at their level, literally and in register
          you have it when: Not talked down to or over
          [CORU SoP 2.2]
     ·  Explain what will happen and why
          you have it when: The child could repeat it back
          [PSI Code 4.3.1]
▸  BLOCK 2 · Giving real agency
     [Habit  ·  Weeks 3–6  ·  Habit]
     Offering choices that are genuinely the child's, and responding when they decline.
     How you build it: Build two real choices into every session. Notice what happens.
     ·  Give the child a real choice early
          you have it when: Something was actually theirs to decide
          [PSI Code 1.4.1]
     ·  Notice and respond to reluctance
          you have it when: You adjusted rather than pushed on
          [CORU SoP 5.31]
     ·  Ask the child what they think would help
          you have it when: The child's view was sought
          [UNCRC Art. 12]
▸  BLOCK 3 · Closing
     [Habit  ·  Weeks 3–6  ·  Habit]
     Ending so the child leaves feeling competent rather than tested.
     How you build it: Have a closing line you use every time. Watch how they walk out.
     ·  Close so the child leaves feeling competent
          you have it when: How they walk out
          [CORU SoP 5.21]</t>
        </is>
      </c>
      <c r="U101" s="165" t="inlineStr">
        <is>
          <t>No full chapter yet.</t>
        </is>
      </c>
      <c r="V101" s="165" t="inlineStr">
        <is>
          <t>▸  3.1 Confidence and self-esteem
     full entry under 9. Behavioural and emotional rating scales
▸  4.2 Relationships with adults
     FULL ENTRY HERE</t>
        </is>
      </c>
      <c r="W101" s="165" t="inlineStr">
        <is>
          <t>Table 2 area 5 · every countersigned report · Appendix 7 · Appendix 5 MDT entries</t>
        </is>
      </c>
      <c r="X101" s="165" t="inlineStr">
        <is>
          <t>UNCRC Art. 12 · UNCRC Art. 12 — the child's right to be heard · GDPR — lawful information sharing</t>
        </is>
      </c>
      <c r="Y101" s="165" t="inlineStr">
        <is>
          <t>Year 1 — Extends to children with complex communication needs in Year 2.</t>
        </is>
      </c>
    </row>
    <row r="102" ht="408.75" customHeight="1" s="128">
      <c r="A102" s="167" t="inlineStr">
        <is>
          <t>AREA</t>
        </is>
      </c>
      <c r="B102" s="167" t="inlineStr">
        <is>
          <t>5. Working with Others</t>
        </is>
      </c>
      <c r="C102" s="167" t="n"/>
      <c r="D102" s="167" t="inlineStr">
        <is>
          <t>30. Build rapport with a child during assessment</t>
        </is>
      </c>
      <c r="E102" s="167" t="inlineStr">
        <is>
          <t>Referral area</t>
        </is>
      </c>
      <c r="F102" s="168" t="inlineStr">
        <is>
          <t>4.2 Relationships with adults</t>
        </is>
      </c>
      <c r="G102" s="167" t="inlineStr">
        <is>
          <t>ON THE FORM — Section 5</t>
        </is>
      </c>
      <c r="H102" s="167" t="n"/>
      <c r="I102" s="167" t="n"/>
      <c r="J102" s="167" t="n"/>
      <c r="K102" s="167">
        <f>COUNTIF(Log!$E$3:$E$402,"4.2 Relationships with adults")</f>
        <v/>
      </c>
      <c r="L102" s="169">
        <f>IF(COUNTIF(Log!$E$3:$E$402,"4.2 Relationships with adults")=0,"",SUMPRODUCT(MAX((Log!$E$3:$E$402="4.2 Relationships with adults")*Log!$A$3:$A$402)))</f>
        <v/>
      </c>
      <c r="M102" s="165" t="inlineStr">
        <is>
          <t>DIAGNOSES
▸  Relational problems (parent-child, sibling, upbringing away from parents)
     DSM-5-TR Z-codes / ICD-11 Ch.24
▸  Gender Dysphoria in children
     DSM-5-TR / ICD-11 Ch.17
▸  Gender Dysphoria in adolescents
     DSM-5-TR / ICD-11 Ch.17</t>
        </is>
      </c>
      <c r="N102" s="170" t="inlineStr">
        <is>
          <t>PRESENTATIONS WITH NO DIAGNOSIS
▸  Self-advocacy
     Not a DSM diagnosis
▸  LGBTQ+ identity support
     Not a disorder
▸  Cultural and linguistic identity
     Not a disorder
▸  Attitude towards staff
     Added — Form 2 survey wording
▸  Trust and the effect of one key adult
     Added
▸  Response to authority and to being corrected
     Added
▸  Relationship with the SNA and dependence on adult proximity
     Added
▸  Help-seeking from adults
     Added</t>
        </is>
      </c>
      <c r="O102" s="165" t="inlineStr">
        <is>
          <t>REFER TO
▸  Primary Care
▸  CDNT
▸  CAMHS
▸  Specialist services
▸  NEPS
▸  school supports</t>
        </is>
      </c>
      <c r="P102" s="165" t="inlineStr">
        <is>
          <t>—</t>
        </is>
      </c>
      <c r="Q102" s="165" t="inlineStr">
        <is>
          <t>▸  Early Years / Pre-School (0–5)
     Key-worker relationship in the setting · attachment behaviour at separation and reunion · parent report.</t>
        </is>
      </c>
      <c r="R102" s="165" t="inlineStr">
        <is>
          <t>▸  School Age (6–12)
     Observation across different adults — the difference between teachers is data · pupil interview about which adults help · teacher consultation.</t>
        </is>
      </c>
      <c r="S102" s="165" t="inlineStr">
        <is>
          <t>▸  Adolescent (13–16)
     Subject-teacher survey — attitude towards staff varies by subject and that variation is the finding · pupil interview · self-advocacy skills for post-school.</t>
        </is>
      </c>
      <c r="T102" s="165" t="inlineStr">
        <is>
          <t>▸  Young Adult (17–26)
     Course tutor and workplace supervisor relationships · self-advocacy for accommodations.</t>
        </is>
      </c>
      <c r="U102" s="165" t="inlineStr">
        <is>
          <t>▸  Special Setting (class or school)
     Staff consistency and key-worker arrangements · dependence on one adult and what happens when they are absent.</t>
        </is>
      </c>
      <c r="AG102" s="171" t="inlineStr">
        <is>
          <t>Environmental Factors — Family, School, Community
· Family dynamics (including CEC, adopted and CYP with SGOs)
· Siblings, extended family, links and relationship to school and education
· Family stressors
· Financial stress
· Housing
· Home learning environment
· Parental attitude to school/education
· Trauma/significant life events
· Adverse childhood events
· Family views
· Bereavements/relational losses
· Key adults / members of staff (significant relationships both positive and negative in and out of school) and level of school commitment to child
· Travel distance to school
· School attendance
· Child's views/preferences
· School-parent relationship
· Peer group dynamics
· School learning environment
· Access to interventions and support
· Curriculum/exam boards
· Teacher expectations
· Teacher/staff understanding/knowledge
· Attainment-based grouping
· Influences in school and the local community
· Other agency involvement — Police, YOT, CAMHS, Speech and Language Service, Fair Access, SENAT, Virtual School, SGO Advisor, Intensive Planning Team, Prevent, CSE, Early Years, School Nurse, Portage, Early Help, Social and Caring Services Health Services</t>
        </is>
      </c>
      <c r="AH102" s="171" t="inlineStr">
        <is>
          <t>Within-Child — Biological Factors
· Family history including early development, physical development, medical conditions and diagnoses/difficulties
· General health
· Medication
· Dietary needs
· Sensory needs
· Addictions e.g. smoking, drink, drugs</t>
        </is>
      </c>
      <c r="AI102" s="171" t="inlineStr">
        <is>
          <t>Within-Child — Cognitive Factors
ASSESSABLE
· Memory
· Language
· Executive functioning: including emotional and behavioural regulation/development
· Attention and concentration
· Visual spatial ability
· Phonological processing
· Processing speed
· Non-verbal reasoning
· Verbal ability (e.g. word problems, verbal presentation)
· Logical reasoning ability
· Literacy skills
· Attainment
OBSERVATION AND CONSULTATION
· Signs of developmental trauma impacting on ability to participate in learning
· Ability to problem-solve
· Flexibility of thought and action
· Self-awareness</t>
        </is>
      </c>
      <c r="AJ102" s="171" t="inlineStr">
        <is>
          <t>Within-Child — Affective Factors
· Experience of developmental trauma
· Confidence
· Self-esteem
· Emotional understanding and expression
· Sense of enablement
· Sense of self
· Sense of belonging
· Motivation (intrinsic or extrinsic)
· Resiliency
· Mood
· Anxiety
· Aspirations
· Perseverance / determination
· Sense of humour
· Self-control
· Social skills
· Empathy</t>
        </is>
      </c>
      <c r="AK102" s="171" t="inlineStr">
        <is>
          <t>Within-Child — Behavioural Factors
· Ability to develop and maintain friendships and relationships
· Positive achievements
· Care/concern for others, volunteering, helping
· Dangerous or risk-taking behaviour
· Verbal / physical abuse
· Self-harm
· Bullying
· Truancy</t>
        </is>
      </c>
    </row>
    <row r="103" ht="408.75" customHeight="1" s="128">
      <c r="A103" s="158" t="inlineStr">
        <is>
          <t>SKILL</t>
        </is>
      </c>
      <c r="B103" s="159" t="inlineStr">
        <is>
          <t>5. Working with Others</t>
        </is>
      </c>
      <c r="C103" s="160" t="inlineStr">
        <is>
          <t>▸  Knowing the roles
▸  Negotiating a shared question
▸  Repairing</t>
        </is>
      </c>
      <c r="D103" s="161" t="inlineStr">
        <is>
          <t>31. Communicate with school staff, SENCO and principal</t>
        </is>
      </c>
      <c r="E103" s="158" t="inlineStr">
        <is>
          <t>Macro skill</t>
        </is>
      </c>
      <c r="F103" s="161" t="inlineStr">
        <is>
          <t>31. Communicate with school staff, SENCO and principal</t>
        </is>
      </c>
      <c r="G103" s="162" t="inlineStr">
        <is>
          <t>Everything about this skill is on this row. Scroll right.</t>
        </is>
      </c>
      <c r="H103" s="158" t="n"/>
      <c r="I103" s="158" t="n"/>
      <c r="J103" s="158" t="n"/>
      <c r="K103" s="158">
        <f>COUNTIF(Log!$G$3:$G$402,"31. Communicate with school staff, SENCO and principal")</f>
        <v/>
      </c>
      <c r="L103" s="163">
        <f>IF(COUNTIF(Log!$G$3:$G$402,"31. Communicate with school staff, SENCO and principal")=0,"",SUMPRODUCT(MAX((Log!$G$3:$G$402="31. Communicate with school staff, SENCO and principal")*Log!$A$3:$A$402)))</f>
        <v/>
      </c>
      <c r="M103" s="164" t="inlineStr">
        <is>
          <t>▸  CORU 2.13
     Understand and be able to discuss the principles of effective conflict management
▸  CORU 2.17
     Understand the role of relationships with professional colleagues and other workers in service delivery and the need to create professional relationships based on mutual respect and trust
▸  CORU 5.13
     Know the structures and systems of school, community and social settings in which educational, health and social care services are provided for children, young people and adult learners</t>
        </is>
      </c>
      <c r="N103" s="164" t="inlineStr">
        <is>
          <t>▸  PSI 1.2.8
     Be acutely aware of the need for discretion in recording and communicating information, so as to prevent it being interpreted or used to the detriment of others: not recording information which could lead to misinterpretation; avoiding conjecture; clearly labelling opinion; and communicating in language the recipient can understand.
▸  PSI 4.3.1
     Respect the right of clients and research participants to receive an appropriate explanation of the nature, purpose and results of investigations, assessments and research findings, in language they can understand.</t>
        </is>
      </c>
      <c r="O103" s="165" t="inlineStr">
        <is>
          <t>The school decides whether your recommendations happen. A psychologist who is easy to work with and clear gets implementation; one who is late, vague or appears to be inspecting does not. This is not politics — it is the difference between a report that changes something and one that is filed.</t>
        </is>
      </c>
      <c r="P103" s="165" t="inlineStr">
        <is>
          <t>▸  Knowing who does what
     The principal decides and allocates. The SENCO or SET coordinator holds the overview and usually the documentation. The class teacher has the daily relationship and will deliver most of what you recommend. The SNA often knows the child best and is asked least. Address each accordingly.
▸  Arriving well
     Confirm the day before. Arrive early. Sign in. Say how long you need and keep to it. Bring your own equipment. These are small and they are most of your reputation in a school.
▸  Communicating a difficult message
     Sometimes the finding implicates the provision. Lead with shared purpose, describe rather than evaluate, and offer one change. 'He is working on material above his current level, so most of his day is spent on tasks he cannot access — could we look at the level of the work?' is sayable. 'The differentiation is inadequate' is not, and it will end the relationship.
▸  Managing disagreement
     Teachers sometimes disagree with findings, and sometimes they are right. Ask what they see. CORU 2.13 covers conflict management and the technique is the same as in consultation: get to the specific observation behind the position.
▸  Closing the loop
     Send a short written summary of what was agreed within a day. It prevents misremembering, gives the school something to act from, and evidences the record-keeping your review named as a development area.</t>
        </is>
      </c>
      <c r="Q103" s="165" t="inlineStr">
        <is>
          <t>▸  CORU Standards of Proficiency 2.11, 2.13, 2.15 and 2.17 — full text on this sheet, Part B.
▸  Wagner, P. (2000). Consultation: Developing a comprehensive approach to service delivery.
▸  Stone, D., Patton, B., &amp; Heen, S. (2010). Difficult conversations. Penguin.
▸  NEPS Continuum of Support guidelines — the shared language schools already use.</t>
        </is>
      </c>
      <c r="R103" s="166" t="inlineStr">
        <is>
          <t>✗  Treating 'the school' as one entity.
✗  Arriving late or without equipment.
✗  Delivering a provision-level criticism as a criticism.
✗  Defending a finding instead of asking what they see.
✗  No written follow-up.</t>
        </is>
      </c>
      <c r="S103" s="154" t="inlineStr">
        <is>
          <t>▸  GRADE 3
     You communicate professionally with school staff.
▸  GRADE 4
     You address the right person for each purpose and follow up in writing.
▸  GRADE 5
     You can deliver a message that implicates the provision without damaging the relationship, and the school acts on it.</t>
        </is>
      </c>
      <c r="T103" s="165" t="inlineStr">
        <is>
          <t>▸  BLOCK 1 · Knowing the roles
     [2 hours, once  ·  Weeks 1–2  ·  Study]
     Who does what in an Irish school and who to approach for what.
     How you build it: One page: principal, deputy, SENCO, SET, class teacher, SNA. What each can decide.
     ·  Know who does what in this school
          you have it when: You approached the right person
          [CORU SoP 5.13]
▸  BLOCK 2 · Negotiating a shared question
     [Habit  ·  Weeks 3–6  ·  Habit]
     Getting agreement on what you are all trying to answer.
     How you build it: Write the question and read it back. Adjust until both agree.
     ·  Negotiate a shared referral question
          you have it when: Both parties recognise the question
          [CORU SoP 2.13]
▸  BLOCK 3 · Repairing
     [Habit  ·  Weeks 7–12  ·  Habit]
     Going back after a difficult conversation.
     How you build it: Make the second contact within a week. Always.
     ·  Manage disagreement rather than avoiding it
          you have it when: The disagreement was addressed
          [CORU SoP 2.13]
     ·  Maintain the relationship afterwards
          you have it when: You went back
          [CORU SoP 2.17]</t>
        </is>
      </c>
      <c r="U103" s="165" t="inlineStr">
        <is>
          <t>No full chapter yet.</t>
        </is>
      </c>
      <c r="V103" s="165" t="inlineStr">
        <is>
          <t>▸  4.2 Relationships with adults
     full entry under 30. Build rapport with a child during assessment
▸  5.5 Involvement of other services
     full entry under 27. Attend service team meetings</t>
        </is>
      </c>
      <c r="W103" s="165" t="inlineStr">
        <is>
          <t>Table 2 area 5 · every countersigned report · Appendix 7 · Appendix 5 MDT entries</t>
        </is>
      </c>
      <c r="X103" s="165" t="inlineStr">
        <is>
          <t>UNCRC Art. 12 — the child's right to be heard · GDPR — lawful information sharing</t>
        </is>
      </c>
      <c r="Y103" s="165" t="inlineStr">
        <is>
          <t>Year 1 — Extends to health and MDT colleagues in Year 2.</t>
        </is>
      </c>
    </row>
    <row r="104" ht="408.75" customHeight="1" s="128">
      <c r="A104" s="158" t="inlineStr">
        <is>
          <t>SKILL</t>
        </is>
      </c>
      <c r="B104" s="159" t="inlineStr">
        <is>
          <t>5. Working with Others</t>
        </is>
      </c>
      <c r="C104" s="160" t="inlineStr">
        <is>
          <t>▸  Preparing
▸  Leading with the person
▸  Managing distress</t>
        </is>
      </c>
      <c r="D104" s="161" t="inlineStr">
        <is>
          <t>32. Give feedback to parents on assessment findings</t>
        </is>
      </c>
      <c r="E104" s="158" t="inlineStr">
        <is>
          <t>Macro skill</t>
        </is>
      </c>
      <c r="F104" s="161" t="inlineStr">
        <is>
          <t>32. Give feedback to parents on assessment findings</t>
        </is>
      </c>
      <c r="G104" s="162" t="inlineStr">
        <is>
          <t>Everything about this skill is on this row. Scroll right.</t>
        </is>
      </c>
      <c r="H104" s="158" t="n"/>
      <c r="I104" s="158" t="n"/>
      <c r="J104" s="158" t="n"/>
      <c r="K104" s="158">
        <f>COUNTIF(Log!$G$3:$G$402,"32. Give feedback to parents on assessment findings")</f>
        <v/>
      </c>
      <c r="L104" s="163">
        <f>IF(COUNTIF(Log!$G$3:$G$402,"32. Give feedback to parents on assessment findings")=0,"",SUMPRODUCT(MAX((Log!$G$3:$G$402="32. Give feedback to parents on assessment findings")*Log!$A$3:$A$402)))</f>
        <v/>
      </c>
      <c r="M104" s="164" t="inlineStr">
        <is>
          <t>▸  CORU 2.1
     Be able to communicate diagnosis/assessment and/or treatment/management options in a way that can be understood by the service user
▸  CORU 2.2
     Be able to modify and adapt communication methods and styles, including verbal and non-verbal methods, to suit the individual service user, considering issues of language, age, culture, beliefs and health and/or social care needs
▸  CORU 5.27
     Be able to produce clear, concise, accessible and accurate reports — devised in collaboration with service users, as appropriate — that are suitable for the intended audience and context of their use, in order to communicate and justify professional opinions made</t>
        </is>
      </c>
      <c r="N104" s="164" t="inlineStr">
        <is>
          <t>▸  PSI 1.2.8
     Be acutely aware of the need for discretion in recording and communicating information, so as to prevent it being interpreted or used to the detriment of others: not recording information which could lead to misinterpretation; avoiding conjecture; clearly labelling opinion; and communicating in language the recipient can understand.
▸  PSI 4.3.1
     Respect the right of clients and research participants to receive an appropriate explanation of the nature, purpose and results of investigations, assessments and research findings, in language they can understand.</t>
        </is>
      </c>
      <c r="O104" s="165" t="inlineStr">
        <is>
          <t>This is where the assessment becomes real to the family and where it is most easily wasted. A parent who does not understand the findings cannot advocate for their child, and parental advocacy does more over a school career than any single recommendation you write.</t>
        </is>
      </c>
      <c r="P104" s="165" t="inlineStr">
        <is>
          <t>▸  Headline first
     Parents wait through explanation for the verdict and hear almost none of it. Give the finding plainly in the first two minutes, then the detail, then what it means, then what happens next.
▸  Plain language as a professional obligation
     PSI 1.2.8 requires communicating in language the recipient can understand. Replace percentile with a comparison to peers; replace working memory with holding information in mind while doing something with it. If you cannot explain a finding without the technical term, you do not yet understand it well enough to report it.
▸  Strengths that are real
     Lead with a strength, but only one you can evidence from the assessment. Invented strengths are heard as consolation and undermine everything else you say.
▸  When the parent disagrees
     Ask what they see that is different. Parents have far more data than you do. A disagreement is either information you lack or a difference in what the behaviour means — both are worth the time, and neither is resolved by repeating the finding.
▸  Checking it landed
     Ask them to say back what they will tell someone else. It is the only reliable check, and it routinely reveals that the central message did not survive.</t>
        </is>
      </c>
      <c r="Q104" s="165" t="inlineStr">
        <is>
          <t>▸  CORU Standards of Proficiency 2.1, 2.2 and 5.27 — full text on this sheet, Part B.
▸  PSI Code of Professional Ethics (2025), 1.2.8 and 4.3.1 — full text on this sheet, Part B.
▸  Frederickson, N., &amp; Cline, T. (2009) — on working with families.
▸  Tervalon, M., &amp; Murray-García, J. (1998). Cultural humility versus cultural competence.</t>
        </is>
      </c>
      <c r="R104" s="166" t="inlineStr">
        <is>
          <t>✗  Leading with scores.
✗  Using technical language and checking understanding with 'does that make sense?'
✗  Inventing a strength.
✗  Repeating a finding a parent disputes.
✗  No check that the message landed.</t>
        </is>
      </c>
      <c r="S104" s="154" t="inlineStr">
        <is>
          <t>▸  GRADE 3
     You deliver findings accurately to parents.
▸  GRADE 4
     You lead with the headline, translate into plain language, and check understanding.
▸  GRADE 5
     You handle disagreement as information, and the parent leaves able to explain the findings to someone else.</t>
        </is>
      </c>
      <c r="T104" s="165" t="inlineStr">
        <is>
          <t>▸  BLOCK 1 · Preparing
     [20 minutes per session  ·  Weeks 3–6  ·  Habit]
     Knowing the order and having the plain-language version ready.
     How you build it: Write the first three sentences and the three hardest translations before every session.
     ·  Prepare the structure before the meeting
          you have it when: You knew the order you would take
          [CORU SoP 2.1]
     ·  Use plain language and check understanding
          you have it when: You checked
          [PSI Code 4.3.1]
▸  BLOCK 2 · Leading with the person
     [Habit  ·  Weeks 7–12  ·  Habit]
     Describing the child rather than the scores.
     How you build it: Write two sentences about the child that contain no numbers. Open with those.
     ·  Lead with the child, not the scores
          you have it when: The child is recognisable in your description
          [CORU SoP 5.27]
     ·  Name strengths specifically
          you have it when: Not generic praise
          [CORU SoP 1.3]
▸  BLOCK 3 · Managing distress
     [2 hours, then practice  ·  Ongoing all year  ·  Practice]
     Slowing down rather than pushing through.
     How you build it: Ask your supervisor what they do. Have your own two sentences ready.
     ·  Hold distress without rushing past it
          you have it when: You slowed down
          [CORU SoP 2.2]
     ·  Leave the parent with something concrete
          you have it when: They know what happens next
          [CORU SoP 2.16]</t>
        </is>
      </c>
      <c r="U104" s="165" t="inlineStr">
        <is>
          <t>No full chapter yet.</t>
        </is>
      </c>
      <c r="V104" s="165" t="inlineStr">
        <is>
          <t>—</t>
        </is>
      </c>
      <c r="W104" s="165" t="inlineStr">
        <is>
          <t>Table 2 area 5 · every countersigned report · Appendix 7 · Appendix 5 MDT entries</t>
        </is>
      </c>
      <c r="X104" s="165" t="inlineStr">
        <is>
          <t>UNCRC Art. 12 — the child's right to be heard · GDPR — lawful information sharing</t>
        </is>
      </c>
      <c r="Y104" s="165" t="inlineStr">
        <is>
          <t>Year 1 — You lead from Year 2, including difficult feedback.</t>
        </is>
      </c>
    </row>
    <row r="105" ht="408.75" customHeight="1" s="128">
      <c r="A105" s="158" t="inlineStr">
        <is>
          <t>SKILL</t>
        </is>
      </c>
      <c r="B105" s="159" t="inlineStr">
        <is>
          <t>5. Working with Others</t>
        </is>
      </c>
      <c r="C105" s="160" t="inlineStr">
        <is>
          <t>▸  Knowing the standard
▸  Writing defensibly
▸  Writing them at all</t>
        </is>
      </c>
      <c r="D105" s="161" t="inlineStr">
        <is>
          <t>33. Keep case notes to service standard</t>
        </is>
      </c>
      <c r="E105" s="158" t="inlineStr">
        <is>
          <t>Macro skill</t>
        </is>
      </c>
      <c r="F105" s="161" t="inlineStr">
        <is>
          <t>33. Keep case notes to service standard</t>
        </is>
      </c>
      <c r="G105" s="162" t="inlineStr">
        <is>
          <t>Everything about this skill is on this row. Scroll right.</t>
        </is>
      </c>
      <c r="H105" s="158" t="n"/>
      <c r="I105" s="158" t="n"/>
      <c r="J105" s="158" t="n"/>
      <c r="K105" s="158">
        <f>COUNTIF(Log!$G$3:$G$402,"33. Keep case notes to service standard")</f>
        <v/>
      </c>
      <c r="L105" s="163">
        <f>IF(COUNTIF(Log!$G$3:$G$402,"33. Keep case notes to service standard")=0,"",SUMPRODUCT(MAX((Log!$G$3:$G$402="33. Keep case notes to service standard")*Log!$A$3:$A$402)))</f>
        <v/>
      </c>
      <c r="M105" s="164" t="inlineStr">
        <is>
          <t>▸  CORU 1.13
     Be aware of current data protection, freedom of information and other legislation relevant to the profession and be able to access new and emerging legislation
▸  CORU 2.8
     Be able to produce clear, concise, accurate and objective documentation
▸  CORU 2.10
     Be aware of and comply with local/national documentation standards including, for example, terminology and signature requirements</t>
        </is>
      </c>
      <c r="N105" s="164" t="inlineStr">
        <is>
          <t>▸  PSI 1.2.8
     Be acutely aware of the need for discretion in recording and communicating information, so as to prevent it being interpreted or used to the detriment of others: not recording information which could lead to misinterpretation; avoiding conjecture; clearly labelling opinion; and communicating in language the recipient can understand.
▸  PSI 4.2.5
     Take care in communicating their knowledge, findings and views to clearly differentiate facts, opinions, theories, hypotheses and ideas.
▸  PSI 4.3.1
     Respect the right of clients and research participants to receive an appropriate explanation of the nature, purpose and results of investigations, assessments and research findings, in language they can understand.</t>
        </is>
      </c>
      <c r="O105" s="165" t="inlineStr">
        <is>
          <t>Case notes are a legal record, disclosable under GDPR subject access and potentially in court. They are also the thing your review named — record keeping and write-up of observations and consultations. Notes written on the day take minutes; notes reconstructed take hours and are visibly reconstructed.</t>
        </is>
      </c>
      <c r="P105" s="165" t="inlineStr">
        <is>
          <t>▸  What goes in
     Date, time, location, who was present, what was done, what was observed, what was decided, what happens next and by whom. Factual and contemporaneous.
▸  Separating observation from inference
     'Left his seat four times in twenty minutes' is observation. 'Was not engaged' is inference. Record the first and label the second as your view. PSI 1.2.8 requires avoiding conjecture and clearly labelling opinion — this is the clause that protects you when a note is disclosed.
▸  Writing as though it will be read by the family
     Because it may be. Subject access requests are real. Would you be comfortable with the parent reading this sentence? If not, rewrite it — not to hide the finding, but to state it professionally.
▸  Storage and retention
     Follow NEPS protocol on where notes live, how they transfer, and how long they are kept. Do not keep identifiable material on a personal device. PSI 1.2.6 and 1.2.7 and the GDPR minimisation principle all apply, and this is the area where trainees most often slip through convenience.
▸  Same-day discipline
     Write in the car before you drive off. Eight minutes, accurate, done. This single habit addresses the development area more than anything else in this skill.</t>
        </is>
      </c>
      <c r="Q105" s="165" t="inlineStr">
        <is>
          <t>▸  PSI Code of Professional Ethics (2025), 1.2.6, 1.2.7 and 1.2.8 — full text on this sheet, Part B.
▸  CORU Standards of Proficiency 2.8, 2.10 and 1.13 — full text on this sheet, Part B.
▸  Data Protection Commission — guidance for organisations on subject access and retention.
▸  General Data Protection Regulation — Article 5 principles.</t>
        </is>
      </c>
      <c r="R105" s="166" t="inlineStr">
        <is>
          <t>✗  Writing up in bulk days later.
✗  Recording inference as observation.
✗  Writing something you would not want the parent to read.
✗  Identifiable material on a personal device.
✗  Recording what was discussed but not what was decided.</t>
        </is>
      </c>
      <c r="S105" s="154" t="inlineStr">
        <is>
          <t>▸  GRADE 3
     You keep case notes.
▸  GRADE 4
     Written the same day, separating observation from inference, covering decisions and actions.
▸  GRADE 5
     Your notes would withstand a subject access request, and you can state the retention and storage rules you are working under.</t>
        </is>
      </c>
      <c r="T105" s="165" t="inlineStr">
        <is>
          <t>▸  BLOCK 1 · Knowing the standard
     [2 hours, once  ·  Weeks 1–2  ·  Study]
     This service's format, terminology, signature and retention requirements.
     How you build it: Read the records policy in week one. Ask for three sample notes.
     ·  Use the service's format and terminology
          you have it when: Notes match the service standard
          [CORU SoP 2.10]
     ·  Store and transfer records lawfully
          you have it when: Nothing identifiable on a personal device
          [GDPR · CORU SoP 1.13]
▸  BLOCK 2 · Writing defensibly
     [2 hours plus audit  ·  Weeks 3–6  ·  Practice]
     Fact separated from opinion, no conjecture, opinion labelled.
     How you build it: Have one week of notes audited by your supervisor early, while the habit is forming.
     ·  Separate fact from opinion and label opinion
          you have it when: A reader can tell which is which
          [PSI Code 1.2.8 · 4.2.5]
     ·  Avoid conjecture
          you have it when: You did not speculate in the record
          [PSI Code 1.2.8]
▸  BLOCK 3 · Writing them at all
     [Habit  ·  Weeks 1–2  ·  Habit]
     The discipline of same-day recording.
     How you build it: Block fifteen minutes after every contact. Defend it.
     ·  Write the same day
          you have it when: Notes are contemporaneous
          [CORU SoP 2.8]
     ·  Record consent, contacts and decisions
          you have it when: The file shows what you did and when
          [CORU SoP 1.15]</t>
        </is>
      </c>
      <c r="U105" s="165" t="inlineStr">
        <is>
          <t>No full chapter yet.</t>
        </is>
      </c>
      <c r="V105" s="165" t="inlineStr">
        <is>
          <t>—</t>
        </is>
      </c>
      <c r="W105" s="165" t="inlineStr">
        <is>
          <t>Table 2 area 5 · every countersigned report · Appendix 7 · Appendix 5 MDT entries</t>
        </is>
      </c>
      <c r="X105" s="165" t="inlineStr">
        <is>
          <t>GDPR · UNCRC Art. 12 — the child's right to be heard · GDPR — lawful information sharing</t>
        </is>
      </c>
      <c r="Y105" s="165" t="inlineStr">
        <is>
          <t>Year 1 — Standard rises with each service's requirements.</t>
        </is>
      </c>
    </row>
    <row r="106" ht="408.75" customHeight="1" s="128">
      <c r="A106" s="158" t="inlineStr">
        <is>
          <t>SKILL</t>
        </is>
      </c>
      <c r="B106" s="159" t="inlineStr">
        <is>
          <t>5. Working with Others</t>
        </is>
      </c>
      <c r="C106" s="160" t="inlineStr">
        <is>
          <t>▸  Knowing the template
▸  The four sections that carry the marks
▸  Writing for use</t>
        </is>
      </c>
      <c r="D106" s="161" t="inlineStr">
        <is>
          <t>34. Produce the psychological report to countersigning standard</t>
        </is>
      </c>
      <c r="E106" s="158" t="inlineStr">
        <is>
          <t>Macro skill</t>
        </is>
      </c>
      <c r="F106" s="161" t="inlineStr">
        <is>
          <t>34. Produce the psychological report to countersigning standard</t>
        </is>
      </c>
      <c r="G106" s="162" t="inlineStr">
        <is>
          <t>Everything about this skill is on this row. Scroll right.</t>
        </is>
      </c>
      <c r="H106" s="158" t="n"/>
      <c r="I106" s="158" t="n"/>
      <c r="J106" s="158" t="n"/>
      <c r="K106" s="158">
        <f>COUNTIF(Log!$G$3:$G$402,"34. Produce the psychological report to countersigning standard")</f>
        <v/>
      </c>
      <c r="L106" s="163">
        <f>IF(COUNTIF(Log!$G$3:$G$402,"34. Produce the psychological report to countersigning standard")=0,"",SUMPRODUCT(MAX((Log!$G$3:$G$402="34. Produce the psychological report to countersigning standard")*Log!$A$3:$A$402)))</f>
        <v/>
      </c>
      <c r="M106" s="164" t="inlineStr">
        <is>
          <t>▸  CORU 3.2
     Be able to justify the selection of and implement appropriate assessment techniques and be able to undertake and record a thorough, sensitive and detailed assessment
▸  CORU 5.27
     Be able to produce clear, concise, accessible and accurate reports — devised in collaboration with service users, as appropriate — that are suitable for the intended audience and context of their use, in order to communicate and justify professional opinions made
▸  CORU 5.32
     Interpret, synthesise and critically evaluate assessment data, within relevant conceptual frameworks, to inform case formulation and psychological intervention planning</t>
        </is>
      </c>
      <c r="N106" s="164" t="inlineStr">
        <is>
          <t>▸  PSI 1.2.8
     Be acutely aware of the need for discretion in recording and communicating information, so as to prevent it being interpreted or used to the detriment of others: not recording information which could lead to misinterpretation; avoiding conjecture; clearly labelling opinion; and communicating in language the recipient can understand.
▸  PSI 2.3.1
     Be mindful, when making decisions based on psychological data and techniques, of the limitations of such data and techniques.
▸  PSI 4.3.1
     Respect the right of clients and research participants to receive an appropriate explanation of the nature, purpose and results of investigations, assessments and research findings, in language they can understand.</t>
        </is>
      </c>
      <c r="O106" s="165" t="inlineStr">
        <is>
          <t>The report is the artefact that outlives you on the case. It is read by parents, teachers, SENOs and sometimes other services years later. Countersigning standard means your supervisor can put their name to it — which is a higher bar than 'accurate', because they are staking their registration on your reasoning.</t>
        </is>
      </c>
      <c r="P106" s="165" t="inlineStr">
        <is>
          <t>▸  The structure that works
     Reason for referral and the question being answered. What was done and when. Findings by source. Formulation, using a named framework. Recommendations by Continuum level, addressed to roles. Limitations. Review point. If your report has no limitations section it is not at countersigning standard.
▸  Answering the referral question
     Read it again before you write the conclusion. Reports routinely describe a child thoroughly and never answer what was asked. If the question cannot be answered, say so and say why.
▸  Integration rather than listing
     The findings section can be organised by source. The formulation cannot. It must name where sources agree, where they conflict, and what you make of the conflict. This is the single biggest difference between a grade 3 and a grade 5 report.
▸  Limitations that are specific
     Not 'all assessment has limitations' but 'the WISC-V was administered in English, which is [child]'s second language, so the Verbal Comprehension Index is likely to underestimate his reasoning; this is discussed in the interpretation.' Specific limitations demonstrate competence. Generic ones demonstrate a template.
▸  Writing for countersignature
     Send it with the raw data and your scoring. Expect substantial edits on the first few and treat them as teaching. Ask which changes were accuracy, which were house style, and which were reasoning — the third category is where the learning is.</t>
        </is>
      </c>
      <c r="Q106" s="165" t="inlineStr">
        <is>
          <t>▸  CORU Standards of Proficiency 5.27, 5.32 and 3.2 — full text on this sheet, Part B.
▸  Sattler, J. M. (2018). Assessment of children — the report-writing chapters.
▸  Monsen, J. J., &amp; Frederickson, N. (2008). The problem-analysis framework — for the formulation section.
▸  NEPS report templates and house style — ask your supervisor for the current version.</t>
        </is>
      </c>
      <c r="R106" s="166" t="inlineStr">
        <is>
          <t>✗  No limitations section.
✗  A formulation that lists findings in the order they were collected.
✗  Not answering the referral question.
✗  Recommendations with no Continuum level or named role.
✗  Treating supervisor edits as corrections rather than teaching.</t>
        </is>
      </c>
      <c r="S106" s="154" t="inlineStr">
        <is>
          <t>▸  GRADE 3
     You produce a complete, accurate report.
▸  GRADE 4
     It answers the referral question, uses a named framework, and carries specific limitations and a review point.
▸  GRADE 5
     It integrates sources including where they conflict, and requires only house-style edits from your supervisor.</t>
        </is>
      </c>
      <c r="T106" s="165" t="inlineStr">
        <is>
          <t>▸  BLOCK 1 · Knowing the template
     [3–4 hours, once  ·  Weeks 1–2  ·  Study]
     This service's structure and what belongs in each section.
     How you build it: Read five reports by experienced EPs in this service before writing your first.
     ·  Know the countersigning standard before drafting
          you have it when: You asked at the start
          [CORU SoP 2.10]
     ·  Proofread against the service template
          you have it when: No score or name errors
          [CORU SoP 2.8]
▸  BLOCK 2 · The four sections that carry the marks
     [Ongoing · 2–3 hours per report initially  ·  Weeks 7–12  ·  Practice]
     Tool rationale, integration, formulation, limitations.
     How you build it: Draft each separately and have each critiqued once.
     ·  Include a tool rationale
          you have it when: It is there
          [CORU SoP 3.2]
     ·  Include an integration section
          you have it when: Not a list of tests
          [CORU SoP 5.27 · 5.32]
     ·  Name the framework in the formulation
          you have it when: Named and cited
          [CORU SoP 5.29]
     ·  Include a limitations paragraph
          you have it when: Every report, no exceptions
          [PSI Code 2.3.1]
▸  BLOCK 3 · Writing for use
     [Habit  ·  Weeks 7–12  ·  Habit]
     Recommendations and language pitched at the person who will act.
     How you build it: Read it aloud. Anything you stumble over is badly written.
     ·  Write recommendations a teacher could act on Monday
          you have it when: Specific, resourced, dated
          [CORU SoP 5.34]
     ·  Quote the child's own words
          you have it when: The child appears as a person
          [UNCRC Art. 12]</t>
        </is>
      </c>
      <c r="U106" s="165" t="inlineStr">
        <is>
          <t>No full chapter yet.</t>
        </is>
      </c>
      <c r="V106" s="165" t="inlineStr">
        <is>
          <t>—</t>
        </is>
      </c>
      <c r="W106" s="165" t="inlineStr">
        <is>
          <t>Table 2 area 5 · every countersigned report · Appendix 7 · Appendix 5 MDT entries</t>
        </is>
      </c>
      <c r="X106" s="165" t="inlineStr">
        <is>
          <t>UNCRC Art. 12 · UNCRC Art. 12 — the child's right to be heard · GDPR — lawful information sharing</t>
        </is>
      </c>
      <c r="Y106" s="165" t="inlineStr">
        <is>
          <t>Year 1 — Report types diversify across Year 2 and 3; Table 3 requires seven categories.</t>
        </is>
      </c>
    </row>
    <row r="107" ht="408.75" customHeight="1" s="128">
      <c r="A107" s="158" t="inlineStr">
        <is>
          <t>SKILL</t>
        </is>
      </c>
      <c r="B107" s="159" t="inlineStr">
        <is>
          <t>5. Working with Others</t>
        </is>
      </c>
      <c r="C107" s="160" t="inlineStr">
        <is>
          <t>▸  Identifying the reader
▸  Producing more than one version</t>
        </is>
      </c>
      <c r="D107" s="161" t="inlineStr">
        <is>
          <t>35. Adapt written communication to the audience</t>
        </is>
      </c>
      <c r="E107" s="158" t="inlineStr">
        <is>
          <t>Macro skill</t>
        </is>
      </c>
      <c r="F107" s="161" t="inlineStr">
        <is>
          <t>35. Adapt written communication to the audience</t>
        </is>
      </c>
      <c r="G107" s="162" t="inlineStr">
        <is>
          <t>Everything about this skill is on this row. Scroll right.</t>
        </is>
      </c>
      <c r="H107" s="158" t="n"/>
      <c r="I107" s="158" t="n"/>
      <c r="J107" s="158" t="n"/>
      <c r="K107" s="158">
        <f>COUNTIF(Log!$G$3:$G$402,"35. Adapt written communication to the audience")</f>
        <v/>
      </c>
      <c r="L107" s="163">
        <f>IF(COUNTIF(Log!$G$3:$G$402,"35. Adapt written communication to the audience")=0,"",SUMPRODUCT(MAX((Log!$G$3:$G$402="35. Adapt written communication to the audience")*Log!$A$3:$A$402)))</f>
        <v/>
      </c>
      <c r="M107" s="164" t="inlineStr">
        <is>
          <t>▸  CORU 2.2
     Be able to modify and adapt communication methods and styles, including verbal and non-verbal methods, to suit the individual service user, considering issues of language, age, culture, beliefs and health and/or social care needs
▸  CORU 5.25
     Select, evaluate and revise communication approaches to promote inclusive communication appropriate to the context of practice and the intended audience
▸  CORU 5.27
     Be able to produce clear, concise, accessible and accurate reports — devised in collaboration with service users, as appropriate — that are suitable for the intended audience and context of their use, in order to communicate and justify professional opinions made</t>
        </is>
      </c>
      <c r="N107" s="164" t="inlineStr">
        <is>
          <t>▸  PSI 1.2.8
     Be acutely aware of the need for discretion in recording and communicating information, so as to prevent it being interpreted or used to the detriment of others: not recording information which could lead to misinterpretation; avoiding conjecture; clearly labelling opinion; and communicating in language the recipient can understand.
▸  PSI 4.3.1
     Respect the right of clients and research participants to receive an appropriate explanation of the nature, purpose and results of investigations, assessments and research findings, in language they can understand.</t>
        </is>
      </c>
      <c r="O107" s="165" t="inlineStr">
        <is>
          <t>The same findings have to reach a parent, a class teacher, a SENO and sometimes a consultant, and a single register cannot serve all of them. CORU 5.25 and 2.2 both require adapting communication to the audience — and in practice this is what determines whether your work is used.</t>
        </is>
      </c>
      <c r="P107" s="165" t="inlineStr">
        <is>
          <t>▸  Knowing each reader's question
     Parent: what does this mean for my child and what happens now. Class teacher: what do I do on Monday. SENCO: what level of support and what documentation. SENO: what is being applied for and what evidence supports it. Another professional: what did you find and how confident are you.
▸  Layering one document
     Rather than writing four documents, layer one: a plain-language summary at the top, technical detail in the body, role-addressed recommendations at the end. Most readers read the first page and the recommendations — put the load-bearing content there.
▸  Writing the summary last and hardest
     The one-page summary is the most-read and least-drafted page in most reports. Write it after everything else, and cut every term you have not explained.
▸  Adjusting for reading level and language
     If the report will be read through an interpreter or by a parent reading in a second language, shorter sentences and no idiom. State in the report that it was prepared with that in mind. You did this at Boyle for a report issued in Ukrainian — it is strong evidence and should be logged.
▸  The test
     Give the recommendations section to someone outside psychology and ask what they would do first. If they cannot say, rewrite it.</t>
        </is>
      </c>
      <c r="Q107" s="165" t="inlineStr">
        <is>
          <t>▸  CORU Standards of Proficiency 2.2, 5.25 and 5.27 — full text on this sheet, Part B.
▸  PSI Code of Professional Ethics (2025), 1.2.8 and 4.3.1 — full text on this sheet, Part B.
▸  Plain English guidance — NALA guidelines for writing for the public.
▸  Harvey, V. S. (2006). Variables affecting the clarity of psychological reports. Journal of Clinical Psychology, 62(1).</t>
        </is>
      </c>
      <c r="R107" s="166" t="inlineStr">
        <is>
          <t>✗  One register for all readers.
✗  Technical terms in the recommendations section.
✗  Writing the summary first and never revising it.
✗  Idiom in a report read through an interpreter.
✗  Never testing readability on a non-psychologist.</t>
        </is>
      </c>
      <c r="S107" s="154" t="inlineStr">
        <is>
          <t>▸  GRADE 3
     Your written work is accurate and professional.
▸  GRADE 4
     You layer the document and write recommendations addressed to roles in plain language.
▸  GRADE 5
     You adapt deliberately for reading level, language and interpreter use, and record that you did.</t>
        </is>
      </c>
      <c r="T107" s="165" t="inlineStr">
        <is>
          <t>▸  BLOCK 1 · Identifying the reader
     [Habit  ·  Weeks 3–6  ·  Habit]
     Knowing who this is for before you write a word.
     How you build it: Name the primary reader at the top of every draft. Delete it before sending.
     ·  Judge who will read this and what they need
          you have it when: You can name the primary reader
          [CORU SoP 5.27]
▸  BLOCK 2 · Producing more than one version
     [2–3 hours to learn  ·  Weeks 7–12  ·  Practice]
     A report and a plain-language summary, or a report with an accessible section.
     How you build it: Write one plain-language summary for a real case. It takes forty minutes the first time.
     ·  Change register between family and professional audiences
          you have it when: Two versions read differently
          [CORU SoP 2.2 · 5.25]
     ·  Produce an accessible or plain-language version
          you have it when: It exists where it is needed
          [Equal Status Acts]
     ·  Check the young person could read what is written about them
          you have it when: You considered them as a reader
          [UNCRC Art. 12]</t>
        </is>
      </c>
      <c r="U107" s="165" t="inlineStr">
        <is>
          <t>No full chapter yet.</t>
        </is>
      </c>
      <c r="V107" s="165" t="inlineStr">
        <is>
          <t>—</t>
        </is>
      </c>
      <c r="W107" s="165" t="inlineStr">
        <is>
          <t>Table 2 area 5 · every countersigned report · Appendix 7 · Appendix 5 MDT entries</t>
        </is>
      </c>
      <c r="X107" s="165" t="inlineStr">
        <is>
          <t>Equal Status Acts · UNCRC Art. 12 · UNCRC Art. 12 — the child's right to be heard · GDPR — lawful information sharing</t>
        </is>
      </c>
      <c r="Y107" s="165" t="inlineStr">
        <is>
          <t>Year 1 — Widest range of audiences in Year 3 funder settings.</t>
        </is>
      </c>
    </row>
    <row r="108" ht="19.5" customHeight="1" s="128">
      <c r="A108" s="147" t="inlineStr">
        <is>
          <t>COMP</t>
        </is>
      </c>
      <c r="B108" s="147" t="inlineStr">
        <is>
          <t>6. Ethical Practice</t>
        </is>
      </c>
      <c r="C108" s="147" t="n"/>
      <c r="D108" s="147" t="n"/>
      <c r="E108" s="147" t="inlineStr">
        <is>
          <t>7 macro skills · 1 referral areas</t>
        </is>
      </c>
      <c r="F108" s="147" t="n"/>
      <c r="G108" s="147" t="n"/>
      <c r="H108" s="147" t="n"/>
      <c r="I108" s="147" t="n"/>
      <c r="J108" s="147" t="n"/>
      <c r="K108" s="147" t="n"/>
      <c r="L108" s="147" t="n"/>
      <c r="M108" s="147" t="n"/>
      <c r="N108" s="147" t="n"/>
      <c r="O108" s="147" t="n"/>
      <c r="P108" s="147" t="n"/>
      <c r="Q108" s="147" t="n"/>
      <c r="R108" s="147" t="n"/>
      <c r="S108" s="147" t="n"/>
      <c r="T108" s="147" t="n"/>
      <c r="U108" s="147" t="n"/>
      <c r="V108" s="147" t="n"/>
      <c r="W108" s="147" t="n"/>
      <c r="X108" s="147" t="n"/>
      <c r="Y108" s="147" t="n"/>
      <c r="Z108" s="147" t="n"/>
      <c r="AA108" s="147" t="n"/>
      <c r="AB108" s="147" t="n"/>
      <c r="AC108" s="147" t="n"/>
      <c r="AD108" s="147" t="n"/>
      <c r="AE108" s="147" t="n"/>
      <c r="AF108" s="147" t="n"/>
      <c r="AG108" s="147" t="n"/>
      <c r="AH108" s="147" t="n"/>
      <c r="AI108" s="147" t="n"/>
      <c r="AJ108" s="147" t="n"/>
      <c r="AK108" s="147" t="n"/>
    </row>
    <row r="109" ht="169.5" customHeight="1" s="128">
      <c r="A109" s="148" t="n"/>
      <c r="B109" s="149" t="inlineStr">
        <is>
          <t>6. Ethical Practice</t>
        </is>
      </c>
      <c r="C109" s="149" t="n"/>
      <c r="D109" s="148" t="n"/>
      <c r="E109" s="148" t="inlineStr">
        <is>
          <t>What CORU asks of this competency — verbatim</t>
        </is>
      </c>
      <c r="F109" s="133" t="inlineStr">
        <is>
          <t>15 standards across this competency</t>
        </is>
      </c>
      <c r="G109" s="133" t="n"/>
      <c r="H109" s="149" t="n"/>
      <c r="I109" s="149" t="n"/>
      <c r="J109" s="149" t="n"/>
      <c r="K109" s="148" t="n"/>
      <c r="L109" s="148" t="n"/>
      <c r="M109" s="150" t="inlineStr">
        <is>
          <t>▸  CORU 1.2
     Be able to identify the limits of their practice and know when to seek advice and additional expertise or refer to another professional</t>
        </is>
      </c>
      <c r="N109" s="150" t="inlineStr">
        <is>
          <t>▸  CORU 1.3
     Be able to act in the best interest of service users at all times with due regard to their will and preference</t>
        </is>
      </c>
      <c r="O109" s="150" t="inlineStr">
        <is>
          <t>▸  CORU 1.9
     Understand the role of policies and systems to protect the health, safety, welfare, equality and dignity of service users, staff and volunteers</t>
        </is>
      </c>
      <c r="P109" s="150" t="inlineStr">
        <is>
          <t>▸  CORU 1.12
     Understand and be able to apply the limits of the concept of confidentiality particularly in relation to child protection, vulnerable adults and elder abuse</t>
        </is>
      </c>
      <c r="Q109" s="150" t="inlineStr">
        <is>
          <t>▸  CORU 1.13
     Be aware of current data protection, freedom of information and other legislation relevant to the profession and be able to access new and emerging legislation</t>
        </is>
      </c>
      <c r="R109" s="150" t="inlineStr">
        <is>
          <t>▸  CORU 1.15
     Be able to gain informed consent to carry out assessments or provide treatment/interventions and document evidence that consent has been obtained</t>
        </is>
      </c>
      <c r="S109" s="150" t="inlineStr">
        <is>
          <t>▸  CORU 1.16
     Be aware of current legislation and guidelines related to informed consent for individuals with lack of capacity</t>
        </is>
      </c>
      <c r="T109" s="150" t="inlineStr">
        <is>
          <t>▸  CORU 1.18
     Be able to take responsibility for managing one's own workload as appropriate</t>
        </is>
      </c>
      <c r="U109" s="150" t="inlineStr">
        <is>
          <t>▸  CORU 1.19
     Understand the principles of professional decision-making and be able to make informed decisions within the context of competing demands including those relating to ethical conflicts and available resources</t>
        </is>
      </c>
      <c r="V109" s="150" t="inlineStr">
        <is>
          <t>▸  CORU 1.20
     Be aware of and be able to take responsibility for managing one's own health and wellbeing</t>
        </is>
      </c>
      <c r="W109" s="150" t="inlineStr">
        <is>
          <t>▸  CORU 2.2
     Be able to modify and adapt communication methods and styles, including verbal and non-verbal methods, to suit the individual service user, considering issues of language, age, culture, beliefs and health and/or social care needs</t>
        </is>
      </c>
      <c r="X109" s="150" t="inlineStr">
        <is>
          <t>▸  CORU 3.12
     Be able to carry out and document a risk analysis and implement effective risk management controls and strategies; be able to clearly communicate any identified risk, adverse events or near misses in line with current legislation/guidelines</t>
        </is>
      </c>
      <c r="Y109" s="150" t="inlineStr">
        <is>
          <t>▸  CORU 3.13
     Be able to comply with relevant and current health and safety legislation and guidelines</t>
        </is>
      </c>
      <c r="Z109" s="150" t="inlineStr">
        <is>
          <t>▸  CORU 4.1
     Be able to engage in and take responsibility for professional development</t>
        </is>
      </c>
      <c r="AA109" s="150" t="inlineStr">
        <is>
          <t>▸  CORU 5.45
     Be able to recognise personal emotional responses and the impact of trauma, as identified through professional/therapeutic practice and supervision, and use appropriate tools to develop effective self-care to maintain professional functioning</t>
        </is>
      </c>
    </row>
    <row r="110" ht="169.5" customHeight="1" s="128">
      <c r="A110" s="148" t="n"/>
      <c r="B110" s="149" t="inlineStr">
        <is>
          <t>6. Ethical Practice</t>
        </is>
      </c>
      <c r="C110" s="149" t="n"/>
      <c r="D110" s="148" t="n"/>
      <c r="E110" s="148" t="inlineStr">
        <is>
          <t>What the PSI Code asks of this competency — verbatim</t>
        </is>
      </c>
      <c r="F110" s="133" t="inlineStr">
        <is>
          <t>10 clauses across this competency</t>
        </is>
      </c>
      <c r="G110" s="133" t="n"/>
      <c r="H110" s="149" t="n"/>
      <c r="I110" s="149" t="n"/>
      <c r="J110" s="149" t="n"/>
      <c r="K110" s="148" t="n"/>
      <c r="L110" s="148" t="n"/>
      <c r="M110" s="150" t="inlineStr">
        <is>
          <t>▸  PSI 1.2.9
     Inform those to whom they offer services about legal limits on confidentiality where appropriate.</t>
        </is>
      </c>
      <c r="N110" s="150" t="inlineStr">
        <is>
          <t>▸  PSI 1.3.5
     Ensure at least the following are understood: purpose and nature of the activity; mutual responsibilities; likely benefits and risks; alternatives; consequences of non-action; the option to refuse or withdraw at any time without prejudice; the period the consent applies to; and how to rescind consent.</t>
        </is>
      </c>
      <c r="O110" s="150" t="inlineStr">
        <is>
          <t>▸  PSI 1.3.10
     Seek willing and adequately informed participation from any person of diminished capacity, and proceed without consent only if the activity is of direct benefit to that person.</t>
        </is>
      </c>
      <c r="P110" s="150" t="inlineStr">
        <is>
          <t>▸  PSI 1.4.3
     Respect the right of individuals to discontinue participation or service at any time, and be responsive to non-verbal indications of a desire to discontinue.</t>
        </is>
      </c>
      <c r="Q110" s="150" t="inlineStr">
        <is>
          <t>▸  PSI 2.2.2
     Recognise the boundaries of their competence, and do not exceed these.</t>
        </is>
      </c>
      <c r="R110" s="150" t="inlineStr">
        <is>
          <t>▸  PSI 2.2.3
     Offer or carry out (without supervision) only those professional activities for which they have established their competence to practise to the benefit of others.</t>
        </is>
      </c>
      <c r="S110" s="150" t="inlineStr">
        <is>
          <t>▸  PSI 2.5.1
     Refrain from practice when professional judgment or ability to benefit and not harm others is seriously impaired by a physical or psychological condition; and seek competent professional assistance to determine whether to limit, suspend or terminate professional activity.</t>
        </is>
      </c>
      <c r="T110" s="150" t="inlineStr">
        <is>
          <t>▸  PSI 3.3.6
     Take all reasonable steps to ensure tests and assessment methods are only used by those qualified and trained to do so.</t>
        </is>
      </c>
      <c r="U110" s="150" t="inlineStr">
        <is>
          <t>▸  PSI 3.4.3
     When referring a client, maintain support and responsibility for caring until contact has commenced with the agent to whom referral was made.</t>
        </is>
      </c>
      <c r="V110" s="150" t="inlineStr">
        <is>
          <t>▸  PSI 4.1.2
     Seek emotional support and/or supervision from colleagues when feeling stressed or vulnerable due to professional dilemmas.</t>
        </is>
      </c>
    </row>
    <row r="111" ht="109.5" customHeight="1" s="128">
      <c r="A111" s="151" t="n"/>
      <c r="B111" s="152" t="inlineStr">
        <is>
          <t>6. Ethical Practice</t>
        </is>
      </c>
      <c r="C111" s="152" t="n"/>
      <c r="D111" s="151" t="n"/>
      <c r="E111" s="151" t="inlineStr">
        <is>
          <t>Three-year arc</t>
        </is>
      </c>
      <c r="F111" s="153" t="inlineStr">
        <is>
          <t>What good looks like each year</t>
        </is>
      </c>
      <c r="G111" s="153" t="n"/>
      <c r="H111" s="152" t="n"/>
      <c r="I111" s="152" t="n"/>
      <c r="J111" s="152" t="n"/>
      <c r="K111" s="151" t="n"/>
      <c r="L111" s="151" t="n"/>
      <c r="M111" s="154" t="inlineStr">
        <is>
          <t>Year 1 — You get vetted, get inducted, take consent properly and know the child protection route. Compliance first.</t>
        </is>
      </c>
      <c r="N111" s="154" t="inlineStr">
        <is>
          <t>Year 2 — You work dilemmas through the Appendix A procedure and hold competence limits under pressure.</t>
        </is>
      </c>
      <c r="O111" s="154" t="inlineStr">
        <is>
          <t>Year 3 — You manage risk in high-risk contexts and speak to organisational practice that conflicts with the Code.</t>
        </is>
      </c>
    </row>
    <row r="112" ht="30" customHeight="1" s="128">
      <c r="A112" s="155" t="n"/>
      <c r="B112" s="155" t="n"/>
      <c r="C112" s="155" t="n"/>
      <c r="D112" s="155" t="n"/>
      <c r="E112" s="155" t="n"/>
      <c r="F112" s="156" t="inlineStr">
        <is>
          <t>one skill = one row →</t>
        </is>
      </c>
      <c r="G112" s="155" t="n"/>
      <c r="H112" s="155" t="n"/>
      <c r="I112" s="155" t="n"/>
      <c r="J112" s="155" t="n"/>
      <c r="K112" s="155" t="n"/>
      <c r="L112" s="155" t="n"/>
      <c r="M112" s="157" t="inlineStr">
        <is>
          <t>1 · CORU — number and focus</t>
        </is>
      </c>
      <c r="N112" s="157" t="inlineStr">
        <is>
          <t>2 · PSI — number and focus</t>
        </is>
      </c>
      <c r="O112" s="157" t="inlineStr">
        <is>
          <t>3 · Why this matters</t>
        </is>
      </c>
      <c r="P112" s="157" t="inlineStr">
        <is>
          <t>4 · Teaching — how you build it</t>
        </is>
      </c>
      <c r="Q112" s="157" t="inlineStr">
        <is>
          <t>5 · What to read</t>
        </is>
      </c>
      <c r="R112" s="157" t="inlineStr">
        <is>
          <t>6 · Common errors that cost marks</t>
        </is>
      </c>
      <c r="S112" s="157" t="inlineStr">
        <is>
          <t>7 · Rubric — grade 3, 4, 5</t>
        </is>
      </c>
      <c r="T112" s="157" t="inlineStr">
        <is>
          <t>8 · Blocks and micro-skills with pass tests</t>
        </is>
      </c>
      <c r="U112" s="157" t="inlineStr">
        <is>
          <t>9 · Full chapter, where written</t>
        </is>
      </c>
      <c r="V112" s="157" t="inlineStr">
        <is>
          <t>10 · Referral areas this skill serves</t>
        </is>
      </c>
      <c r="W112" s="157" t="inlineStr">
        <is>
          <t>11 · Where the evidence goes</t>
        </is>
      </c>
      <c r="X112" s="157" t="inlineStr">
        <is>
          <t>12 · Law and policy</t>
        </is>
      </c>
      <c r="Y112" s="157" t="inlineStr">
        <is>
          <t>13 · Year and how it extends</t>
        </is>
      </c>
      <c r="Z112" s="157" t="inlineStr">
        <is>
          <t>14 · —</t>
        </is>
      </c>
      <c r="AA112" s="157" t="inlineStr">
        <is>
          <t>15 · —</t>
        </is>
      </c>
      <c r="AB112" s="157" t="inlineStr">
        <is>
          <t>16 · —</t>
        </is>
      </c>
      <c r="AC112" s="157" t="inlineStr">
        <is>
          <t>17 · —</t>
        </is>
      </c>
      <c r="AD112" s="157" t="inlineStr">
        <is>
          <t>18 · —</t>
        </is>
      </c>
      <c r="AE112" s="157" t="inlineStr">
        <is>
          <t>19 · —</t>
        </is>
      </c>
      <c r="AF112" s="157" t="inlineStr">
        <is>
          <t>20 · —</t>
        </is>
      </c>
    </row>
    <row r="113" ht="408.75" customHeight="1" s="128">
      <c r="A113" s="158" t="inlineStr">
        <is>
          <t>SKILL</t>
        </is>
      </c>
      <c r="B113" s="159" t="inlineStr">
        <is>
          <t>6. Ethical Practice</t>
        </is>
      </c>
      <c r="C113" s="160" t="inlineStr">
        <is>
          <t>▸  Getting cleared
▸  Knowing what it obliges you to do</t>
        </is>
      </c>
      <c r="D113" s="161" t="inlineStr">
        <is>
          <t>36. Garda vetting and Children First certification</t>
        </is>
      </c>
      <c r="E113" s="158" t="inlineStr">
        <is>
          <t>Macro skill</t>
        </is>
      </c>
      <c r="F113" s="161" t="inlineStr">
        <is>
          <t>36. Garda vetting and Children First certification</t>
        </is>
      </c>
      <c r="G113" s="162" t="inlineStr">
        <is>
          <t>Everything about this skill is on this row. Scroll right.</t>
        </is>
      </c>
      <c r="H113" s="158" t="n"/>
      <c r="I113" s="158" t="n"/>
      <c r="J113" s="158" t="n"/>
      <c r="K113" s="158">
        <f>COUNTIF(Log!$G$3:$G$402,"36. Garda vetting and Children First certification")</f>
        <v/>
      </c>
      <c r="L113" s="163">
        <f>IF(COUNTIF(Log!$G$3:$G$402,"36. Garda vetting and Children First certification")=0,"",SUMPRODUCT(MAX((Log!$G$3:$G$402="36. Garda vetting and Children First certification")*Log!$A$3:$A$402)))</f>
        <v/>
      </c>
      <c r="M113" s="164" t="inlineStr">
        <is>
          <t>▸  CORU 1.12
     Understand and be able to apply the limits of the concept of confidentiality particularly in relation to child protection, vulnerable adults and elder abuse</t>
        </is>
      </c>
      <c r="N113" s="164" t="inlineStr">
        <is>
          <t>—</t>
        </is>
      </c>
      <c r="O113" s="165" t="inlineStr">
        <is>
          <t>This is the gate. Without vetting in place you cannot be alone with a child, and without Children First training you do not know what your legal obligations are. It is administrative and it is also the point at which you become a mandated person under statute — which is a change in your legal position, not a formality.</t>
        </is>
      </c>
      <c r="P113" s="165" t="inlineStr">
        <is>
          <t>▸  What vetting covers and does not
     Garda vetting discloses convictions and specified information. It is not a character reference and it does not expire in a way that lets you assume it transfers. It is held by the organisation that requested it. Moving from Roscommon to Cavan may require re-vetting through the new service — check in week one rather than discovering it when a school asks.
▸  Children First training
     Complete the Tusla e-learning module and keep the certificate. It explains the categories of abuse, the reporting thresholds, and the role of the mandated person. Do it before placement, not during.
▸  What being a mandated person means
     Under the Children First Act 2015 a mandated person must report knowledge, belief or reasonable suspicion that a child has been, is being, or is at risk of being harmed, above defined thresholds, to Tusla. This is a legal duty, it sits alongside the school's DLP route rather than replacing it, and it does not depend on your supervisor agreeing.
▸  Knowing the school's route too
     Every school has a Designated Liaison Person. Get the name for each school you work in, on your first visit, and write it somewhere you will find it under pressure.
▸  Keeping the paperwork
     Certificate, vetting confirmation and dates go in the portfolio. It is evidence and it is also the thing UCD will ask for.</t>
        </is>
      </c>
      <c r="Q113" s="165" t="inlineStr">
        <is>
          <t>▸  Children First Act 2015.
▸  Children First: National Guidance for the Protection and Welfare of Children (DCEDIY).
▸  Tusla Children First e-learning module.
▸  National Vetting Bureau (Children and Vulnerable Persons) Acts 2012–2016.</t>
        </is>
      </c>
      <c r="R113" s="166" t="inlineStr">
        <is>
          <t>✗  Assuming vetting transfers between services.
✗  Leaving Children First training until mid-placement.
✗  Not knowing you are a mandated person under statute.
✗  Not having the DLP's name for the school you are in today.
✗  No certificate in the portfolio.</t>
        </is>
      </c>
      <c r="S113" s="154" t="inlineStr">
        <is>
          <t>▸  GRADE 3
     Vetting and training are complete and evidenced.
▸  GRADE 4
     You can state what being a mandated person requires and the threshold for reporting.
▸  GRADE 5
     You know the DLP for every school on your caseload and hold both the statutory and school routes clearly.</t>
        </is>
      </c>
      <c r="T113" s="165" t="inlineStr">
        <is>
          <t>▸  BLOCK 1 · Getting cleared
     [1 hour of admin, weeks of waiting  ·  Before placement  ·  Habit]
     Submitting vetting early enough and completing the training.
     How you build it: Submit the moment you have the form. It takes weeks, not days.
     ·  Submit vetting early enough to clear before day one
          you have it when: Cleared, not pending
          [National Vetting Bureau Acts]
     ·  Complete Children First training and file the certificate
          you have it when: Certificate dated before placement
          [Children First Act 2015]
▸  BLOCK 2 · Knowing what it obliges you to do
     [3–4 hours, once  ·  Before placement  ·  Study]
     Thresholds, what mandated means, and that the duty is personal.
     How you build it: Read Children First National Guidance thresholds properly. Not the summary.
     ·  Know the Tusla reporting thresholds
          you have it when: You can state what reaches the threshold
          [Children First National Guidance]
     ·  Know you are a mandated person and what that means
          you have it when: The duty is personal, not delegable
          [Children First Act 2015]</t>
        </is>
      </c>
      <c r="U113" s="165" t="inlineStr">
        <is>
          <t>No full chapter yet.</t>
        </is>
      </c>
      <c r="V113" s="165" t="inlineStr">
        <is>
          <t>—</t>
        </is>
      </c>
      <c r="W113" s="165" t="inlineStr">
        <is>
          <t>Table 2 area 6 · Handbook §5 Fitness to Practise · §6.2 immediate concerns · Appendix 8</t>
        </is>
      </c>
      <c r="X113" s="165" t="inlineStr">
        <is>
          <t>Children First National Guidance · Children First Act 2015 · National Vetting Bureau Acts · Children First Act 2015</t>
        </is>
      </c>
      <c r="Y113" s="165" t="inlineStr">
        <is>
          <t>Year 1 — Re-vetting may be required per placement provider.</t>
        </is>
      </c>
    </row>
    <row r="114" ht="408.75" customHeight="1" s="128">
      <c r="A114" s="158" t="inlineStr">
        <is>
          <t>SKILL</t>
        </is>
      </c>
      <c r="B114" s="159" t="inlineStr">
        <is>
          <t>6. Ethical Practice</t>
        </is>
      </c>
      <c r="C114" s="160" t="inlineStr">
        <is>
          <t>▸  The safety layer
▸  The people layer
▸  The records layer</t>
        </is>
      </c>
      <c r="D114" s="161" t="inlineStr">
        <is>
          <t>37. Complete service induction</t>
        </is>
      </c>
      <c r="E114" s="158" t="inlineStr">
        <is>
          <t>Macro skill</t>
        </is>
      </c>
      <c r="F114" s="161" t="inlineStr">
        <is>
          <t>37. Complete service induction</t>
        </is>
      </c>
      <c r="G114" s="162" t="inlineStr">
        <is>
          <t>Everything about this skill is on this row. Scroll right.</t>
        </is>
      </c>
      <c r="H114" s="158" t="n"/>
      <c r="I114" s="158" t="n"/>
      <c r="J114" s="158" t="n"/>
      <c r="K114" s="158">
        <f>COUNTIF(Log!$G$3:$G$402,"37. Complete service induction")</f>
        <v/>
      </c>
      <c r="L114" s="163">
        <f>IF(COUNTIF(Log!$G$3:$G$402,"37. Complete service induction")=0,"",SUMPRODUCT(MAX((Log!$G$3:$G$402="37. Complete service induction")*Log!$A$3:$A$402)))</f>
        <v/>
      </c>
      <c r="M114" s="164" t="inlineStr">
        <is>
          <t>▸  CORU 1.9
     Understand the role of policies and systems to protect the health, safety, welfare, equality and dignity of service users, staff and volunteers
▸  CORU 1.13
     Be aware of current data protection, freedom of information and other legislation relevant to the profession and be able to access new and emerging legislation
▸  CORU 3.13
     Be able to comply with relevant and current health and safety legislation and guidelines</t>
        </is>
      </c>
      <c r="N114" s="164" t="inlineStr">
        <is>
          <t>▸  PSI 3.3.6
     Take all reasonable steps to ensure tests and assessment methods are only used by those qualified and trained to do so.</t>
        </is>
      </c>
      <c r="O114" s="165" t="inlineStr">
        <is>
          <t>Induction is where you learn the things that are never written down and that everyone assumes you know — where records live, how referrals arrive, what the lone-working policy is, who to ring. Skipping it does not save time; it moves the cost to the first day something goes wrong.</t>
        </is>
      </c>
      <c r="P114" s="165" t="inlineStr">
        <is>
          <t>▸  What to cover
     IT and systems access. Where case files are stored and the rules for taking them out. Referral pathway from arrival to closure. Health and safety, including lone working and travel. Expenses and mileage. The service's risk and child protection protocols. Who covers when your supervisor is absent. Data protection practice specific to the service.
▸  Lone working specifically
     You will drive alone to schools you do not know and sometimes visit homes. Know the service's lone working policy — who knows where you are, what the check-in arrangement is, what to do if a visit feels unsafe. CORU 3.13 and 3.14 cover establishing safe environments for practice, and this is the part trainees never think about until it matters.
▸  Reading the protocols rather than being told about them
     Ask for the documents. A summary from a colleague is not the protocol, and if something happens you will be held to what the protocol says.
▸  Writing your own induction note
     One page: systems, key names and numbers, protocols and where they live, the referral pathway. You will consult it for a month and it is portfolio evidence of CORU 1.9.
▸  Doing it again at Cavan
     A second service means a second induction. Different systems, different protocols, different DLPs. Do not assume the Roscommon induction covers it.</t>
        </is>
      </c>
      <c r="Q114" s="165" t="inlineStr">
        <is>
          <t>▸  CORU Standards of Proficiency 1.9, 1.13, 3.13 and 3.14 — full text on this sheet, Part B.
▸  Your NEPS service's induction pack, risk protocol and lone working policy — ask for them in week one.
▸  Safety, Health and Welfare at Work Act 2005.
▸  UCD Professional Placement Handbook, section 3.</t>
        </is>
      </c>
      <c r="R114" s="166" t="inlineStr">
        <is>
          <t>✗  Treating induction as a formality.
✗  Being told about protocols rather than reading them.
✗  Not knowing the lone working arrangement.
✗  No record of what induction covered.
✗  Assuming one service's induction covers the next.</t>
        </is>
      </c>
      <c r="S114" s="154" t="inlineStr">
        <is>
          <t>▸  GRADE 3
     You completed induction.
▸  GRADE 4
     You hold the protocols, know the referral pathway, and recorded it.
▸  GRADE 5
     You can state the lone working and risk procedures without looking them up, and you repeated induction properly at the new service.</t>
        </is>
      </c>
      <c r="T114" s="165" t="inlineStr">
        <is>
          <t>▸  BLOCK 1 · The safety layer
     [2–3 hours, once  ·  Weeks 1–2  ·  Study]
     Health and safety, lone working, home visit procedure.
     How you build it: Ask for the induction checklist in writing. Work through it.
     ·  Complete health and safety and lone working induction
          you have it when: You know the procedure for a home visit
          [CORU SoP 3.13 · 3.14]
▸  BLOCK 2 · The people layer
     [1 hour, week one  ·  Weeks 1–2  ·  Habit]
     Who the DLP is, who to contact for what, and how urgently.
     How you build it: Write the names and numbers on one card. Keep it with you.
     ·  Identify the DLP by name in week one
          you have it when: Written down, not looked up later
          [Handbook §6.2]
     ·  Learn the referral and risk pathways
          you have it when: You know what happens after you refer
          [CORU SoP 1.2]
▸  BLOCK 3 · The records layer
     [2 hours, once  ·  Weeks 1–2  ·  Study]
     Where records live, for how long, and what you may and may not do with them.
     How you build it: Read the information governance policy. Ask what the retention schedule is.
     ·  Learn the records, IT and information governance policy
          you have it when: You know where records live and for how long
          [GDPR · CORU SoP 1.13]
     ·  Ask which tools you may administer independently here
          you have it when: Agreed in writing in the Placement Plan
          [PSI Code 3.3.6]</t>
        </is>
      </c>
      <c r="U114" s="165" t="inlineStr">
        <is>
          <t>No full chapter yet.</t>
        </is>
      </c>
      <c r="V114" s="165" t="inlineStr">
        <is>
          <t>—</t>
        </is>
      </c>
      <c r="W114" s="165" t="inlineStr">
        <is>
          <t>Table 2 area 6 · Handbook §5 Fitness to Practise · §6.2 immediate concerns · Appendix 8 · §6.2</t>
        </is>
      </c>
      <c r="X114" s="165" t="inlineStr">
        <is>
          <t>Children First Act 2015 · GDPR and DPA 2018 · ADMCA 2015 · Vetting Acts 2012–2016 · GDPR</t>
        </is>
      </c>
      <c r="Y114" s="165" t="inlineStr">
        <is>
          <t>Year 1 — Repeated at every new placement, four times across the programme.</t>
        </is>
      </c>
    </row>
    <row r="115" ht="408.75" customHeight="1" s="128">
      <c r="A115" s="158" t="inlineStr">
        <is>
          <t>SKILL</t>
        </is>
      </c>
      <c r="B115" s="159" t="inlineStr">
        <is>
          <t>6. Ethical Practice</t>
        </is>
      </c>
      <c r="C115" s="160" t="inlineStr">
        <is>
          <t>▸  Knowing what consent requires
▸  Confidentiality and its limits
▸  Consent where it is complicated
▸  Recording it</t>
        </is>
      </c>
      <c r="D115" s="161" t="inlineStr">
        <is>
          <t>38. Obtain informed consent and assent</t>
        </is>
      </c>
      <c r="E115" s="158" t="inlineStr">
        <is>
          <t>Macro skill</t>
        </is>
      </c>
      <c r="F115" s="161" t="inlineStr">
        <is>
          <t>38. Obtain informed consent and assent</t>
        </is>
      </c>
      <c r="G115" s="162" t="inlineStr">
        <is>
          <t>Everything about this skill is on this row. Scroll right.</t>
        </is>
      </c>
      <c r="H115" s="158" t="n"/>
      <c r="I115" s="158" t="n"/>
      <c r="J115" s="158" t="n"/>
      <c r="K115" s="158">
        <f>COUNTIF(Log!$G$3:$G$402,"38. Obtain informed consent and assent")</f>
        <v/>
      </c>
      <c r="L115" s="163">
        <f>IF(COUNTIF(Log!$G$3:$G$402,"38. Obtain informed consent and assent")=0,"",SUMPRODUCT(MAX((Log!$G$3:$G$402="38. Obtain informed consent and assent")*Log!$A$3:$A$402)))</f>
        <v/>
      </c>
      <c r="M115" s="164" t="inlineStr">
        <is>
          <t>▸  CORU 1.3
     Be able to act in the best interest of service users at all times with due regard to their will and preference
▸  CORU 1.15
     Be able to gain informed consent to carry out assessments or provide treatment/interventions and document evidence that consent has been obtained
▸  CORU 1.16
     Be aware of current legislation and guidelines related to informed consent for individuals with lack of capacity</t>
        </is>
      </c>
      <c r="N115" s="164" t="inlineStr">
        <is>
          <t>▸  PSI 1.2.9
     Inform those to whom they offer services about legal limits on confidentiality where appropriate.
▸  PSI 1.3.5
     Ensure at least the following are understood: purpose and nature of the activity; mutual responsibilities; likely benefits and risks; alternatives; consequences of non-action; the option to refuse or withdraw at any time without prejudice; the period the consent applies to; and how to rescind consent.
▸  PSI 1.3.10
     Seek willing and adequately informed participation from any person of diminished capacity, and proceed without consent only if the activity is of direct benefit to that person.
▸  PSI 1.4.3
     Respect the right of individuals to discontinue participation or service at any time, and be responsive to non-verbal indications of a desire to discontinue.</t>
        </is>
      </c>
      <c r="O115" s="165" t="inlineStr">
        <is>
          <t>Consent is the largest single section of the PSI Code — twenty clauses in 1.3 alone — and it is the one trainees treat as a signature. It is a process, it is ongoing, and it is the clearest example of a legal and ethical requirement that can invalidate everything downstream if it is not right. An assessment without valid consent is not a flawed assessment; it is one that should not have happened.</t>
        </is>
      </c>
      <c r="P115" s="165" t="inlineStr">
        <is>
          <t>▸  Consent is a process, not a form
     PSI 1.3.1 is explicit: informed consent is the outcome of a process of agreeing to work collaboratively, not the signing of a form. The signature records the process; it does not constitute it.
▸  What must be understood
     PSI 1.3.5 lists it: purpose and nature of the activity, mutual responsibilities, likely benefits and risks, alternatives, the likely consequences of non-action, the option to refuse or withdraw at any time without prejudice, the period the consent covers, and how to rescind it. Work through that list rather than trusting a template to have covered it.
▸  Who consents, and assent
     In school settings a parent or guardian consents for a child. The child assents — meaning they agree, in terms they understand, and their refusal is respected. PSI 1.4.3 requires respecting the right to discontinue and being responsive to non-verbal indications of wanting to stop. A child who has gone silent and stopped trying has withdrawn assent even if they have not said so.
▸  Third-party referrals and multiple relationships
     PSI 1.3.19 requires clarifying the nature of multiple relationships when services are at the behest of a third party — which a school referral is. Say who asked for this, what will be written, who will see it, and what the limits of confidentiality are. Say it to the parent and to the child.
▸  Capacity and re-consenting
     PSI 1.3.10 and 1.3.11 cover diminished capacity. And consent is not permanent: if the work changes materially — a different assessment, a new purpose, a report going somewhere unanticipated — go back. CORU 1.15 requires documenting that consent was obtained; documenting it once at the start does not cover a changed purpose.</t>
        </is>
      </c>
      <c r="Q115" s="165" t="inlineStr">
        <is>
          <t>▸  PSI Code of Professional Ethics (2025), section 1.3 — all twenty clauses, full text on this sheet, Part B.
▸  CORU Standards of Proficiency 1.15 and 1.16 — full text on this sheet, Part B.
▸  Assisted Decision-Making (Capacity) Act 2015.
▸  NEPS consent forms and service guidance — use the current version.</t>
        </is>
      </c>
      <c r="R115" s="166" t="inlineStr">
        <is>
          <t>✗  Treating the signed form as the consent.
✗  Not explaining the limits of confidentiality to the child.
✗  Continuing when a child has withdrawn assent non-verbally.
✗  Not clarifying who asked for the assessment and who will read it.
✗  Not re-consenting when the purpose changes.</t>
        </is>
      </c>
      <c r="S115" s="154" t="inlineStr">
        <is>
          <t>▸  GRADE 3
     You obtain and document written consent.
▸  GRADE 4
     You work through what must be understood, obtain assent from the child, and explain confidentiality limits.
▸  GRADE 5
     You treat consent as ongoing, re-consent when purpose changes, and can cite the clauses behind each step.</t>
        </is>
      </c>
      <c r="T115" s="165" t="inlineStr">
        <is>
          <t>▸  BLOCK 1 · Knowing what consent requires
     [4–5 hours, once  ·  Before placement  ·  Study]
     The twenty clauses in PSI Code 1.3 and what each obliges you to cover.
     How you build it: Read Principle 1 in full. Build your own consent script from it.
     ·  Explain purpose, process and who will see the report
          you have it when: In plain words, before anything begins
          [PSI Code 1.3.5]
     ·  State the right to stop or withdraw
          you have it when: It was mentioned
          [PSI Code 1.3.5]
▸  BLOCK 2 · Confidentiality and its limits
     [2 hours, once  ·  Weeks 1–2  ·  Study]
     What you may not keep confidential, and saying so before it matters.
     How you build it: Write your own sentence for explaining limits to a child and to an adult. Use it every time.
     ·  State the limits of confidentiality before disclosure
          you have it when: First, not after
          [PSI Code 1.2.9 · CORU SoP 1.12]
▸  BLOCK 3 · Consent where it is complicated
     [3–4 hours, once  ·  Weeks 1–2  ·  Study]
     Guardianship, capacity, and non-verbal indications of withdrawal.
     How you build it: Read the ADMCA sections on presumption of capacity and supported decision-making.
     ·  Establish who holds guardianship before contact
          you have it when: You checked rather than assumed
          [CORU SoP 1.15]
     ·  Use supported decision-making where capacity is in question
          you have it when: How, not just that
          [ADMCA 2015 · PSI Code 1.3.10]
     ·  Recognise and respond to non-verbal withdrawal
          you have it when: You stopped
          [PSI Code 1.4.3]
▸  BLOCK 4 · Recording it
     [Habit  ·  Weeks 3–6  ·  Habit]
     Documenting what was explained, not just that consent was obtained.
     How you build it: Two extra lines on the consent form. Every time.
     ·  Obtain assent from the child in their own language
          you have it when: The child was asked
          [UNCRC Art. 12]
     ·  Record what was explained, not just that consent was given
          you have it when: The note shows the content
          [CORU SoP 1.15]</t>
        </is>
      </c>
      <c r="U115" s="165" t="inlineStr">
        <is>
          <t>No full chapter yet.</t>
        </is>
      </c>
      <c r="V115" s="165" t="inlineStr">
        <is>
          <t>—</t>
        </is>
      </c>
      <c r="W115" s="165" t="inlineStr">
        <is>
          <t>Table 2 area 6 · Handbook §5 Fitness to Practise · §6.2 immediate concerns · Appendix 8</t>
        </is>
      </c>
      <c r="X115" s="165" t="inlineStr">
        <is>
          <t>ADMCA 2015 · Children First Act 2015 · GDPR and DPA 2018 · ADMCA 2015 · Vetting Acts 2012–2016 · UNCRC Art. 12</t>
        </is>
      </c>
      <c r="Y115" s="165" t="inlineStr">
        <is>
          <t>Year 1 — Capacity and assent get harder in disability settings in Year 2.</t>
        </is>
      </c>
    </row>
    <row r="116" ht="408.75" customHeight="1" s="128">
      <c r="A116" s="158" t="inlineStr">
        <is>
          <t>SKILL</t>
        </is>
      </c>
      <c r="B116" s="159" t="inlineStr">
        <is>
          <t>6. Ethical Practice</t>
        </is>
      </c>
      <c r="C116" s="160" t="inlineStr">
        <is>
          <t>▸  Recognising
▸  Responding in the moment
▸  Acting</t>
        </is>
      </c>
      <c r="D116" s="161" t="inlineStr">
        <is>
          <t>39. Recognise and act on child protection concerns</t>
        </is>
      </c>
      <c r="E116" s="158" t="inlineStr">
        <is>
          <t>Macro skill</t>
        </is>
      </c>
      <c r="F116" s="161" t="inlineStr">
        <is>
          <t>39. Recognise and act on child protection concerns</t>
        </is>
      </c>
      <c r="G116" s="162" t="inlineStr">
        <is>
          <t>Everything about this skill is on this row. Scroll right.</t>
        </is>
      </c>
      <c r="H116" s="158" t="n"/>
      <c r="I116" s="158" t="n"/>
      <c r="J116" s="158" t="n"/>
      <c r="K116" s="158">
        <f>COUNTIF(Log!$G$3:$G$402,"39. Recognise and act on child protection concerns")</f>
        <v/>
      </c>
      <c r="L116" s="163">
        <f>IF(COUNTIF(Log!$G$3:$G$402,"39. Recognise and act on child protection concerns")=0,"",SUMPRODUCT(MAX((Log!$G$3:$G$402="39. Recognise and act on child protection concerns")*Log!$A$3:$A$402)))</f>
        <v/>
      </c>
      <c r="M116" s="164" t="inlineStr">
        <is>
          <t>▸  CORU 1.12
     Understand and be able to apply the limits of the concept of confidentiality particularly in relation to child protection, vulnerable adults and elder abuse
▸  CORU 3.12
     Be able to carry out and document a risk analysis and implement effective risk management controls and strategies; be able to clearly communicate any identified risk, adverse events or near misses in line with current legislation/guidelines</t>
        </is>
      </c>
      <c r="N116" s="164" t="inlineStr">
        <is>
          <t>—</t>
        </is>
      </c>
      <c r="O116" s="165" t="inlineStr">
        <is>
          <t>This is the one where getting it wrong is unrecoverable. It is also the one trainees rehearse least, because it is uncomfortable to think about. You have already managed a disclosure — at Grange on 22/05/2026 — which means you know this is not hypothetical.</t>
        </is>
      </c>
      <c r="P116" s="165" t="inlineStr">
        <is>
          <t>▸  What you are looking for
     The four categories in Children First: neglect, emotional abuse, physical abuse, sexual abuse. Indicators may be disclosure, observed injury, behaviour, or something a third party tells you. You do not need to be sure. You need reasonable grounds for concern — that is the threshold, and it is deliberately low.
▸  Receiving a disclosure
     Listen. Do not promise confidentiality — you cannot keep it, and saying so at the start of any session is why that matters. Do not ask leading questions or investigate; that is not your role and it can compromise a later process. Let the child say what they say, then stop.
▸  The sequence, exactly
     Stop the activity. Record verbatim with the time, as soon as possible. Tell your supervisor the same day. Follow the school's DLP route. As a mandated person, report to Tusla where the threshold is met — this duty is yours and does not transfer to the DLP. Record who you told, when, and what was agreed. Then write your own account of what you did.
▸  What not to do
     Do not wait for supervision. Do not decide it is probably nothing. Do not investigate to find out whether it is serious enough. Do not record it only in your own notes. PSI 3.3.4 requires acting to stop or offset serious harm even where a confidential relationship is involved — the Code removes the discretion you might feel you have.
▸  Afterwards
     Bring it to supervision even though it is resolved. Write it up as a dilemma entry. Expect to feel unsettled; that is ordinary and is what supervision and PSI 4.1.2 exist for. A managed disclosure is significant evidence for this competency and should be written up, not left as a line in a day log.</t>
        </is>
      </c>
      <c r="Q116" s="165" t="inlineStr">
        <is>
          <t>▸  Children First Act 2015 — particularly the mandated person provisions.
▸  Children First: National Guidance for the Protection and Welfare of Children (DCEDIY).
▸  Tusla — making a report, and the thresholds.
▸  PSI Code of Professional Ethics (2025), 3.3.4, 1.2.5 and 1.3.14 — full text on this sheet, Part B.
▸  Department of Education — Child Protection Procedures for Primary and Post-Primary Schools.</t>
        </is>
      </c>
      <c r="R116" s="166" t="inlineStr">
        <is>
          <t>✗  Promising confidentiality.
✗  Asking questions to find out more.
✗  Waiting for the next supervision session.
✗  Assuming telling the DLP discharges your own mandated duty.
✗  Not writing it up afterwards as evidence.</t>
        </is>
      </c>
      <c r="S116" s="154" t="inlineStr">
        <is>
          <t>▸  GRADE 3
     You know that concerns must be reported and to whom.
▸  GRADE 4
     You can state the categories, the threshold, and the full sequence including your own mandated duty.
▸  GRADE 5
     You have followed it in practice, recorded it properly, and used supervision afterwards.</t>
        </is>
      </c>
      <c r="T116" s="165" t="inlineStr">
        <is>
          <t>▸  BLOCK 1 · Recognising
     [4 hours, once  ·  Before placement  ·  Study]
     Knowing the thresholds well enough to recognise one in the moment.
     How you build it: Read the National Guidance thresholds. Then read three anonymised examples.
     ·  Recognise a concern against the threshold
          you have it when: You knew it when you saw it
          [Children First National Guidance]
▸  BLOCK 2 · Responding in the moment
     [2 hours, once  ·  Weeks 1–2  ·  Study]
     What to do and not do while it is happening.
     How you build it: Rehearse it. Know that you do not investigate.
     ·  Do not investigate or question further
          you have it when: You did not interview the child
          [Children First National Guidance]
     ·  Record verbatim what was said or seen, at the time
          you have it when: Contemporaneous and factual
          [CORU SoP 2.8 · 3.12]
▸  BLOCK 3 · Acting
     [1 hour, week one  ·  Weeks 1–2  ·  Study]
     Reporting the same day, whether or not anyone is available.
     How you build it: Know the DLP, the route and the timeframe before you need them.
     ·  Act the same day without waiting for supervision
          you have it when: The duty does not wait
          [Children First Act 2015]
     ·  Report to the DLP and record the time
          you have it when: The file shows who and when
          [Children First Act 2015]
     ·  Bring it to supervision afterwards, not instead
          you have it when: Supervision follows the action
          [Handbook §6.2]</t>
        </is>
      </c>
      <c r="U116" s="165" t="inlineStr">
        <is>
          <t>No full chapter yet.</t>
        </is>
      </c>
      <c r="V116" s="165" t="inlineStr">
        <is>
          <t>▸  3.5 Trauma, attachment and loss
     full entry under 15. Analyse risk and resilience
▸  3.7 Risk and safeguarding
     FULL ENTRY HERE</t>
        </is>
      </c>
      <c r="W116" s="165" t="inlineStr">
        <is>
          <t>Table 2 area 6 · Handbook §5 Fitness to Practise · §6.2 immediate concerns · Appendix 8 · §6.2</t>
        </is>
      </c>
      <c r="X116" s="165" t="inlineStr">
        <is>
          <t>Children First Act 2015 · Children First National Guidance</t>
        </is>
      </c>
      <c r="Y116" s="165" t="inlineStr">
        <is>
          <t>Year 1 — The duty does not change; the situations get harder.</t>
        </is>
      </c>
    </row>
    <row r="117" ht="408.75" customHeight="1" s="128">
      <c r="A117" s="167" t="inlineStr">
        <is>
          <t>AREA</t>
        </is>
      </c>
      <c r="B117" s="167" t="inlineStr">
        <is>
          <t>6. Ethical Practice</t>
        </is>
      </c>
      <c r="C117" s="167" t="n"/>
      <c r="D117" s="167" t="inlineStr">
        <is>
          <t>39. Recognise and act on child protection concerns</t>
        </is>
      </c>
      <c r="E117" s="167" t="inlineStr">
        <is>
          <t>Referral area</t>
        </is>
      </c>
      <c r="F117" s="168" t="inlineStr">
        <is>
          <t>3.7 Risk and safeguarding</t>
        </is>
      </c>
      <c r="G117" s="167" t="inlineStr">
        <is>
          <t>ADDED — implied by the form</t>
        </is>
      </c>
      <c r="H117" s="167" t="n"/>
      <c r="I117" s="167" t="n"/>
      <c r="J117" s="167" t="n"/>
      <c r="K117" s="167">
        <f>COUNTIF(Log!$E$3:$E$402,"3.7 Risk and safeguarding")</f>
        <v/>
      </c>
      <c r="L117" s="169">
        <f>IF(COUNTIF(Log!$E$3:$E$402,"3.7 Risk and safeguarding")=0,"",SUMPRODUCT(MAX((Log!$E$3:$E$402="3.7 Risk and safeguarding")*Log!$A$3:$A$402)))</f>
        <v/>
      </c>
      <c r="M117" s="165" t="inlineStr">
        <is>
          <t>No diagnoses. Everything here is a presentation.</t>
        </is>
      </c>
      <c r="N117" s="170" t="inlineStr">
        <is>
          <t>PRESENTATIONS WITH NO DIAGNOSIS
▸  Risk indicators disclosed during assessment
     Stop the assessment. Speak to your supervisor the same day.
▸  Child protection and welfare concern
     Mandatory report under Children First
▸  Safeguarding disclosure by a pupil
     Follow the school DLP route and NEPS protocol
▸  Knowing the referral and crisis pathway before you need it
     Added — your named development area</t>
        </is>
      </c>
      <c r="O117" s="165" t="inlineStr">
        <is>
          <t>REFER TO
▸  CAMHS crisis pathway
▸  Tusla — same day
▸  Tusla
▸  supervisor
▸  NEPS</t>
        </is>
      </c>
      <c r="P117" s="172" t="inlineStr">
        <is>
          <t>This area is not an assessment area. If risk or a safeguarding concern arises, you stop, you tell your supervisor the same day, and you follow Children First and the school DLP route. UCD Handbook §6.2 requires you to raise crises immediately. Know the pathway before the day you need it.</t>
        </is>
      </c>
      <c r="Q117" s="165" t="inlineStr">
        <is>
          <t>▸  Early Years / Pre-School (0–5)
     Any concern goes straight to the supervisor and the DLP. You do not assess this.</t>
        </is>
      </c>
      <c r="R117" s="165" t="inlineStr">
        <is>
          <t>▸  School Age (6–12)
     Any concern goes straight to the supervisor and the DLP. You do not assess this.</t>
        </is>
      </c>
      <c r="S117" s="165" t="inlineStr">
        <is>
          <t>▸  Adolescent (13–16)
     Any concern goes straight to the supervisor and the DLP. You do not assess this.</t>
        </is>
      </c>
      <c r="T117" s="165" t="inlineStr">
        <is>
          <t>▸  Young Adult (17–26)
     Any concern goes straight to the supervisor.</t>
        </is>
      </c>
      <c r="U117" s="165" t="inlineStr">
        <is>
          <t>▸  Special Setting (class or school)
     Any concern goes straight to the supervisor and the DLP.</t>
        </is>
      </c>
      <c r="AG117" s="171" t="inlineStr">
        <is>
          <t>Environmental Factors — Family, School, Community
· Family dynamics (including CEC, adopted and CYP with SGOs)
· Siblings, extended family, links and relationship to school and education
· Family stressors
· Financial stress
· Housing
· Home learning environment
· Parental attitude to school/education
· Trauma/significant life events
· Adverse childhood events
· Family views
· Bereavements/relational losses
· Key adults / members of staff (significant relationships both positive and negative in and out of school) and level of school commitment to child
· Travel distance to school
· School attendance
· Child's views/preferences
· School-parent relationship
· Peer group dynamics
· School learning environment
· Access to interventions and support
· Curriculum/exam boards
· Teacher expectations
· Teacher/staff understanding/knowledge
· Attainment-based grouping
· Influences in school and the local community
· Other agency involvement — Police, YOT, CAMHS, Speech and Language Service, Fair Access, SENAT, Virtual School, SGO Advisor, Intensive Planning Team, Prevent, CSE, Early Years, School Nurse, Portage, Early Help, Social and Caring Services Health Services</t>
        </is>
      </c>
      <c r="AH117" s="171" t="inlineStr">
        <is>
          <t>Within-Child — Biological Factors
· Family history including early development, physical development, medical conditions and diagnoses/difficulties
· General health
· Medication
· Dietary needs
· Sensory needs
· Addictions e.g. smoking, drink, drugs</t>
        </is>
      </c>
      <c r="AI117" s="171" t="inlineStr">
        <is>
          <t>Within-Child — Cognitive Factors
ASSESSABLE
· Memory
· Language
· Executive functioning: including emotional and behavioural regulation/development
· Attention and concentration
· Visual spatial ability
· Phonological processing
· Processing speed
· Non-verbal reasoning
· Verbal ability (e.g. word problems, verbal presentation)
· Logical reasoning ability
· Literacy skills
· Attainment
OBSERVATION AND CONSULTATION
· Signs of developmental trauma impacting on ability to participate in learning
· Ability to problem-solve
· Flexibility of thought and action
· Self-awareness</t>
        </is>
      </c>
      <c r="AJ117" s="171" t="inlineStr">
        <is>
          <t>Within-Child — Affective Factors
· Experience of developmental trauma
· Confidence
· Self-esteem
· Emotional understanding and expression
· Sense of enablement
· Sense of self
· Sense of belonging
· Motivation (intrinsic or extrinsic)
· Resiliency
· Mood
· Anxiety
· Aspirations
· Perseverance / determination
· Sense of humour
· Self-control
· Social skills
· Empathy</t>
        </is>
      </c>
      <c r="AK117" s="171" t="inlineStr">
        <is>
          <t>Within-Child — Behavioural Factors
· Ability to develop and maintain friendships and relationships
· Positive achievements
· Care/concern for others, volunteering, helping
· Dangerous or risk-taking behaviour
· Verbal / physical abuse
· Self-harm
· Bullying
· Truancy</t>
        </is>
      </c>
    </row>
    <row r="118" ht="408.75" customHeight="1" s="128">
      <c r="A118" s="158" t="inlineStr">
        <is>
          <t>SKILL</t>
        </is>
      </c>
      <c r="B118" s="159" t="inlineStr">
        <is>
          <t>6. Ethical Practice</t>
        </is>
      </c>
      <c r="C118" s="160" t="inlineStr">
        <is>
          <t>▸  Knowing the procedure
▸  Working it through
▸  Owning it</t>
        </is>
      </c>
      <c r="D118" s="161" t="inlineStr">
        <is>
          <t>40. Work an ethical dilemma through a decision procedure</t>
        </is>
      </c>
      <c r="E118" s="158" t="inlineStr">
        <is>
          <t>Macro skill</t>
        </is>
      </c>
      <c r="F118" s="161" t="inlineStr">
        <is>
          <t>40. Work an ethical dilemma through a decision procedure</t>
        </is>
      </c>
      <c r="G118" s="162" t="inlineStr">
        <is>
          <t>Everything about this skill is on this row. Scroll right.</t>
        </is>
      </c>
      <c r="H118" s="158" t="n"/>
      <c r="I118" s="158" t="n"/>
      <c r="J118" s="158" t="n"/>
      <c r="K118" s="158">
        <f>COUNTIF(Log!$G$3:$G$402,"40. Work an ethical dilemma through a decision procedure")</f>
        <v/>
      </c>
      <c r="L118" s="163">
        <f>IF(COUNTIF(Log!$G$3:$G$402,"40. Work an ethical dilemma through a decision procedure")=0,"",SUMPRODUCT(MAX((Log!$G$3:$G$402="40. Work an ethical dilemma through a decision procedure")*Log!$A$3:$A$402)))</f>
        <v/>
      </c>
      <c r="M118" s="164" t="inlineStr">
        <is>
          <t>▸  CORU 1.19
     Understand the principles of professional decision-making and be able to make informed decisions within the context of competing demands including those relating to ethical conflicts and available resources</t>
        </is>
      </c>
      <c r="N118" s="164" t="inlineStr">
        <is>
          <t>—</t>
        </is>
      </c>
      <c r="O118" s="165" t="inlineStr">
        <is>
          <t>Ethical competence is not having good instincts. It is being able to show that you followed a systematic process when the answer was not obvious — which is exactly what PSI 3.6.1 requires and what Appendix A of the Code sets out. A documented dilemma is also the hardest piece of portfolio evidence to fake and therefore the most convincing.</t>
        </is>
      </c>
      <c r="P118" s="165" t="inlineStr">
        <is>
          <t>▸  Recognising a dilemma
     A dilemma is not a hard decision. It is a situation where two obligations conflict — confidentiality against welfare, the child's wishes against the parent's, the school's interest against the child's, your competence against the need in front of you. If there is a right answer and it is just difficult, that is not a dilemma.
▸  The seven steps
     PSI Appendix A: define the issues and the parties; scan the Code and identify every relevant clause, plus other guidelines and legislation; evaluate the rights, responsibilities and welfare of all affected parties; generate as many alternatives as possible; evaluate the likely outcome of each; choose, implement and inform; take responsibility for the consequences.
▸  Identifying the parties properly
     Appendix B of the Code gives the categories: the psychologist, direct beneficiary, subject, extended beneficiary, participant, referrer, colleague, contractor, employer, manager, supervisor, employee, the wider profession, other parties, the general public. Trainees typically name two parties when there are six, and the missing ones are usually where the conflict actually sits.
▸  Generating alternatives
     'More the better' is in the Code for a reason. The first two options are usually the obvious binary. The useful option is normally the fourth or fifth — a partial disclosure, a delay with conditions, a consultation before deciding.
▸  Documenting it
     The Code strongly recommends keeping notes at each stage. Write it up as an Appendix 8 dilemma entry: what it was, who was affected, which clauses were in tension, what you generated, what you chose, what happened. One well-written entry evidences Ethical Practice better than twenty routine records.</t>
        </is>
      </c>
      <c r="Q118" s="165" t="inlineStr">
        <is>
          <t>▸  PSI Code of Professional Ethics (2025), section 3.6 and Appendices A and B — full text on this sheet, Part B.
▸  CORU Standards of Proficiency 1.19 — professional decision-making within competing demands.
▸  Bond, T. (2015). Standards and ethics for counselling in action (4th ed.). Sage.
▸  Koocher, G. P., &amp; Keith-Spiegel, P. (2016). Ethics in psychology and the mental health professions (4th ed.). Oxford University Press.</t>
        </is>
      </c>
      <c r="R118" s="166" t="inlineStr">
        <is>
          <t>✗  Treating a hard decision as a dilemma.
✗  Naming two parties when there are six.
✗  Generating two options and choosing between them.
✗  Deciding alone when consultation was possible.
✗  No written record, so it cannot be evidenced.</t>
        </is>
      </c>
      <c r="S118" s="154" t="inlineStr">
        <is>
          <t>▸  GRADE 3
     You recognise ethical issues and raise them in supervision.
▸  GRADE 4
     You follow a systematic procedure and identify the clauses in tension.
▸  GRADE 5
     You identify all affected parties, generate genuine alternatives, document the process, and can account for the consequences.</t>
        </is>
      </c>
      <c r="T118" s="165" t="inlineStr">
        <is>
          <t>▸  BLOCK 1 · Knowing the procedure
     [2 hours, once  ·  Weeks 1–2  ·  Study]
     The seven steps of PSI Appendix A, in order.
     How you build it: Read Appendix A. Write the seven steps on a card.
     ·  Identify the issue and all affected parties
          you have it when: Including ones you would otherwise miss
          [PSI Code Appendix A step 1 · Appendix B]
     ·  Scan the Code for the clauses that apply
          you have it when: You cite clause numbers
          [PSI Code Appendix A step 2]
     ·  Evaluate each party's rights and responsibilities
          you have it when: Each considered separately
          [PSI Code Appendix A step 3]
▸  BLOCK 2 · Working it through
     [3–4 hours to learn  ·  Weeks 3–6  ·  Study]
     Generating alternatives and evaluating them rather than deciding and justifying.
     How you build it: Use it on a hypothetical first. Then on a real one with supervision.
     ·  Generate as many alternative courses as possible
          you have it when: More than two
          [PSI Code Appendix A step 4]
     ·  Evaluate the likely outcome of each
          you have it when: Consequences thought through
          [PSI Code Appendix A step 5]
     ·  Decide and record the decision
          you have it when: Written down
          [PSI Code Appendix A step 6]
▸  BLOCK 3 · Owning it
     [Habit  ·  Ongoing all year  ·  Practice]
     Taking responsibility including where it went wrong, and keeping notes throughout.
     How you build it: Write the Appendix 8 entry the same day.
     ·  Take responsibility for the consequences
          you have it when: Including where it went wrong
          [PSI Code Appendix A step 7]
     ·  Keep notes at each stage
          you have it when: The Code strongly recommends it
          [PSI Code Appendix A]</t>
        </is>
      </c>
      <c r="U118" s="165" t="inlineStr">
        <is>
          <t>No full chapter yet.</t>
        </is>
      </c>
      <c r="V118" s="165" t="inlineStr">
        <is>
          <t>▸  3.7 Risk and safeguarding
     full entry under 39. Recognise and act on child protection concerns</t>
        </is>
      </c>
      <c r="W118" s="165" t="inlineStr">
        <is>
          <t>Table 2 area 6 · Handbook §5 Fitness to Practise · §6.2 immediate concerns · Appendix 8</t>
        </is>
      </c>
      <c r="X118" s="165" t="inlineStr">
        <is>
          <t>Children First Act 2015 · GDPR and DPA 2018 · ADMCA 2015 · Vetting Acts 2012–2016</t>
        </is>
      </c>
      <c r="Y118" s="165" t="inlineStr">
        <is>
          <t>Year 1 — Dilemmas become more frequent and less clear-cut each year.</t>
        </is>
      </c>
    </row>
    <row r="119" ht="408.75" customHeight="1" s="128">
      <c r="A119" s="158" t="inlineStr">
        <is>
          <t>SKILL</t>
        </is>
      </c>
      <c r="B119" s="159" t="inlineStr">
        <is>
          <t>6. Ethical Practice</t>
        </is>
      </c>
      <c r="C119" s="160" t="inlineStr">
        <is>
          <t>▸  Knowing where the line is
▸  Saying it
▸  Referring properly</t>
        </is>
      </c>
      <c r="D119" s="161" t="inlineStr">
        <is>
          <t>41. State and hold the limits of your competence</t>
        </is>
      </c>
      <c r="E119" s="158" t="inlineStr">
        <is>
          <t>Macro skill</t>
        </is>
      </c>
      <c r="F119" s="161" t="inlineStr">
        <is>
          <t>41. State and hold the limits of your competence</t>
        </is>
      </c>
      <c r="G119" s="162" t="inlineStr">
        <is>
          <t>Everything about this skill is on this row. Scroll right.</t>
        </is>
      </c>
      <c r="H119" s="158" t="n"/>
      <c r="I119" s="158" t="n"/>
      <c r="J119" s="158" t="n"/>
      <c r="K119" s="158">
        <f>COUNTIF(Log!$G$3:$G$402,"41. State and hold the limits of your competence")</f>
        <v/>
      </c>
      <c r="L119" s="163">
        <f>IF(COUNTIF(Log!$G$3:$G$402,"41. State and hold the limits of your competence")=0,"",SUMPRODUCT(MAX((Log!$G$3:$G$402="41. State and hold the limits of your competence")*Log!$A$3:$A$402)))</f>
        <v/>
      </c>
      <c r="M119" s="164" t="inlineStr">
        <is>
          <t>▸  CORU 1.2
     Be able to identify the limits of their practice and know when to seek advice and additional expertise or refer to another professional
▸  CORU 2.2
     Be able to modify and adapt communication methods and styles, including verbal and non-verbal methods, to suit the individual service user, considering issues of language, age, culture, beliefs and health and/or social care needs</t>
        </is>
      </c>
      <c r="N119" s="164" t="inlineStr">
        <is>
          <t>▸  PSI 2.2.2
     Recognise the boundaries of their competence, and do not exceed these.
▸  PSI 2.2.3
     Offer or carry out (without supervision) only those professional activities for which they have established their competence to practise to the benefit of others.
▸  PSI 3.3.6
     Take all reasonable steps to ensure tests and assessment methods are only used by those qualified and trained to do so.
▸  PSI 3.4.3
     When referring a client, maintain support and responsibility for caring until contact has commenced with the agent to whom referral was made.</t>
        </is>
      </c>
      <c r="O119" s="165" t="inlineStr">
        <is>
          <t>The pressure in Year 1 runs entirely one way: toward doing more than you should. Schools want answers, parents want certainty, and saying 'that is outside what I can do' feels like failure. It is the opposite — PSI 2.2.2 and 2.2.3 make it a requirement, and the trainees who get into difficulty are almost never the ones who said no too often.</t>
        </is>
      </c>
      <c r="P119" s="165" t="inlineStr">
        <is>
          <t>▸  Where the line is, concretely
     You do not diagnose. You do not deliver therapy. You do not work with trauma. You do not administer instruments you have not been trained on and supervised in. You do not give a score on the day before it is checked. You do not advise on medication. You do not give legal advice about entitlement. Write this list somewhere you will see it.
▸  The phrasing that works
     'That is outside what I am able to do at this stage, but here is what I can do, and here is who does that.' Three parts: the limit, the offer, the route. Said that way it reads as competence, because it is.
▸  Recognising pressure in the moment
     The pull is strongest when someone is distressed and you are the only professional in the room. Notice the pull rather than acting on it. If you are about to do something you have not done before because it seems needed now, that is the moment to stop.
▸  Supervised extension is different
     Doing something new under supervision is how competence grows and is entirely legitimate. PSI 2.2.3 says you carry out without supervision only what you have established competence in — the phrase 'without supervision' is the whole point. Agree the new thing in advance rather than discovering it mid-session.
▸  Recognising impairment in yourself
     PSI 2.5.1 requires you to refrain from practice when your judgement or ability to benefit and not harm others is seriously impaired, and to seek assistance about whether to limit or suspend activity. That is a professional obligation, not an admission, and knowing it exists before you need it makes it easier to act on.</t>
        </is>
      </c>
      <c r="Q119" s="165" t="inlineStr">
        <is>
          <t>▸  PSI Code of Professional Ethics (2025), section 2.2 and 2.5 — full text on this sheet, Part B.
▸  CORU Standards of Proficiency 1.1, 1.2 and 1.17 — full text on this sheet, Part B.
▸  Scaife, J. (2019). Supervision in clinical practice — on the supervised extension of competence.
▸  Barnett, J. E., Doll, B., Younggren, J. N., &amp; Rubin, N. J. (2007). Clinical competence for practicing psychologists. Professional Psychology, 38(5).</t>
        </is>
      </c>
      <c r="R119" s="166" t="inlineStr">
        <is>
          <t>✗  Giving a score on the day.
✗  Drifting into therapy because the conversation went there.
✗  Administering an instrument you have not been supervised on.
✗  Saying yes because the alternative felt unhelpful.
✗  Continuing to practise while seriously impaired because stopping felt worse.</t>
        </is>
      </c>
      <c r="S119" s="154" t="inlineStr">
        <is>
          <t>▸  GRADE 3
     You ask for help when you are unsure.
▸  GRADE 4
     You can state your limits and decline appropriately with an alternative and a route.
▸  GRADE 5
     You recognise the pull in the moment, extend competence deliberately under supervision, and know the obligation to suspend practice when impaired.</t>
        </is>
      </c>
      <c r="T119" s="165" t="inlineStr">
        <is>
          <t>▸  BLOCK 1 · Knowing where the line is
     [2 hours, once  ·  Weeks 1–2  ·  Study]
     Publisher levels, service policy, and your own actual competence.
     How you build it: List every tool you hold and its user level. Check against service policy.
     ·  Know your publisher competence level for every tool
          you have it when: You can state it
          [PSI Code 3.3.6]
▸  BLOCK 2 · Saying it
     [Habit  ·  Weeks 1–2  ·  Habit]
     Naming a limit before being asked, without apologising for it.
     How you build it: Say it once in your first supervision. It gets easier.
     ·  Say early what you are not yet competent to do
          you have it when: Before being asked
          [CORU SoP 1.2 · PSI Code 2.2.2]
     ·  Decline work that exceeds you
          you have it when: You declined
          [PSI Code 2.2.3]
▸  BLOCK 3 · Referring properly
     [Habit  ·  Weeks 7–12  ·  Habit]
     Handing on without dropping the case.
     How you build it: Maintain contact until the referral is picked up. PSI 3.4.3 requires it.
     ·  Refer on and maintain responsibility until contact is made
          you have it when: You did not drop it at referral
          [PSI Code 3.4.3]
     ·  Include a limitations paragraph in every report
          you have it when: Every one
          [CORU SoP 1.2]</t>
        </is>
      </c>
      <c r="U119" s="165" t="inlineStr">
        <is>
          <t>No full chapter yet.</t>
        </is>
      </c>
      <c r="V119" s="165" t="inlineStr">
        <is>
          <t>▸  3.7 Risk and safeguarding
     full entry under 39. Recognise and act on child protection concerns
▸  5.5 Involvement of other services
     full entry under 27. Attend service team meetings</t>
        </is>
      </c>
      <c r="W119" s="165" t="inlineStr">
        <is>
          <t>Table 2 area 6 · Handbook §5 Fitness to Practise · §6.2 immediate concerns · Appendix 8</t>
        </is>
      </c>
      <c r="X119" s="165" t="inlineStr">
        <is>
          <t>Children First Act 2015 · GDPR and DPA 2018 · ADMCA 2015 · Vetting Acts 2012–2016</t>
        </is>
      </c>
      <c r="Y119" s="165" t="inlineStr">
        <is>
          <t>Year 1 — Hardest when you are more capable and the pressure to proceed is greater.</t>
        </is>
      </c>
    </row>
    <row r="120" ht="408.75" customHeight="1" s="128">
      <c r="A120" s="158" t="inlineStr">
        <is>
          <t>SKILL</t>
        </is>
      </c>
      <c r="B120" s="159" t="inlineStr">
        <is>
          <t>6. Ethical Practice</t>
        </is>
      </c>
      <c r="C120" s="160" t="inlineStr">
        <is>
          <t>▸  Knowing your numbers
▸  Knowing your signals
▸  Acting on it
▸  Knowing the formal duties</t>
        </is>
      </c>
      <c r="D120" s="161" t="inlineStr">
        <is>
          <t>42. Manage workload and your own wellbeing</t>
        </is>
      </c>
      <c r="E120" s="158" t="inlineStr">
        <is>
          <t>Macro skill</t>
        </is>
      </c>
      <c r="F120" s="161" t="inlineStr">
        <is>
          <t>42. Manage workload and your own wellbeing</t>
        </is>
      </c>
      <c r="G120" s="162" t="inlineStr">
        <is>
          <t>Everything about this skill is on this row. Scroll right.</t>
        </is>
      </c>
      <c r="H120" s="158" t="n"/>
      <c r="I120" s="158" t="n"/>
      <c r="J120" s="158" t="n"/>
      <c r="K120" s="158">
        <f>COUNTIF(Log!$G$3:$G$402,"42. Manage workload and your own wellbeing")</f>
        <v/>
      </c>
      <c r="L120" s="163">
        <f>IF(COUNTIF(Log!$G$3:$G$402,"42. Manage workload and your own wellbeing")=0,"",SUMPRODUCT(MAX((Log!$G$3:$G$402="42. Manage workload and your own wellbeing")*Log!$A$3:$A$402)))</f>
        <v/>
      </c>
      <c r="M120" s="164" t="inlineStr">
        <is>
          <t>▸  CORU 1.18
     Be able to take responsibility for managing one's own workload as appropriate
▸  CORU 1.20
     Be aware of and be able to take responsibility for managing one's own health and wellbeing
▸  CORU 4.1
     Be able to engage in and take responsibility for professional development
▸  CORU 5.45
     Be able to recognise personal emotional responses and the impact of trauma, as identified through professional/therapeutic practice and supervision, and use appropriate tools to develop effective self-care to maintain professional functioning</t>
        </is>
      </c>
      <c r="N120" s="164" t="inlineStr">
        <is>
          <t>▸  PSI 2.5.1
     Refrain from practice when professional judgment or ability to benefit and not harm others is seriously impaired by a physical or psychological condition; and seek competent professional assistance to determine whether to limit, suspend or terminate professional activity.
▸  PSI 4.1.2
     Seek emotional support and/or supervision from colleagues when feeling stressed or vulnerable due to professional dilemmas.</t>
        </is>
      </c>
      <c r="O120" s="165" t="inlineStr">
        <is>
          <t>CORU 1.18 and 1.20 make workload and your own health professional requirements, not personal matters. PSI 4.1.1 requires self-care specifically to avoid conditions that impair judgement, and 4.1.2 requires seeking support when stressed. Your review named monitoring, self-care, workload, pace and volume as a development area — so this is assessed, and it is assessed as competence.</t>
        </is>
      </c>
      <c r="P120" s="165" t="inlineStr">
        <is>
          <t>▸  Knowing your actual capacity
     Not what you can do in a good week — what you can sustain across a term including travel, write-up and the unexpected. A school visit is not a school visit; it is travel, the visit, the write-up and the follow-up. Count all four when you plan.
▸  Protecting write-up time
     The most common failure is booking visits back to back and leaving no time to write, which produces the backlog that then becomes the problem. Block write-up time in the diary as though it were a visit. It is the cheapest single intervention available to you.
▸  Saying no with a reason and an alternative
     'I can take that if we move the Thursday visit to next week' is a negotiation. 'I'm very busy' is not. Give your supervisor the information they need to decide — they usually do not know how full you are.
▸  Using the supports that exist
     Adjustments agreed with UCD Access, weekly check-ins, scaffolding and visual supports, joint target setting — these were recommended for a reason and using them is not a concession. Build them into the Cavan contract in week one rather than requesting them in November.
▸  Naming the pace question when it is real
     Your 4 August review recommended half days or alternate days for rest and recovery. A recommendation from a supervisor that is not reflected in the schedule is a live issue and it belongs in writing with UCD and the service, not absorbed quietly. Raising it is an exercise of CORU 1.18 and 1.20, not a complaint.</t>
        </is>
      </c>
      <c r="Q120" s="165" t="inlineStr">
        <is>
          <t>▸  CORU Standards of Proficiency 1.18, 1.20 and 5.45 — full text on this sheet, Part B.
▸  PSI Code of Professional Ethics (2025), 4.1.1, 4.1.2 and 2.5.1 — full text on this sheet, Part B.
▸  UCD Professional Placement Handbook, section 6 — supervision and raising concerns.
▸  Wise, E. H., &amp; Barnett, J. E. (2016). Self-care for psychologists. In APA Handbook of Clinical Psychology.</t>
        </is>
      </c>
      <c r="R120" s="166" t="inlineStr">
        <is>
          <t>✗  Counting visits rather than visits plus write-up plus travel.
✗  Booking back-to-back days with no write-up time.
✗  Saying you are busy without giving the detail to act on.
✗  Requesting adjustments only once things are difficult.
✗  Absorbing a scheduling problem rather than naming it in writing.</t>
        </is>
      </c>
      <c r="S120" s="154" t="inlineStr">
        <is>
          <t>▸  GRADE 3
     You complete the work asked of you.
▸  GRADE 4
     You plan realistically including write-up and travel, and negotiate workload with information.
▸  GRADE 5
     You have adjustments agreed in advance and in writing, you monitor your own functioning, and you escalate a structural problem through the proper route rather than absorbing it.</t>
        </is>
      </c>
      <c r="T120" s="165" t="inlineStr">
        <is>
          <t>▸  BLOCK 1 · Knowing your numbers
     [2 hours  ·  Weeks 3–6  ·  Habit]
     Actual caseload, actual travel, actual hours.
     How you build it: Track it for two weeks. The number is usually different from the impression.
     ·  Track your actual caseload and travel load
          you have it when: You know the numbers
          [CORU SoP 1.18]
▸  BLOCK 2 · Knowing your signals
     [2 hours, once  ·  Weeks 1–2  ·  Study]
     What your own early warning signs are.
     How you build it: Write down what you were like the last time you were depleted. Three specific things.
     ·  Recognise your own warning signs
          you have it when: You can name them
          [CORU SoP 5.45]
▸  BLOCK 3 · Acting on it
     [Habit  ·  Weeks 3–6  ·  Habit]
     Raising workload early and seeking supervision when stressed.
     How you build it: Put one line about your own state on every supervision agenda for a month.
     ·  Raise workload before it becomes a problem
          you have it when: Before, not after
          [CORU SoP 1.18]
     ·  Seek supervision when stressed, not only when stuck
          you have it when: It is required, not permitted
          [PSI Code 4.1.2]
▸  BLOCK 4 · Knowing the formal duties
     [1 hour, once  ·  Weeks 1–2  ·  Study]
     The seven-day notification and when to refrain from practice.
     How you build it: Read Handbook §5 once. Know it exists.
     ·  Know the seven-day notification duty
          you have it when: You could act on it if needed
          [Handbook §5]
     ·  Refrain from practice where judgement is seriously impaired
          you have it when: You would know and would act
          [PSI Code 2.5.1]</t>
        </is>
      </c>
      <c r="U120" s="165" t="inlineStr">
        <is>
          <t>No full chapter yet.</t>
        </is>
      </c>
      <c r="V120" s="165" t="inlineStr">
        <is>
          <t>—</t>
        </is>
      </c>
      <c r="W120" s="165" t="inlineStr">
        <is>
          <t>Table 2 area 6 · Handbook §5 Fitness to Practise · §6.2 immediate concerns · Appendix 8 · §5</t>
        </is>
      </c>
      <c r="X120" s="165" t="inlineStr">
        <is>
          <t>Children First Act 2015 · GDPR and DPA 2018 · ADMCA 2015 · Vetting Acts 2012–2016</t>
        </is>
      </c>
      <c r="Y120" s="165" t="inlineStr">
        <is>
          <t>Year 1 — Year 3 caseload and thesis together make this the year it is tested.</t>
        </is>
      </c>
    </row>
    <row r="121" ht="19.5" customHeight="1" s="128">
      <c r="A121" s="147" t="inlineStr">
        <is>
          <t>COMP</t>
        </is>
      </c>
      <c r="B121" s="147" t="inlineStr">
        <is>
          <t>7. Supervision</t>
        </is>
      </c>
      <c r="C121" s="147" t="n"/>
      <c r="D121" s="147" t="n"/>
      <c r="E121" s="147" t="inlineStr">
        <is>
          <t>10 macro skills · 0 referral areas</t>
        </is>
      </c>
      <c r="F121" s="147" t="n"/>
      <c r="G121" s="147" t="n"/>
      <c r="H121" s="147" t="n"/>
      <c r="I121" s="147" t="n"/>
      <c r="J121" s="147" t="n"/>
      <c r="K121" s="147" t="n"/>
      <c r="L121" s="147" t="n"/>
      <c r="M121" s="147" t="n"/>
      <c r="N121" s="147" t="n"/>
      <c r="O121" s="147" t="n"/>
      <c r="P121" s="147" t="n"/>
      <c r="Q121" s="147" t="n"/>
      <c r="R121" s="147" t="n"/>
      <c r="S121" s="147" t="n"/>
      <c r="T121" s="147" t="n"/>
      <c r="U121" s="147" t="n"/>
      <c r="V121" s="147" t="n"/>
      <c r="W121" s="147" t="n"/>
      <c r="X121" s="147" t="n"/>
      <c r="Y121" s="147" t="n"/>
      <c r="Z121" s="147" t="n"/>
      <c r="AA121" s="147" t="n"/>
      <c r="AB121" s="147" t="n"/>
      <c r="AC121" s="147" t="n"/>
      <c r="AD121" s="147" t="n"/>
      <c r="AE121" s="147" t="n"/>
      <c r="AF121" s="147" t="n"/>
      <c r="AG121" s="147" t="n"/>
      <c r="AH121" s="147" t="n"/>
      <c r="AI121" s="147" t="n"/>
      <c r="AJ121" s="147" t="n"/>
      <c r="AK121" s="147" t="n"/>
    </row>
    <row r="122" ht="169.5" customHeight="1" s="128">
      <c r="A122" s="148" t="n"/>
      <c r="B122" s="149" t="inlineStr">
        <is>
          <t>7. Supervision</t>
        </is>
      </c>
      <c r="C122" s="149" t="n"/>
      <c r="D122" s="148" t="n"/>
      <c r="E122" s="148" t="inlineStr">
        <is>
          <t>What CORU asks of this competency — verbatim</t>
        </is>
      </c>
      <c r="F122" s="133" t="inlineStr">
        <is>
          <t>5 standards across this competency</t>
        </is>
      </c>
      <c r="G122" s="133" t="n"/>
      <c r="H122" s="149" t="n"/>
      <c r="I122" s="149" t="n"/>
      <c r="J122" s="149" t="n"/>
      <c r="K122" s="148" t="n"/>
      <c r="L122" s="148" t="n"/>
      <c r="M122" s="150" t="inlineStr">
        <is>
          <t>▸  CORU 4.3
     Be able to evaluate and reflect critically on own professional practice to identify learning and development needs; select appropriate learning activities to achieve professional development goals; and integrate new knowledge and skills into professional practice</t>
        </is>
      </c>
      <c r="N122" s="150" t="inlineStr">
        <is>
          <t>▸  CORU 4.5
     Understand the importance of and be able to seek professional development, supervision, feedback and peer review opportunities in order to continuously improve practice</t>
        </is>
      </c>
      <c r="O122" s="150" t="inlineStr">
        <is>
          <t>▸  CORU 5.8
     Know the basic principles of effective teaching and learning, mentoring and supervision</t>
        </is>
      </c>
      <c r="P122" s="150" t="inlineStr">
        <is>
          <t>▸  CORU 5.44
     Be able to critically reflect on the 'self' and the ongoing impact of one's own culture, values, experiences, beliefs and biases on their professional/therapeutic practice — utilising supervision to assist in the reflective process — and use such reflection to inform practice</t>
        </is>
      </c>
      <c r="Q122" s="150" t="inlineStr">
        <is>
          <t>▸  CORU 5.45
     Be able to recognise personal emotional responses and the impact of trauma, as identified through professional/therapeutic practice and supervision, and use appropriate tools to develop effective self-care to maintain professional functioning</t>
        </is>
      </c>
    </row>
    <row r="123" ht="169.5" customHeight="1" s="128">
      <c r="A123" s="148" t="n"/>
      <c r="B123" s="149" t="inlineStr">
        <is>
          <t>7. Supervision</t>
        </is>
      </c>
      <c r="C123" s="149" t="n"/>
      <c r="D123" s="148" t="n"/>
      <c r="E123" s="148" t="inlineStr">
        <is>
          <t>What the PSI Code asks of this competency — verbatim</t>
        </is>
      </c>
      <c r="F123" s="133" t="inlineStr">
        <is>
          <t>4 clauses across this competency</t>
        </is>
      </c>
      <c r="G123" s="133" t="n"/>
      <c r="H123" s="149" t="n"/>
      <c r="I123" s="149" t="n"/>
      <c r="J123" s="149" t="n"/>
      <c r="K123" s="148" t="n"/>
      <c r="L123" s="148" t="n"/>
      <c r="M123" s="150" t="inlineStr">
        <is>
          <t>▸  PSI 3.3.9
     Act to minimise the impact of research activities on participants' personality or their mental or physical integrity.</t>
        </is>
      </c>
      <c r="N123" s="150" t="inlineStr">
        <is>
          <t>▸  PSI 3.5.2
     Facilitate the professional and scientific development of those whose work they supervise by arranging appropriate work experience and offering constructive feedback.</t>
        </is>
      </c>
      <c r="O123" s="150" t="inlineStr">
        <is>
          <t>▸  PSI 4.1.1
     Engage in self-care activities which help to avoid conditions (for example, burnout, addictions) which could result in impaired judgement and interfere with their ability to benefit and not harm others.</t>
        </is>
      </c>
      <c r="P123" s="150" t="inlineStr">
        <is>
          <t>▸  PSI 4.1.2
     Seek emotional support and/or supervision from colleagues when feeling stressed or vulnerable due to professional dilemmas.</t>
        </is>
      </c>
    </row>
    <row r="124" ht="109.5" customHeight="1" s="128">
      <c r="A124" s="151" t="n"/>
      <c r="B124" s="152" t="inlineStr">
        <is>
          <t>7. Supervision</t>
        </is>
      </c>
      <c r="C124" s="152" t="n"/>
      <c r="D124" s="151" t="n"/>
      <c r="E124" s="151" t="inlineStr">
        <is>
          <t>Three-year arc</t>
        </is>
      </c>
      <c r="F124" s="153" t="inlineStr">
        <is>
          <t>What good looks like each year</t>
        </is>
      </c>
      <c r="G124" s="153" t="n"/>
      <c r="H124" s="152" t="n"/>
      <c r="I124" s="152" t="n"/>
      <c r="J124" s="152" t="n"/>
      <c r="K124" s="151" t="n"/>
      <c r="L124" s="151" t="n"/>
      <c r="M124" s="154" t="inlineStr">
        <is>
          <t>Year 1 — You establish the habits: contract, weekly hour, agenda, records, being observed, Appendix 6, the reflective essay.</t>
        </is>
      </c>
      <c r="N124" s="154" t="inlineStr">
        <is>
          <t>Year 2 — You use supervision to examine your own reactions, not just your cases. Peer supervision becomes substantive.</t>
        </is>
      </c>
      <c r="O124" s="154" t="inlineStr">
        <is>
          <t>Year 3 — You approach supervision as a future supervisor would, and can articulate a supervision framework you work within.</t>
        </is>
      </c>
    </row>
    <row r="125" ht="30" customHeight="1" s="128">
      <c r="A125" s="155" t="n"/>
      <c r="B125" s="155" t="n"/>
      <c r="C125" s="155" t="n"/>
      <c r="D125" s="155" t="n"/>
      <c r="E125" s="155" t="n"/>
      <c r="F125" s="156" t="inlineStr">
        <is>
          <t>one skill = one row →</t>
        </is>
      </c>
      <c r="G125" s="155" t="n"/>
      <c r="H125" s="155" t="n"/>
      <c r="I125" s="155" t="n"/>
      <c r="J125" s="155" t="n"/>
      <c r="K125" s="155" t="n"/>
      <c r="L125" s="155" t="n"/>
      <c r="M125" s="157" t="inlineStr">
        <is>
          <t>1 · CORU — number and focus</t>
        </is>
      </c>
      <c r="N125" s="157" t="inlineStr">
        <is>
          <t>2 · PSI — number and focus</t>
        </is>
      </c>
      <c r="O125" s="157" t="inlineStr">
        <is>
          <t>3 · Why this matters</t>
        </is>
      </c>
      <c r="P125" s="157" t="inlineStr">
        <is>
          <t>4 · Teaching — how you build it</t>
        </is>
      </c>
      <c r="Q125" s="157" t="inlineStr">
        <is>
          <t>5 · What to read</t>
        </is>
      </c>
      <c r="R125" s="157" t="inlineStr">
        <is>
          <t>6 · Common errors that cost marks</t>
        </is>
      </c>
      <c r="S125" s="157" t="inlineStr">
        <is>
          <t>7 · Rubric — grade 3, 4, 5</t>
        </is>
      </c>
      <c r="T125" s="157" t="inlineStr">
        <is>
          <t>8 · Blocks and micro-skills with pass tests</t>
        </is>
      </c>
      <c r="U125" s="157" t="inlineStr">
        <is>
          <t>9 · Full chapter, where written</t>
        </is>
      </c>
      <c r="V125" s="157" t="inlineStr">
        <is>
          <t>10 · Referral areas this skill serves</t>
        </is>
      </c>
      <c r="W125" s="157" t="inlineStr">
        <is>
          <t>11 · Where the evidence goes</t>
        </is>
      </c>
      <c r="X125" s="157" t="inlineStr">
        <is>
          <t>12 · Law and policy</t>
        </is>
      </c>
      <c r="Y125" s="157" t="inlineStr">
        <is>
          <t>13 · Year and how it extends</t>
        </is>
      </c>
      <c r="Z125" s="157" t="inlineStr">
        <is>
          <t>14 · —</t>
        </is>
      </c>
      <c r="AA125" s="157" t="inlineStr">
        <is>
          <t>15 · —</t>
        </is>
      </c>
      <c r="AB125" s="157" t="inlineStr">
        <is>
          <t>16 · —</t>
        </is>
      </c>
      <c r="AC125" s="157" t="inlineStr">
        <is>
          <t>17 · —</t>
        </is>
      </c>
      <c r="AD125" s="157" t="inlineStr">
        <is>
          <t>18 · —</t>
        </is>
      </c>
      <c r="AE125" s="157" t="inlineStr">
        <is>
          <t>19 · —</t>
        </is>
      </c>
      <c r="AF125" s="157" t="inlineStr">
        <is>
          <t>20 · —</t>
        </is>
      </c>
    </row>
    <row r="126" ht="408.75" customHeight="1" s="128">
      <c r="A126" s="158" t="inlineStr">
        <is>
          <t>SKILL</t>
        </is>
      </c>
      <c r="B126" s="159" t="inlineStr">
        <is>
          <t>7. Supervision</t>
        </is>
      </c>
      <c r="C126" s="160" t="inlineStr">
        <is>
          <t>▸  Knowing what you are entitled to
▸  Drafting it</t>
        </is>
      </c>
      <c r="D126" s="161" t="inlineStr">
        <is>
          <t>43. Agree and sign the supervision contract</t>
        </is>
      </c>
      <c r="E126" s="158" t="inlineStr">
        <is>
          <t>Macro skill</t>
        </is>
      </c>
      <c r="F126" s="161" t="inlineStr">
        <is>
          <t>43. Agree and sign the supervision contract</t>
        </is>
      </c>
      <c r="G126" s="162" t="inlineStr">
        <is>
          <t>Everything about this skill is on this row. Scroll right.</t>
        </is>
      </c>
      <c r="H126" s="158" t="n"/>
      <c r="I126" s="158" t="n"/>
      <c r="J126" s="158" t="n"/>
      <c r="K126" s="158">
        <f>COUNTIF(Log!$G$3:$G$402,"43. Agree and sign the supervision contract")</f>
        <v/>
      </c>
      <c r="L126" s="163">
        <f>IF(COUNTIF(Log!$G$3:$G$402,"43. Agree and sign the supervision contract")=0,"",SUMPRODUCT(MAX((Log!$G$3:$G$402="43. Agree and sign the supervision contract")*Log!$A$3:$A$402)))</f>
        <v/>
      </c>
      <c r="M126" s="164" t="inlineStr">
        <is>
          <t>—</t>
        </is>
      </c>
      <c r="N126" s="164" t="inlineStr">
        <is>
          <t>▸  PSI 3.3.9
     Act to minimise the impact of research activities on participants' personality or their mental or physical integrity.</t>
        </is>
      </c>
      <c r="O126" s="165" t="inlineStr">
        <is>
          <t>The contract is the document that makes everything else enforceable. Without it, the weekly hour is a courtesy that gets cancelled when the caseload gets heavy, and you have no standing to ask for it back. PSI Accreditation 3.3.9 requires a placement contract, thirty minutes of supervision per placement day, observation in both directions, a mid-placement review and two review meetings with written feedback. Those are not favours. Signing it in week one is also the only moment when asking for something feels normal rather than like a complaint.</t>
        </is>
      </c>
      <c r="P126" s="165" t="inlineStr">
        <is>
          <t>▸  What you are actually entitled to
     One hour of formal supervision weekly. Thirty minutes per placement day in total, which for four days a week means two hours — the weekly hour plus an hour of informal contact. Observation of you by your supervisor, and observation of your supervisor by you. A mid-placement review. Two review meetings with written feedback. Read PSI Accreditation 3.3.9 yourself before the conversation so you are quoting a standard rather than making a request.
▸  What to put in beyond the minimum
     How and when you contact your supervisor out of session, and what counts as urgent. What happens when they are on leave — who covers, and how you reach them. How disagreements about a case get resolved. What is recorded and who holds it. Whether supervision notes are shareable with UCD. Confidentiality of what you disclose about your own practice. Adjustments you need in order to work well, which you are entitled to raise and which are better agreed in writing at the start than negotiated in October.
▸  Drafting it so it survives a busy term
     Write the day and time of the weekly hour into the contract, not 'weekly'. Name what happens if it is missed — rescheduled within the same week, not dropped. Specify the observation dates in advance if you can, because observations are the item most likely to slip to the end and then not happen. Both of you sign and date it, and you keep a copy.
▸  Raising adjustments without framing them as problems
     The phrasing that works is functional rather than personal: 'I work better with written follow-up after supervision, so I would like a short email summary of agreed actions' is a workflow request. It costs your supervisor two minutes and it protects you from a disputed recollection later. Put the ones that matter in the contract.
▸  The Cavan contract specifically
     This is a new supervisor and a new service. The Roscommon arrangement does not carry over automatically. Agree it in week one, before any casework, and use the opportunity to name the two Table 3 bands — Early Years and Young Adult — in the Appendix 1 at the same time, because neither can be added retrospectively.</t>
        </is>
      </c>
      <c r="Q126" s="165" t="inlineStr">
        <is>
          <t>▸  PSI Accreditation Standards (2022), section 3.3.9 — the supervision requirements in full. The text is on the Reference sheet, Part B.
▸  UCD Professional Placement Handbook Year 1, section 6 and Appendix 8.
▸  Scaife, J. (2019). Supervision in clinical practice: A practitioner's guide (3rd ed.). Routledge. — the chapter on contracting.
▸  Hawkins, P., &amp; McMahon, A. (2020). Supervision in the helping professions (5th ed.). Open University Press.</t>
        </is>
      </c>
      <c r="R126" s="166" t="inlineStr">
        <is>
          <t>✗  Not having one, and discovering in March that the weekly hour was never protected.
✗  Signing a template without reading it, so you do not know what you agreed to.
✗  Writing 'weekly' rather than a named day and time.
✗  Leaving observations undated, which is how they end up not happening.
✗  Assuming the Roscommon arrangement transfers to Cavan.</t>
        </is>
      </c>
      <c r="S126" s="154" t="inlineStr">
        <is>
          <t>▸  GRADE 3
     A contract exists and is signed.
▸  GRADE 4
     You negotiated its content rather than accepting a template, and it names times, cover arrangements and observation dates.
▸  GRADE 5
     You can cite the standard behind each entitlement, and the contract anticipates the situations that usually break supervision rather than only the ordinary case.</t>
        </is>
      </c>
      <c r="T126" s="165" t="inlineStr">
        <is>
          <t>▸  BLOCK 1 · Knowing what you are entitled to
     [2 hours, once  ·  Before placement  ·  Study]
     The dose, the review points, the observations — what the PSI and the handbook require.
     How you build it: Read PSI Accreditation 3.3.9 and Handbook §6. Both are short.
     ·  Know the 30 minutes per placement day entitlement
          you have it when: You can state it if the hour slips
          [PSI Accred 3.3.9]
     ·  Know the four components expected
          you have it when: Educative, supportive, evaluative, safeguarding
          [Handbook §6.1]
▸  BLOCK 2 · Drafting it
     [2 hours, once  ·  Weeks 1–2  ·  Habit]
     Bringing something rather than waiting to be given one.
     How you build it: Draft it before week one. Bring it in.
     ·  Bring a draft to week one
          you have it when: You arrived with something
          [Handbook §6]
     ·  Record day, time, duration and format
          you have it when: Specific, not 'as arranged'
          [Handbook §6]
     ·  Agree how cancellations are handled
          you have it when: Who rearranges, and by when
          [PSI Supervision Guidelines 2024]
     ·  Both sign and date it
          you have it when: It is signed
          [Handbook Appendix 8]</t>
        </is>
      </c>
      <c r="U126" s="165" t="inlineStr">
        <is>
          <t>No full chapter yet.</t>
        </is>
      </c>
      <c r="V126" s="165" t="inlineStr">
        <is>
          <t>—</t>
        </is>
      </c>
      <c r="W126" s="165" t="inlineStr">
        <is>
          <t>§6 · Appendix 8 · §6.1</t>
        </is>
      </c>
      <c r="X126" s="165" t="inlineStr">
        <is>
          <t>Children First Act 2015 — the duty is personal and does not wait for supervision</t>
        </is>
      </c>
      <c r="Y126" s="165" t="inlineStr">
        <is>
          <t>Year 1 — Repeated at every placement.</t>
        </is>
      </c>
    </row>
    <row r="127" ht="408.75" customHeight="1" s="128">
      <c r="A127" s="158" t="inlineStr">
        <is>
          <t>SKILL</t>
        </is>
      </c>
      <c r="B127" s="159" t="inlineStr">
        <is>
          <t>7. Supervision</t>
        </is>
      </c>
      <c r="C127" s="160" t="inlineStr">
        <is>
          <t>▸  Protecting it</t>
        </is>
      </c>
      <c r="D127" s="161" t="inlineStr">
        <is>
          <t>44. Take the weekly supervision hour</t>
        </is>
      </c>
      <c r="E127" s="158" t="inlineStr">
        <is>
          <t>Macro skill</t>
        </is>
      </c>
      <c r="F127" s="161" t="inlineStr">
        <is>
          <t>44. Take the weekly supervision hour</t>
        </is>
      </c>
      <c r="G127" s="162" t="inlineStr">
        <is>
          <t>Everything about this skill is on this row. Scroll right.</t>
        </is>
      </c>
      <c r="H127" s="158" t="n"/>
      <c r="I127" s="158" t="n"/>
      <c r="J127" s="158" t="n"/>
      <c r="K127" s="158">
        <f>COUNTIF(Log!$G$3:$G$402,"44. Take the weekly supervision hour")</f>
        <v/>
      </c>
      <c r="L127" s="163">
        <f>IF(COUNTIF(Log!$G$3:$G$402,"44. Take the weekly supervision hour")=0,"",SUMPRODUCT(MAX((Log!$G$3:$G$402="44. Take the weekly supervision hour")*Log!$A$3:$A$402)))</f>
        <v/>
      </c>
      <c r="M127" s="164" t="inlineStr">
        <is>
          <t>—</t>
        </is>
      </c>
      <c r="N127" s="164" t="inlineStr">
        <is>
          <t>▸  PSI 3.3.9
     Act to minimise the impact of research activities on participants' personality or their mental or physical integrity.</t>
        </is>
      </c>
      <c r="O127" s="165" t="inlineStr">
        <is>
          <t>The weekly hour is the single most protective thing in the placement, and it is the first thing to disappear when a caseload gets heavy. Trainees rarely lose it in one decision — it goes gradually, moved once, then shortened, then merged into a car journey, until it is not happening and nobody has said so. The hour is not a discussion of cases you could have had by email. It is where you find out what you did not know you did not know.</t>
        </is>
      </c>
      <c r="P127" s="165" t="inlineStr">
        <is>
          <t>▸  Protecting it structurally
     It is in the calendar as a recurring appointment with a location. It is not the last hour of the day, because the last hour is the one that gets eaten. If it moves, it moves within the same week and you book the replacement before you leave the conversation. If it is cancelled twice in a row, that is a pattern and you name it at the next one.
▸  Using an hour well
     An hour holds roughly three substantive items, not eight. Bring one case you are stuck on, one thing you did that you are unsure about, and one forward-looking item. Case updates that could be an email should be an email. The most valuable minutes are usually spent on the thing you were reluctant to raise.
▸  The difference between supervision and case management
     Case management asks what is happening and what happens next. Supervision asks what you were thinking, what you noticed in yourself, and what you might be missing. Placements drift toward case management because it is more comfortable for both people. If three sessions in a row have been status updates, say so — 'I think we have been doing case management; can we spend this one on how I am finding the work?'
▸  Counting it properly
     Thirty minutes per placement day is the standard. At four days a week that is two hours, of which one is the formal session. The informal hour is real supervision and counts — corridor conversations, a call after a difficult visit, a joint drive to a school. Record it in Appendix 8 rather than letting it go unlogged, because at the end of the placement the log is the evidence that the standard was met.
▸  When it is not working
     Supervision can be insufficient without anyone behaving badly — a supervisor stretched across too many schools, a service in transition. Raise it early and functionally: 'We have had two of the last five sessions. Can we look at how to protect it?' If that does not change it, UCD placement staff need to know, and the handbook gives you a route for raising concerns. Using that route is not disloyalty; it is what the route is for.</t>
        </is>
      </c>
      <c r="Q127" s="165" t="inlineStr">
        <is>
          <t>▸  PSI Accreditation Standards (2022), 3.3.9.
▸  UCD Professional Placement Handbook, section 6.1 and 6.2, and 6.4.3 on trainee concerns.
▸  Hawkins, P., &amp; McMahon, A. (2020). Supervision in the helping professions — the seven-eyed model, which gives you language for what a session is actually attending to.
▸  Carroll, M. (2014). Effective supervision for the helping professions (2nd ed.). Sage.</t>
        </is>
      </c>
      <c r="R127" s="166" t="inlineStr">
        <is>
          <t>✗  Letting it move to the end of the day.
✗  Arriving with nothing and treating it as a status update.
✗  Not logging the informal contact, then being unable to show the standard was met.
✗  Deciding a supervision problem is your fault for needing too much.
✗  Waiting until the end of placement to say it was not happening.</t>
        </is>
      </c>
      <c r="S127" s="154" t="inlineStr">
        <is>
          <t>▸  GRADE 3
     You attend supervision when it happens.
▸  GRADE 4
     You protect the hour, arrive prepared, and log both formal and informal contact.
▸  GRADE 5
     You can tell supervision from case management, you redirect it when it drifts, and you raise a shortfall early through the proper route.</t>
        </is>
      </c>
      <c r="T127" s="165" t="inlineStr">
        <is>
          <t>▸  BLOCK 1 · Protecting it
     [Habit  ·  Ongoing all year  ·  Habit]
     Treating the hour as fixed rather than movable.
     How you build it: Put it in the calendar as unavailable. Defend it twice and it stops being questioned.
     ·  Protect the hour
          you have it when: It happened
          [PSI Accred 3.3.9]
     ·  Raise it if it slips twice
          you have it when: It is a requirement, not a courtesy
          [PSI Accred 3.3.9]
     ·  Keep to 30 minutes per placement day cumulatively
          you have it when: You track the total
          [PSI Accred 3.3.9]</t>
        </is>
      </c>
      <c r="U127" s="165" t="inlineStr">
        <is>
          <t>No full chapter yet.</t>
        </is>
      </c>
      <c r="V127" s="165" t="inlineStr">
        <is>
          <t>—</t>
        </is>
      </c>
      <c r="W127" s="165" t="inlineStr">
        <is>
          <t>Table 2 area 7 · Handbook §6 one hour weekly · §6.1 four components · Appendix 6, 7 and 8</t>
        </is>
      </c>
      <c r="X127" s="165" t="inlineStr">
        <is>
          <t>Children First Act 2015 — the duty is personal and does not wait for supervision</t>
        </is>
      </c>
      <c r="Y127" s="165" t="inlineStr">
        <is>
          <t>Year 1 — Repeated at every placement.</t>
        </is>
      </c>
    </row>
    <row r="128" ht="408.75" customHeight="1" s="128">
      <c r="A128" s="158" t="inlineStr">
        <is>
          <t>SKILL</t>
        </is>
      </c>
      <c r="B128" s="159" t="inlineStr">
        <is>
          <t>7. Supervision</t>
        </is>
      </c>
      <c r="C128" s="160" t="inlineStr">
        <is>
          <t>▸  The habit
▸  Choosing the right items</t>
        </is>
      </c>
      <c r="D128" s="161" t="inlineStr">
        <is>
          <t>45. Prepare and send an agenda in advance</t>
        </is>
      </c>
      <c r="E128" s="158" t="inlineStr">
        <is>
          <t>Macro skill</t>
        </is>
      </c>
      <c r="F128" s="161" t="inlineStr">
        <is>
          <t>45. Prepare and send an agenda in advance</t>
        </is>
      </c>
      <c r="G128" s="162" t="inlineStr">
        <is>
          <t>Everything about this skill is on this row. Scroll right.</t>
        </is>
      </c>
      <c r="H128" s="158" t="n"/>
      <c r="I128" s="158" t="n"/>
      <c r="J128" s="158" t="n"/>
      <c r="K128" s="158">
        <f>COUNTIF(Log!$G$3:$G$402,"45. Prepare and send an agenda in advance")</f>
        <v/>
      </c>
      <c r="L128" s="163">
        <f>IF(COUNTIF(Log!$G$3:$G$402,"45. Prepare and send an agenda in advance")=0,"",SUMPRODUCT(MAX((Log!$G$3:$G$402="45. Prepare and send an agenda in advance")*Log!$A$3:$A$402)))</f>
        <v/>
      </c>
      <c r="M128" s="164" t="inlineStr">
        <is>
          <t>▸  CORU 4.3
     Be able to evaluate and reflect critically on own professional practice to identify learning and development needs; select appropriate learning activities to achieve professional development goals; and integrate new knowledge and skills into professional practice</t>
        </is>
      </c>
      <c r="N128" s="164" t="inlineStr">
        <is>
          <t>▸  PSI 3.3.9
     Act to minimise the impact of research activities on participants' personality or their mental or physical integrity.
▸  PSI 4.1.2
     Seek emotional support and/or supervision from colleagues when feeling stressed or vulnerable due to professional dilemmas.</t>
        </is>
      </c>
      <c r="O128" s="165" t="inlineStr">
        <is>
          <t>An agenda sent the day before changes what the hour can do. Your supervisor arrives having thought about your questions instead of hearing them cold, and the session starts at the substance. It also protects you: an agenda is a dated record of what you raised and when, which matters if a concern later turns out to have been raised early and not acted on. CORU 4.3 requires you to evaluate and reflect critically on your own practice to identify learning needs — the agenda is where that becomes visible.</t>
        </is>
      </c>
      <c r="P128" s="165" t="inlineStr">
        <is>
          <t>▸  The fifteen-minute habit
     Same time every week, the day before. Three to five items, each one line, in priority order so that if you run out of time you have lost the least important thing rather than the most. Send it by email so it is timestamped and searchable.
▸  Choosing items that are worth an hour
     Good items share a shape: you have already thought about them and got stuck. 'CS26-02343 — I have two competing formulations and cannot decide which the data supports' is worth the hour. 'CS26-02343 update' is not. Bring the thinking, not just the problem.
▸  Including the uncomfortable item
     The thing you are avoiding raising is almost always the highest-value item. Something you are not sure you did correctly. A case you are dreading. A comment that landed badly. Put it on the agenda in writing, because once it is written you will raise it, and unwritten it will not survive the first twenty minutes of case updates.
▸  Marking what you want from each item
     Annotate: 'for a decision', 'for your view', 'for information'. It takes five extra words and stops the session spending twenty minutes on something you only needed noted. It also tells your supervisor when you are asking to be told what to do versus asking to think it through.
▸  Carrying actions forward
     End the agenda with last week's actions and their status. Two lines. It makes the sessions cumulative rather than a series of unconnected hours, and it produces the record of change that Appendix 6 and the reflective essay both ask you to demonstrate.</t>
        </is>
      </c>
      <c r="Q128" s="165" t="inlineStr">
        <is>
          <t>▸  UCD Professional Placement Handbook, section 6.2.
▸  Scaife, J. (2019). Supervision in clinical practice — the chapter on preparing for and using supervision.
▸  Carroll, M. (2014). Effective supervision for the helping professions — on the supervisee's responsibility for the session.</t>
        </is>
      </c>
      <c r="R128" s="166" t="inlineStr">
        <is>
          <t>✗  Sending it as you walk in, which removes the only benefit.
✗  Items that are status updates.
✗  Omitting the difficult item and then not raising it.
✗  Ten items, so the hour becomes a list read aloud.
✗  Never referring back, so nothing accumulates.</t>
        </is>
      </c>
      <c r="S128" s="154" t="inlineStr">
        <is>
          <t>▸  GRADE 3
     You sometimes arrive with notes.
▸  GRADE 4
     An agenda goes in advance every week, with items that show prior thinking.
▸  GRADE 5
     Items are marked for what you want from them, the uncomfortable item is on there, and actions carry forward so the sessions build.</t>
        </is>
      </c>
      <c r="T128" s="165" t="inlineStr">
        <is>
          <t>▸  BLOCK 1 · The habit
     [15 minutes weekly  ·  Weeks 1–2  ·  Habit]
     Sending three items the day before, every week.
     How you build it: Recurring calendar reminder. It is administration, not skill.
     ·  Send it the day before
          you have it when: In advance, not on arrival
          [Handbook §6.2]
     ·  Keep it to three items
          you have it when: Focused
          [Handbook §6.2]
     ·  Update on actions agreed last time
          you have it when: You closed the loop
          [Handbook §6.2]
▸  BLOCK 2 · Choosing the right items
     [Ongoing  ·  Weeks 7–12  ·  Habit]
     Learning to bring what you are avoiding.
     How you build it: Notice which case you did not mention. That is the one.
     ·  Include at least one thing that went badly
          you have it when: Not only successes
          [CORU SoP 4.3 · PSI Code 4.1.2]</t>
        </is>
      </c>
      <c r="U128" s="165" t="inlineStr">
        <is>
          <t>No full chapter yet.</t>
        </is>
      </c>
      <c r="V128" s="165" t="inlineStr">
        <is>
          <t>—</t>
        </is>
      </c>
      <c r="W128" s="165" t="inlineStr">
        <is>
          <t>Table 2 area 7 · Handbook §6 one hour weekly · §6.1 four components · Appendix 6, 7 and 8 · §6.2</t>
        </is>
      </c>
      <c r="X128" s="165" t="inlineStr">
        <is>
          <t>Children First Act 2015 — the duty is personal and does not wait for supervision</t>
        </is>
      </c>
      <c r="Y128" s="165" t="inlineStr">
        <is>
          <t>Year 1 — Habit, established once.</t>
        </is>
      </c>
    </row>
    <row r="129" ht="408.75" customHeight="1" s="128">
      <c r="A129" s="158" t="inlineStr">
        <is>
          <t>SKILL</t>
        </is>
      </c>
      <c r="B129" s="159" t="inlineStr">
        <is>
          <t>7. Supervision</t>
        </is>
      </c>
      <c r="C129" s="160" t="inlineStr">
        <is>
          <t>▸  The record itself
▸  Tagging it
▸  The dilemma entry</t>
        </is>
      </c>
      <c r="D129" s="161" t="inlineStr">
        <is>
          <t>46. Keep supervision session records</t>
        </is>
      </c>
      <c r="E129" s="158" t="inlineStr">
        <is>
          <t>Macro skill</t>
        </is>
      </c>
      <c r="F129" s="161" t="inlineStr">
        <is>
          <t>46. Keep supervision session records</t>
        </is>
      </c>
      <c r="G129" s="162" t="inlineStr">
        <is>
          <t>Everything about this skill is on this row. Scroll right.</t>
        </is>
      </c>
      <c r="H129" s="158" t="n"/>
      <c r="I129" s="158" t="n"/>
      <c r="J129" s="158" t="n"/>
      <c r="K129" s="158">
        <f>COUNTIF(Log!$G$3:$G$402,"46. Keep supervision session records")</f>
        <v/>
      </c>
      <c r="L129" s="163">
        <f>IF(COUNTIF(Log!$G$3:$G$402,"46. Keep supervision session records")=0,"",SUMPRODUCT(MAX((Log!$G$3:$G$402="46. Keep supervision session records")*Log!$A$3:$A$402)))</f>
        <v/>
      </c>
      <c r="M129" s="164" t="inlineStr">
        <is>
          <t>—</t>
        </is>
      </c>
      <c r="N129" s="164" t="inlineStr">
        <is>
          <t>▸  PSI 3.3.9
     Act to minimise the impact of research activities on participants' personality or their mental or physical integrity.
▸  PSI 4.1.2
     Seek emotional support and/or supervision from colleagues when feeling stressed or vulnerable due to professional dilemmas.</t>
        </is>
      </c>
      <c r="O129" s="165" t="inlineStr">
        <is>
          <t>Appendix 8 is assessed, and it is also the only proof that the supervision standard was met. Written on the day it takes ten minutes; reconstructed in June it is visibly reconstructed, and an examiner can tell. More than that, the record is where you can see your own development — a June entry compared with a February one is the clearest evidence of change you will have, and the reflective essay depends on it.</t>
        </is>
      </c>
      <c r="P129" s="165" t="inlineStr">
        <is>
          <t>▸  The ten-minute record
     Date, duration, format, who was present. What was discussed, in a few lines per item. What was decided and by whom. What you are doing before next time. Written within the day, not the week. If you write it in the car before you drive off, it takes eight minutes and is accurate.
▸  Tagging against the competencies
     Mark each entry with the competency or competencies it touched. It costs nothing at the time and it means that in December you can answer 'what supervision did I get on systemic change?' by filtering rather than by reading eighteen records. This is also what lets the Log's competency tags do their work — supervision is evidence, not just support.
▸  The dilemma entry
     When an ethical dilemma arises, the record is longer and has a specific shape: what the dilemma was, who was affected, which Code clauses were in tension, what options you generated, what you decided, and what happened. PSI 3.6.1 requires a systematic procedure and the Code's Appendix A sets one out. A single well-written dilemma entry is worth more in the portfolio than twenty routine ones, and Ethical Practice is hard to evidence any other way.
▸  What not to put in
     Supervision records are not case files. Identify cases by reference number, not by name. Do not record third-party personal information that belongs in the case file. Be careful recording your own health or personal circumstances — note that an adjustment was discussed, not the underlying detail. PSI 1.2.6 and 1.2.8 apply to these records as much as to any other.
▸  Getting it countersigned
     Ask your supervisor to sign the records periodically rather than all at the end. A run of unsigned records in June is a problem; a signature each month is administration. The same logic applies to Appendix 4 — you are currently carrying an unsigned 84-day log, and that is exactly the situation to avoid repeating.</t>
        </is>
      </c>
      <c r="Q129" s="165" t="inlineStr">
        <is>
          <t>▸  UCD Professional Placement Handbook, Appendix 8 and section 6.1.
▸  PSI Code of Professional Ethics (2025), 3.6.1 and Appendix A — the ethical decision-making procedure, reproduced on the Reference sheet.
▸  Scaife, J. (2019). Supervision in clinical practice — on recording.</t>
        </is>
      </c>
      <c r="R129" s="166" t="inlineStr">
        <is>
          <t>✗  Writing them up in bulk at the end of placement.
✗  Recording what was discussed but not what was decided.
✗  Naming children in supervision records.
✗  No dilemma entries, leaving Ethical Practice thinly evidenced.
✗  Leaving all countersignature to the final week.</t>
        </is>
      </c>
      <c r="S129" s="154" t="inlineStr">
        <is>
          <t>▸  GRADE 3
     Records exist for most sessions.
▸  GRADE 4
     Written within the day, covering discussion, decisions and actions, and tagged to competencies.
▸  GRADE 5
     At least one full dilemma entry following a systematic procedure, records countersigned as you go, and the sequence shows development over time.</t>
        </is>
      </c>
      <c r="T129" s="165" t="inlineStr">
        <is>
          <t>▸  BLOCK 1 · The record itself
     [10 minutes per session  ·  Weeks 1–2  ·  Habit]
     What an Appendix 8 record must contain and how many you need.
     How you build it: 19 for a 75-day placement. Write it the same day.
     ·  Complete a record for every session
          you have it when: 19 for a 75-day placement
          [Handbook Appendix 8]
     ·  Record topics, actions and who does what
          you have it when: Actions are specific
          [Handbook §6.1]
     ·  Get them co-signed
          you have it when: Signed, not just written
          [Handbook Appendix 8]
▸  BLOCK 2 · Tagging it
     [Habit  ·  Weeks 1–2  ·  Habit]
     Marking which component each session covered.
     How you build it: Four letters in the margin. Ten seconds.
     ·  Tag which of the four components the session covered
          you have it when: E, S, Ev, Sg
          [Handbook §6.1]
▸  BLOCK 3 · The dilemma entry
     [30 minutes when it arises  ·  Ongoing all year  ·  Habit]
     Recording an ethical dilemma using the seven steps.
     How you build it: Write it the same day it happens. It is the strongest ethics evidence you will have.
     ·  Record any ethical dilemma using the seven steps
          you have it when: All seven, from PSI Appendix A
          [PSI Code Appendix A]</t>
        </is>
      </c>
      <c r="U129" s="165" t="inlineStr">
        <is>
          <t>No full chapter yet.</t>
        </is>
      </c>
      <c r="V129" s="165" t="inlineStr">
        <is>
          <t>—</t>
        </is>
      </c>
      <c r="W129" s="165" t="inlineStr">
        <is>
          <t>Appendix 8 · §6.1 · Table 2 area 7 · Handbook §6 one hour weekly · §6.1 four components · Appendix 6, 7 and 8 · §6.1</t>
        </is>
      </c>
      <c r="X129" s="165" t="inlineStr">
        <is>
          <t>Children First Act 2015 — the duty is personal and does not wait for supervision</t>
        </is>
      </c>
      <c r="Y129" s="165" t="inlineStr">
        <is>
          <t>Year 1 — Habit, established once.</t>
        </is>
      </c>
    </row>
    <row r="130" ht="408.75" customHeight="1" s="128">
      <c r="A130" s="158" t="inlineStr">
        <is>
          <t>SKILL</t>
        </is>
      </c>
      <c r="B130" s="159" t="inlineStr">
        <is>
          <t>7. Supervision</t>
        </is>
      </c>
      <c r="C130" s="160" t="inlineStr">
        <is>
          <t>▸  Arranging it
▸  Watching usefully</t>
        </is>
      </c>
      <c r="D130" s="161" t="inlineStr">
        <is>
          <t>47. Observe your supervisor with a client</t>
        </is>
      </c>
      <c r="E130" s="158" t="inlineStr">
        <is>
          <t>Macro skill</t>
        </is>
      </c>
      <c r="F130" s="161" t="inlineStr">
        <is>
          <t>47. Observe your supervisor with a client</t>
        </is>
      </c>
      <c r="G130" s="162" t="inlineStr">
        <is>
          <t>Everything about this skill is on this row. Scroll right.</t>
        </is>
      </c>
      <c r="H130" s="158" t="n"/>
      <c r="I130" s="158" t="n"/>
      <c r="J130" s="158" t="n"/>
      <c r="K130" s="158">
        <f>COUNTIF(Log!$G$3:$G$402,"47. Observe your supervisor with a client")</f>
        <v/>
      </c>
      <c r="L130" s="163">
        <f>IF(COUNTIF(Log!$G$3:$G$402,"47. Observe your supervisor with a client")=0,"",SUMPRODUCT(MAX((Log!$G$3:$G$402="47. Observe your supervisor with a client")*Log!$A$3:$A$402)))</f>
        <v/>
      </c>
      <c r="M130" s="164" t="inlineStr">
        <is>
          <t>▸  CORU 5.8
     Know the basic principles of effective teaching and learning, mentoring and supervision</t>
        </is>
      </c>
      <c r="N130" s="164" t="inlineStr">
        <is>
          <t>▸  PSI 3.3.9
     Act to minimise the impact of research activities on participants' personality or their mental or physical integrity.
▸  PSI 4.1.2
     Seek emotional support and/or supervision from colleagues when feeling stressed or vulnerable due to professional dilemmas.</t>
        </is>
      </c>
      <c r="O130" s="165" t="inlineStr">
        <is>
          <t>You learn more from watching an experienced psychologist handle a difficult moment than from any amount of reading about it. Specifically, you learn the things nobody writes down: how they open with a wary parent, what they do when a child refuses a subtest, how they close a feedback meeting that has gone badly. PSI Accreditation 3.3.9 requires observation in both directions, and trainees routinely complete the being-observed half and skip this one.</t>
        </is>
      </c>
      <c r="P130" s="165" t="inlineStr">
        <is>
          <t>▸  Arranging it early
     Ask in week one, before the caseload builds. Ask for a specific thing — 'could I sit in on a feedback meeting?' — rather than 'could I observe you sometime', which produces agreement and no date. Get it in the diary. Consent from the family is required and your supervisor arranges that, but you should ask early enough that it is possible.
▸  Watching for process, not content
     You already know what a WISC-V administration looks like. Watch how they manage the room: where they sit, how they handle an interruption, what they say when a child gets a run of items wrong, how they signal that a section is ending. Write down verbatim phrases — the actual words someone uses to decline to give a score on the day are more useful than a principle about managing expectations.
▸  Watching the difficult moments especially
     The valuable minutes are where something goes slightly wrong. A parent becomes upset. A teacher disagrees in front of the parent. A child discloses something unexpected. Note exactly what your supervisor did, including the pause before they spoke. These are the moments you will face and have no script for.
▸  Debriefing while it is fresh
     Ask afterwards about a decision you noticed: 'you changed tack when she mentioned the older brother — what were you thinking?' Experienced practitioners make these moves automatically and often have not articulated them until asked. This question is where most of the learning is.
▸  Recording it as evidence
     This is an Appendix 7 form and it counts. Two of your four Appendix 7 observations can be you observing your supervisor. Complete your section on the day, not in June — the four Roscommon forms are currently sitting with your sections blank, which is the position this habit avoids.</t>
        </is>
      </c>
      <c r="Q130" s="165" t="inlineStr">
        <is>
          <t>▸  UCD Professional Placement Handbook, section 6.2 and Appendix 7.
▸  PSI Accreditation Standards (2022), 3.3.9.
▸  Hawkins, P., &amp; McMahon, A. (2020). Supervision in the helping professions — on modelling and observational learning in supervision.</t>
        </is>
      </c>
      <c r="R130" s="166" t="inlineStr">
        <is>
          <t>✗  Asking vaguely and never getting a date.
✗  Watching the content you already know rather than the process you do not.
✗  Not asking about the decisions you noticed.
✗  Leaving the Appendix 7 form blank on the day.
✗  Treating it as optional because the standard is usually policed in one direction.</t>
        </is>
      </c>
      <c r="S130" s="154" t="inlineStr">
        <is>
          <t>▸  GRADE 3
     You have observed your supervisor at least once.
▸  GRADE 4
     You observed with a focus, recorded process rather than content, and debriefed.
▸  GRADE 5
     You can name specific techniques you adopted from the observation and point to where you have since used them.</t>
        </is>
      </c>
      <c r="T130" s="165" t="inlineStr">
        <is>
          <t>▸  BLOCK 1 · Arranging it
     [Ask once  ·  Weeks 1–2  ·  Habit]
     Getting it booked in the first weeks rather than the last.
     How you build it: Ask in week one. The handbook says occasional rather than protracted.
     ·  Arrange it in the first weeks
          you have it when: Front-loaded, as the handbook expects
          [Handbook §6.2]
▸  BLOCK 2 · Watching usefully
     [1 hour per observation  ·  Weeks 3–6  ·  Practice]
     Having a focus rather than watching generally.
     How you build it: Agree what you are watching for beforehand. Write it down.
     ·  Agree a focus before observing
          you have it when: You knew what you were watching for
          [CORU SoP 5.8]
     ·  Record what they did that you would not have
          you have it when: Specific, not general admiration
          [CORU SoP 4.3]
     ·  Ask afterwards why they did it that way
          you have it when: You asked
          [CORU SoP 4.5]</t>
        </is>
      </c>
      <c r="U130" s="165" t="inlineStr">
        <is>
          <t>No full chapter yet.</t>
        </is>
      </c>
      <c r="V130" s="165" t="inlineStr">
        <is>
          <t>—</t>
        </is>
      </c>
      <c r="W130" s="165" t="inlineStr">
        <is>
          <t>Table 2 area 7 · Handbook §6 one hour weekly · §6.1 four components · Appendix 6, 7 and 8 · §6.2</t>
        </is>
      </c>
      <c r="X130" s="165" t="inlineStr">
        <is>
          <t>Children First Act 2015 — the duty is personal and does not wait for supervision</t>
        </is>
      </c>
      <c r="Y130" s="165" t="inlineStr">
        <is>
          <t>Year 1 — Occasional rather than protracted, per handbook §6.2.</t>
        </is>
      </c>
    </row>
    <row r="131" ht="408.75" customHeight="1" s="128">
      <c r="A131" s="158" t="inlineStr">
        <is>
          <t>SKILL</t>
        </is>
      </c>
      <c r="B131" s="159" t="inlineStr">
        <is>
          <t>7. Supervision</t>
        </is>
      </c>
      <c r="C131" s="160" t="inlineStr">
        <is>
          <t>▸  Arranging it
▸  Choosing the focus
▸  Receiving it</t>
        </is>
      </c>
      <c r="D131" s="161" t="inlineStr">
        <is>
          <t>48. Be observed with a client</t>
        </is>
      </c>
      <c r="E131" s="158" t="inlineStr">
        <is>
          <t>Macro skill</t>
        </is>
      </c>
      <c r="F131" s="161" t="inlineStr">
        <is>
          <t>48. Be observed with a client</t>
        </is>
      </c>
      <c r="G131" s="162" t="inlineStr">
        <is>
          <t>Everything about this skill is on this row. Scroll right.</t>
        </is>
      </c>
      <c r="H131" s="158" t="n"/>
      <c r="I131" s="158" t="n"/>
      <c r="J131" s="158" t="n"/>
      <c r="K131" s="158">
        <f>COUNTIF(Log!$G$3:$G$402,"48. Be observed with a client")</f>
        <v/>
      </c>
      <c r="L131" s="163">
        <f>IF(COUNTIF(Log!$G$3:$G$402,"48. Be observed with a client")=0,"",SUMPRODUCT(MAX((Log!$G$3:$G$402="48. Be observed with a client")*Log!$A$3:$A$402)))</f>
        <v/>
      </c>
      <c r="M131" s="164" t="inlineStr">
        <is>
          <t>▸  CORU 4.3
     Be able to evaluate and reflect critically on own professional practice to identify learning and development needs; select appropriate learning activities to achieve professional development goals; and integrate new knowledge and skills into professional practice
▸  CORU 4.5
     Understand the importance of and be able to seek professional development, supervision, feedback and peer review opportunities in order to continuously improve practice</t>
        </is>
      </c>
      <c r="N131" s="164" t="inlineStr">
        <is>
          <t>▸  PSI 3.3.9
     Act to minimise the impact of research activities on participants' personality or their mental or physical integrity.
▸  PSI 3.5.2
     Facilitate the professional and scientific development of those whose work they supervise by arranging appropriate work experience and offering constructive feedback.
▸  PSI 4.1.2
     Seek emotional support and/or supervision from colleagues when feeling stressed or vulnerable due to professional dilemmas.</t>
        </is>
      </c>
      <c r="O131" s="165" t="inlineStr">
        <is>
          <t>Being observed is the only way anyone finds out what you actually do, as opposed to what you report doing. Reports and supervision both pass through your own account of the session. Observation does not. It is also the most anxiety-provoking part of placement for most trainees, which is precisely why it should happen early and often enough to stop being an event.</t>
        </is>
      </c>
      <c r="P131" s="165" t="inlineStr">
        <is>
          <t>▸  Arranging it early and more than the minimum
     Two observations is a minimum, not a target. Early ones are more useful because there is still time to change something. Ask for the first within the first month, on something ordinary rather than something you have over-prepared.
▸  Choosing and naming the focus
     Tell your supervisor what to watch for. 'I want feedback on how I handle the transition between subtests' produces something usable. 'Any feedback welcome' produces general reassurance. Naming the focus also means you are directing your own development, which is what CORU 4.3 asks for.
▸  Being observed on something difficult
     It is tempting to be observed doing the thing you are best at. The observation is worth more if it is the thing you are unsure of — a feedback meeting with a parent who disagrees, an interview with a reluctant adolescent. You are not being marked on polish; you are being marked on whether you can use feedback.
▸  Receiving feedback without collapsing or defending
     Both reactions cost you the same thing: the information. Write it down as it is given, ask a clarifying question, and do not respond to the substance in the room. Sit with it, then come back the following week with what you did about it. That return is the part that gets noticed.
▸  Completing your own section of the form
     Appendix 7 has a trainee section and it is yours to write. It asks what you thought, what you would change, and what you will do differently. Complete it the same day while you can remember the session. You have four forms from Roscommon with the supervisor's half done and yours empty — those are the quickest item on your outstanding list and they are getting harder to write with every week that passes.</t>
        </is>
      </c>
      <c r="Q131" s="165" t="inlineStr">
        <is>
          <t>▸  UCD Professional Placement Handbook, section 6.2 and Appendix 7.
▸  CORU Standards of Proficiency 4.3 and 4.5 — the text is on the Reference sheet.
▸  Scaife, J. (2019). Supervision in clinical practice — on live observation and on receiving feedback.
▸  Stone, D., &amp; Heen, S. (2014). Thanks for the feedback. Viking. — not a psychology text, and the most practically useful thing written on receiving feedback.</t>
        </is>
      </c>
      <c r="R131" s="166" t="inlineStr">
        <is>
          <t>✗  Leaving both observations to the end of placement.
✗  Asking for general feedback and getting reassurance.
✗  Being observed only on your strongest activity.
✗  Defending in the room instead of listening.
✗  Leaving your section of the form blank — the single most common outstanding item.</t>
        </is>
      </c>
      <c r="S131" s="154" t="inlineStr">
        <is>
          <t>▸  GRADE 3
     You have been observed the minimum number of times.
▸  GRADE 4
     You named a focus in advance, completed your section on the day, and acted on the feedback.
▸  GRADE 5
     You chose to be observed on something you found difficult, and you can show a specific change in practice that followed.</t>
        </is>
      </c>
      <c r="T131" s="165" t="inlineStr">
        <is>
          <t>▸  BLOCK 1 · Arranging it
     [Ask once  ·  Weeks 1–2  ·  Habit]
     Booking both early rather than scrambling in the final fortnight.
     How you build it: Book both in the first month. Diary them.
     ·  Arrange both observations early
          you have it when: Booked in the first month
          [Handbook §6.2]
▸  BLOCK 2 · Choosing the focus
     [Habit  ·  Weeks 3–6  ·  Habit]
     Asking to be watched on the thing you find hard.
     How you build it: Name it explicitly when you ask. Rapport, feedback, a difficult consultation.
     ·  Request a focus you find hard
          you have it when: Not administration, which is easiest
          [CORU SoP 4.5]
▸  BLOCK 3 · Receiving it
     [Ongoing  ·  Weeks 7–12  ·  Practice]
     Taking critical feedback without defending, then acting on it.
     How you build it: Write it down verbatim before responding. Respond next session.
     ·  Receive critical feedback without defending
          you have it when: You listened
          [CORU SoP 4.3 · PSI Code 3.5.2]
     ·  Act on the feedback and say so next time
          you have it when: Something changed
          [CORU SoP 4.3]</t>
        </is>
      </c>
      <c r="U131" s="165" t="inlineStr">
        <is>
          <t>No full chapter yet.</t>
        </is>
      </c>
      <c r="V131" s="165" t="inlineStr">
        <is>
          <t>—</t>
        </is>
      </c>
      <c r="W131" s="165" t="inlineStr">
        <is>
          <t>Table 2 area 7 · Handbook §6 one hour weekly · §6.1 four components · Appendix 6, 7 and 8 · §6.2</t>
        </is>
      </c>
      <c r="X131" s="165" t="inlineStr">
        <is>
          <t>Children First Act 2015 — the duty is personal and does not wait for supervision</t>
        </is>
      </c>
      <c r="Y131" s="165" t="inlineStr">
        <is>
          <t>Year 1 — Minimum twice per placement, every placement, all three years.</t>
        </is>
      </c>
    </row>
    <row r="132" ht="408.75" customHeight="1" s="128">
      <c r="A132" s="158" t="inlineStr">
        <is>
          <t>SKILL</t>
        </is>
      </c>
      <c r="B132" s="159" t="inlineStr">
        <is>
          <t>7. Supervision</t>
        </is>
      </c>
      <c r="C132" s="160" t="inlineStr">
        <is>
          <t>▸  Knowing what counts
▸  Acting anyway</t>
        </is>
      </c>
      <c r="D132" s="161" t="inlineStr">
        <is>
          <t>49. Raise immediate concerns out of session</t>
        </is>
      </c>
      <c r="E132" s="158" t="inlineStr">
        <is>
          <t>Macro skill</t>
        </is>
      </c>
      <c r="F132" s="161" t="inlineStr">
        <is>
          <t>49. Raise immediate concerns out of session</t>
        </is>
      </c>
      <c r="G132" s="162" t="inlineStr">
        <is>
          <t>Everything about this skill is on this row. Scroll right.</t>
        </is>
      </c>
      <c r="H132" s="158" t="n"/>
      <c r="I132" s="158" t="n"/>
      <c r="J132" s="158" t="n"/>
      <c r="K132" s="158">
        <f>COUNTIF(Log!$G$3:$G$402,"49. Raise immediate concerns out of session")</f>
        <v/>
      </c>
      <c r="L132" s="163">
        <f>IF(COUNTIF(Log!$G$3:$G$402,"49. Raise immediate concerns out of session")=0,"",SUMPRODUCT(MAX((Log!$G$3:$G$402="49. Raise immediate concerns out of session")*Log!$A$3:$A$402)))</f>
        <v/>
      </c>
      <c r="M132" s="164" t="inlineStr">
        <is>
          <t>—</t>
        </is>
      </c>
      <c r="N132" s="164" t="inlineStr">
        <is>
          <t>▸  PSI 3.3.9
     Act to minimise the impact of research activities on participants' personality or their mental or physical integrity.
▸  PSI 4.1.2
     Seek emotional support and/or supervision from colleagues when feeling stressed or vulnerable due to professional dilemmas.</t>
        </is>
      </c>
      <c r="O132" s="165" t="inlineStr">
        <is>
          <t>Some things cannot wait until Thursday. The handbook at section 6.2 requires you to raise crises immediately, and the reason trainees fail to is almost never that they did not recognise the concern — it is that they did not want to interrupt, or were not sure it was serious enough. The cost of interrupting your supervisor unnecessarily is two minutes of their time. The cost of not interrupting them is potentially a child's safety and your registration. These are not comparable.</t>
        </is>
      </c>
      <c r="P132" s="165" t="inlineStr">
        <is>
          <t>▸  What counts as immediate
     A child protection or welfare concern under Children First. A disclosure of harm. A child indicating intent to harm themselves or another. An injury you observed. A situation where you believe a child is unsafe. Something you did that you think may have been an error with consequences. A parent or school response that has escalated beyond what you can manage. Anything where waiting three days would change the outcome.
▸  Deciding in the moment
     The test is simple and deliberately low: if you are asking yourself whether this is serious enough to interrupt someone, it is. Trainees systematically under-call, not over-call. Make the call.
▸  The sequence
     Stop the activity. Do not question the child further — that is not your role and it can compromise a later process. Write down what was said or observed, verbatim where possible, with the time. Contact your supervisor the same day. Follow the school's Designated Liaison Person route. Record who you told, when, and what was agreed. Then write your own record of what you did. Know your service's protocol and the DLP's name for each school before you need them, not on the day.
▸  Acting when you cannot reach your supervisor
     The contract should say who covers. If it does not and you cannot reach anyone, the DLP route in the school still exists and Children First still binds you. You do not get to wait because the person you wanted to call did not answer. Record every attempt to make contact.
▸  Afterwards
     Bring it to the next formal session even though it is resolved, and write a dilemma entry in Appendix 8. A managed disclosure is significant evidence for Ethical Practice and for this competency — you managed one at Grange on 22/05/2026, and that day should be written up as evidence rather than left as a line in the day log.</t>
        </is>
      </c>
      <c r="Q132" s="165" t="inlineStr">
        <is>
          <t>▸  Children First: National Guidance for the Protection and Welfare of Children (DCEDIY, current edition), and your NEPS service's own protocol.
▸  UCD Professional Placement Handbook, section 6.2.
▸  PSI Code of Professional Ethics (2025), 3.3.4, 1.2.5 and 1.3.14 — on acting where serious harm is possible, and the limits of confidentiality.
▸  CORU Standards of Proficiency 1.12 and 3.10.</t>
        </is>
      </c>
      <c r="R132" s="166" t="inlineStr">
        <is>
          <t>✗  Waiting for the next scheduled session.
✗  Continuing the assessment after a disclosure.
✗  Questioning the child to find out more.
✗  Recording it only in your own notes and telling no one that day.
✗  Not knowing the DLP's name for the school you are in today.</t>
        </is>
      </c>
      <c r="S132" s="154" t="inlineStr">
        <is>
          <t>▸  GRADE 3
     You know that immediate concerns must be raised immediately.
▸  GRADE 4
     You can state what counts, and you have the protocol and the DLP route to hand.
▸  GRADE 5
     You have followed the sequence in a live situation, recorded it properly, and written it up as a dilemma entry afterwards.</t>
        </is>
      </c>
      <c r="T132" s="165" t="inlineStr">
        <is>
          <t>▸  BLOCK 1 · Knowing what counts
     [1 hour, week one  ·  Weeks 1–2  ·  Study]
     Crisis, client welfare concern, ethical dilemma — the handbook names all three.
     How you build it: Read §6.2. Ask your supervisor what else counts here.
     ·  Know what counts as immediate here
          you have it when: Crisis, welfare concern, ethical dilemma
          [Handbook §6.2]
     ·  Know how to reach your supervisor out of session
          you have it when: You have the number
          [Handbook §6.2]
▸  BLOCK 2 · Acting anyway
     [Once, properly  ·  Weeks 1–2  ·  Study]
     Understanding that supervision informs your decision but does not replace it.
     How you build it: Know that a mandated report does not wait for anyone.
     ·  Act first where the duty is yours
          you have it when: Supervision informs, it does not replace
          [Children First Act 2015 · CORU SoP 1.17]
     ·  Record the contact and what was agreed
          you have it when: Time and content
          [Handbook Appendix 8]</t>
        </is>
      </c>
      <c r="U132" s="165" t="inlineStr">
        <is>
          <t>No full chapter yet.</t>
        </is>
      </c>
      <c r="V132" s="165" t="inlineStr">
        <is>
          <t>▸  3.7 Risk and safeguarding
     full entry under 39. Recognise and act on child protection concerns
▸  5.5 Involvement of other services
     full entry under 27. Attend service team meetings</t>
        </is>
      </c>
      <c r="W132" s="165" t="inlineStr">
        <is>
          <t>Appendix 8 · §6.2</t>
        </is>
      </c>
      <c r="X132" s="165" t="inlineStr">
        <is>
          <t>Children First Act 2015 · Children First Act 2015 — the duty is personal and does not wait for supervision</t>
        </is>
      </c>
      <c r="Y132" s="165" t="inlineStr">
        <is>
          <t>Year 1 — The threshold for what counts as immediate rises with competence.</t>
        </is>
      </c>
    </row>
    <row r="133" ht="408.75" customHeight="1" s="128">
      <c r="A133" s="158" t="inlineStr">
        <is>
          <t>SKILL</t>
        </is>
      </c>
      <c r="B133" s="159" t="inlineStr">
        <is>
          <t>7. Supervision</t>
        </is>
      </c>
      <c r="C133" s="160" t="inlineStr">
        <is>
          <t>▸  Turning up
▸  Presenting
▸  Contributing to others</t>
        </is>
      </c>
      <c r="D133" s="161" t="inlineStr">
        <is>
          <t>50. Contribute to peer and group supervision</t>
        </is>
      </c>
      <c r="E133" s="158" t="inlineStr">
        <is>
          <t>Macro skill</t>
        </is>
      </c>
      <c r="F133" s="161" t="inlineStr">
        <is>
          <t>50. Contribute to peer and group supervision</t>
        </is>
      </c>
      <c r="G133" s="162" t="inlineStr">
        <is>
          <t>Everything about this skill is on this row. Scroll right.</t>
        </is>
      </c>
      <c r="H133" s="158" t="n"/>
      <c r="I133" s="158" t="n"/>
      <c r="J133" s="158" t="n"/>
      <c r="K133" s="158">
        <f>COUNTIF(Log!$G$3:$G$402,"50. Contribute to peer and group supervision")</f>
        <v/>
      </c>
      <c r="L133" s="163">
        <f>IF(COUNTIF(Log!$G$3:$G$402,"50. Contribute to peer and group supervision")=0,"",SUMPRODUCT(MAX((Log!$G$3:$G$402="50. Contribute to peer and group supervision")*Log!$A$3:$A$402)))</f>
        <v/>
      </c>
      <c r="M133" s="164" t="inlineStr">
        <is>
          <t>▸  CORU 4.5
     Understand the importance of and be able to seek professional development, supervision, feedback and peer review opportunities in order to continuously improve practice
▸  CORU 5.8
     Know the basic principles of effective teaching and learning, mentoring and supervision</t>
        </is>
      </c>
      <c r="N133" s="164" t="inlineStr">
        <is>
          <t>▸  PSI 3.3.9
     Act to minimise the impact of research activities on participants' personality or their mental or physical integrity.
▸  PSI 4.1.2
     Seek emotional support and/or supervision from colleagues when feeling stressed or vulnerable due to professional dilemmas.</t>
        </is>
      </c>
      <c r="O133" s="165" t="inlineStr">
        <is>
          <t>Peer supervision gives you something one-to-one cannot: the range of what other trainees are encountering, and evidence that your difficulties are ordinary. It is also where you practise presenting a case to people who are not obliged to be kind about it, which is the skill that later becomes multi-disciplinary team working. CORU 5.8 covers mentoring and supervision; CORU 4.5 covers seeking peer review.</t>
        </is>
      </c>
      <c r="P133" s="165" t="inlineStr">
        <is>
          <t>▸  Turning up as the whole of the skill, mostly
     Peer supervision is the first thing dropped when a placement gets busy, and it is usually dropped by everyone at once, after which it quietly stops existing. Attendance is most of the contribution.
▸  Presenting a case properly
     Two hours of preparation for a presentation is right. Structure it: the referral question, what you did, the formulation and the framework behind it, where you are stuck, and the specific question you want the group to answer. Bring the stuck part, not the resolved part. A case you have already solved wastes everyone's time including yours.
▸  Contributing to other people's cases
     The useful contribution is a question, not a suggestion. 'What did the child say about it?' and 'what would make you wrong?' open a case up. 'Have you tried X?' closes it down and usually reveals you were not listening. Notice when a group is converging too fast on one explanation and say so.
▸  Confidentiality in a group
     Cases are anonymised — no names, no school names, no detail that identifies. Establish this explicitly at the first session rather than assuming it. PSI 1.2.4 and 1.2.5 apply to peer discussion exactly as they apply anywhere else, and a group of trainees is not a private space.
▸  Recording it
     Peer and group supervision counts toward the supervision requirement and toward CORU 4.5. Log it in Appendix 8 with date, format and what was discussed. Trainees routinely fail to record it and then cannot evidence it.</t>
        </is>
      </c>
      <c r="Q133" s="165" t="inlineStr">
        <is>
          <t>▸  PSI Accreditation Standards (2022), 3.3.9.
▸  CORU Standards of Proficiency 4.5 and 5.8.
▸  Proctor, B. (2008). Group supervision: A guide to creative practice (2nd ed.). Sage.
▸  Hawkins, P., &amp; McMahon, A. (2020). Supervision in the helping professions — the chapters on group supervision.</t>
        </is>
      </c>
      <c r="R133" s="166" t="inlineStr">
        <is>
          <t>✗  Attending irregularly, which ends the group.
✗  Presenting a case you have already resolved.
✗  Offering solutions instead of questions.
✗  Insufficient anonymisation.
✗  Not logging it, so it cannot be evidenced.</t>
        </is>
      </c>
      <c r="S133" s="154" t="inlineStr">
        <is>
          <t>▸  GRADE 3
     You attend peer supervision.
▸  GRADE 4
     You have presented a case with a clear question, and you contribute to others.
▸  GRADE 5
     Your contributions open cases up rather than closing them, you notice group process, and the sessions are logged and tagged.</t>
        </is>
      </c>
      <c r="T133" s="165" t="inlineStr">
        <is>
          <t>▸  BLOCK 1 · Turning up
     [Habit  ·  Weeks 1–2  ·  Habit]
     Consistent attendance, recorded.
     How you build it: Diary it as fixed.
     ·  Attend consistently
          you have it when: Attendance is recorded
          [PSI Accred 3.3.9]
▸  BLOCK 2 · Presenting
     [2 hours per presentation  ·  Weeks 7–12  ·  Practice]
     Bringing a case rather than listening.
     How you build it: Once a trimester minimum. Pick a case from an under-covered band.
     ·  Present a case at least once a trimester
          you have it when: Listening does not evidence it
          [CORU SoP 4.5]
     ·  Bring a case from an under-covered age band
          you have it when: It doubles as breadth evidence
          [Handbook Table 3]
▸  BLOCK 3 · Contributing to others
     [Habit  ·  Weeks 7–12  ·  Habit]
     Offering something useful on someone else's case.
     How you build it: Prepare one question before each session.
     ·  Offer something useful to someone else's case
          you have it when: You contributed
          [CORU SoP 5.8]</t>
        </is>
      </c>
      <c r="U133" s="165" t="inlineStr">
        <is>
          <t>No full chapter yet.</t>
        </is>
      </c>
      <c r="V133" s="165" t="inlineStr">
        <is>
          <t>—</t>
        </is>
      </c>
      <c r="W133" s="165" t="inlineStr">
        <is>
          <t>Table 2 area 7 · Handbook §6 one hour weekly · §6.1 four components · Appendix 6, 7 and 8 · Table 3</t>
        </is>
      </c>
      <c r="X133" s="165" t="inlineStr">
        <is>
          <t>Children First Act 2015 — the duty is personal and does not wait for supervision</t>
        </is>
      </c>
      <c r="Y133" s="165" t="inlineStr">
        <is>
          <t>Year 1 — Peer supervision becomes substantive in Year 2 and 3.</t>
        </is>
      </c>
    </row>
    <row r="134" ht="408.75" customHeight="1" s="128">
      <c r="A134" s="158" t="inlineStr">
        <is>
          <t>SKILL</t>
        </is>
      </c>
      <c r="B134" s="159" t="inlineStr">
        <is>
          <t>7. Supervision</t>
        </is>
      </c>
      <c r="C134" s="160" t="inlineStr">
        <is>
          <t>▸  Rating honestly
▸  Setting targets
▸  Comparing</t>
        </is>
      </c>
      <c r="D134" s="161" t="inlineStr">
        <is>
          <t>51. Complete Appendix 6 before and after</t>
        </is>
      </c>
      <c r="E134" s="158" t="inlineStr">
        <is>
          <t>Macro skill</t>
        </is>
      </c>
      <c r="F134" s="161" t="inlineStr">
        <is>
          <t>51. Complete Appendix 6 before and after</t>
        </is>
      </c>
      <c r="G134" s="162" t="inlineStr">
        <is>
          <t>Everything about this skill is on this row. Scroll right.</t>
        </is>
      </c>
      <c r="H134" s="158" t="n"/>
      <c r="I134" s="158" t="n"/>
      <c r="J134" s="158" t="n"/>
      <c r="K134" s="158">
        <f>COUNTIF(Log!$G$3:$G$402,"51. Complete Appendix 6 before and after")</f>
        <v/>
      </c>
      <c r="L134" s="163">
        <f>IF(COUNTIF(Log!$G$3:$G$402,"51. Complete Appendix 6 before and after")=0,"",SUMPRODUCT(MAX((Log!$G$3:$G$402="51. Complete Appendix 6 before and after")*Log!$A$3:$A$402)))</f>
        <v/>
      </c>
      <c r="M134" s="164" t="inlineStr">
        <is>
          <t>▸  CORU 4.3
     Be able to evaluate and reflect critically on own professional practice to identify learning and development needs; select appropriate learning activities to achieve professional development goals; and integrate new knowledge and skills into professional practice
▸  CORU 4.5
     Understand the importance of and be able to seek professional development, supervision, feedback and peer review opportunities in order to continuously improve practice</t>
        </is>
      </c>
      <c r="N134" s="164" t="inlineStr">
        <is>
          <t>▸  PSI 3.3.9
     Act to minimise the impact of research activities on participants' personality or their mental or physical integrity.
▸  PSI 4.1.2
     Seek emotional support and/or supervision from colleagues when feeling stressed or vulnerable due to professional dilemmas.</t>
        </is>
      </c>
      <c r="O134" s="165" t="inlineStr">
        <is>
          <t>Appendix 6 is one document doing two jobs — the self-evaluation you complete before and after the placement, and the end-of-year reflective essay. The before-and-after structure is the point: the comparison is the evidence of development, and it only works if the first rating was honest. A trainee who rates themselves high at the start has nothing to show at the end.</t>
        </is>
      </c>
      <c r="P134" s="165" t="inlineStr">
        <is>
          <t>▸  Rating honestly at the start
     The temptation is to rate high because a low rating feels like an admission. It is the opposite: rating yourself accurately at the start is what makes the end-point credible, and supervisors read an inflated first rating as poor self-awareness, which is itself assessed. If you have never administered a WISC-V, the rating is low. That is what Year 1 means.
▸  A caution about the scale
     The handbook describes the range as running from 'unsatisfactory or not meeting minimal requirements' to 'highly satisfactory or far exceeding minimal requirements', and refers to 'a 1 or 2'. It does not explicitly set out a five-point scale. If you are unsure how many points the scale has, ask rather than assume — and use the handbook's own wording in anything you write.
▸  Setting targets that can be evidenced
     A target is useless unless you can tell whether you met it. 'Improve at formulation' cannot be evidenced. 'Apply a named framework explicitly in four reports, and record the rejected hypothesis in each' can. Write targets so that the end-of-placement comparison writes itself. Your eight development areas from the 4 August review are the obvious source.
▸  Comparing properly at the end
     Put the two ratings side by side and account for each change, including the ones that did not move. A competency that stayed the same is not a failure if you can say why — 'I had no opportunity to work at organisational level this placement, so this rating is unchanged and it is a target for Cavan' is a strong entry. An unexplained identical rating looks like you did not engage.
▸  Timing
     The before version is written before the placement, not retrospectively. If you are completing it for Cavan, complete it in week one and date it. A retrospective self-evaluation is visibly retrospective and forfeits the comparison entirely.</t>
        </is>
      </c>
      <c r="Q134" s="165" t="inlineStr">
        <is>
          <t>▸  UCD Professional Placement Handbook, section 4.5a and Appendix 6. Read the actual wording of the rating descriptors rather than relying on a summary.
▸  CORU Standards of Proficiency 4.3.
▸  Boud, D., Keogh, R., &amp; Walker, D. (1985). Reflection: Turning experience into learning. Kogan Page.</t>
        </is>
      </c>
      <c r="R134" s="166" t="inlineStr">
        <is>
          <t>✗  Rating high at the start.
✗  Writing the 'before' version afterwards.
✗  Targets that cannot be evidenced.
✗  Not accounting for competencies that did not move.
✗  Assuming a five-point scale and writing as though the handbook specifies one.</t>
        </is>
      </c>
      <c r="S134" s="154" t="inlineStr">
        <is>
          <t>▸  GRADE 3
     Both versions are completed.
▸  GRADE 4
     The first rating is honest, targets are specific and evidenceable, and the comparison accounts for each change.
▸  GRADE 5
     Targets are drawn from identified development areas, unchanged ratings are explained with a reason and a forward plan, and the document reads as a genuine account rather than a form.</t>
        </is>
      </c>
      <c r="T134" s="165" t="inlineStr">
        <is>
          <t>▸  BLOCK 1 · Rating honestly
     [1 hour, twice per placement  ·  Before placement  ·  Habit]
     Being willing to rate yourself low at the start.
     How you build it: Do it before day one and date it. Retrospective ratings measure nothing.
     ·  Rate all eight before day one, dated
          you have it when: Before, genuinely
          [Handbook §4.5a]
     ·  Rate honestly, including low
          you have it when: An honest low start shows trajectory
          [CORU SoP 4.3 · PSI Code 4.1.3]
▸  BLOCK 2 · Setting targets
     [1 hour  ·  Weeks 1–2  ·  Habit]
     Naming two or three priorities that are specific enough to act on.
     How you build it: Write them as things you will do, not things you will be.
     ·  Name two or three priority targets
          you have it when: Specific and achievable
          [CORU SoP 4.3]
     ·  Carry the targets into the next Placement Plan
          you have it when: They appear in Appendix 1
          [Handbook Appendix 1]
▸  BLOCK 3 · Comparing
     [1 hour  ·  Ongoing all year  ·  Habit]
     Rating again and looking at what moved.
     How you build it: Do the After without looking at the Before first. Then compare.
     ·  Rate again at the end and compare
          you have it when: Movement is visible
          [Handbook §4.5a]</t>
        </is>
      </c>
      <c r="U134" s="165" t="inlineStr">
        <is>
          <t>No full chapter yet.</t>
        </is>
      </c>
      <c r="V134" s="165" t="inlineStr">
        <is>
          <t>—</t>
        </is>
      </c>
      <c r="W134" s="165" t="inlineStr">
        <is>
          <t>Appendix 1 · §4.5a</t>
        </is>
      </c>
      <c r="X134" s="165" t="inlineStr">
        <is>
          <t>Children First Act 2015 — the duty is personal and does not wait for supervision</t>
        </is>
      </c>
      <c r="Y134" s="165" t="inlineStr">
        <is>
          <t>Year 1 — Before and after, every placement, four times.</t>
        </is>
      </c>
    </row>
    <row r="135" ht="408.75" customHeight="1" s="128">
      <c r="A135" s="158" t="inlineStr">
        <is>
          <t>SKILL</t>
        </is>
      </c>
      <c r="B135" s="159" t="inlineStr">
        <is>
          <t>7. Supervision</t>
        </is>
      </c>
      <c r="C135" s="160" t="inlineStr">
        <is>
          <t>▸  Knowing what it must cover
▸  Writing about difficulty
▸  Showing change</t>
        </is>
      </c>
      <c r="D135" s="161" t="inlineStr">
        <is>
          <t>52. Write the reflective learning essay</t>
        </is>
      </c>
      <c r="E135" s="158" t="inlineStr">
        <is>
          <t>Macro skill</t>
        </is>
      </c>
      <c r="F135" s="161" t="inlineStr">
        <is>
          <t>52. Write the reflective learning essay</t>
        </is>
      </c>
      <c r="G135" s="162" t="inlineStr">
        <is>
          <t>Everything about this skill is on this row. Scroll right.</t>
        </is>
      </c>
      <c r="H135" s="158" t="n"/>
      <c r="I135" s="158" t="n"/>
      <c r="J135" s="158" t="n"/>
      <c r="K135" s="158">
        <f>COUNTIF(Log!$G$3:$G$402,"52. Write the reflective learning essay")</f>
        <v/>
      </c>
      <c r="L135" s="163">
        <f>IF(COUNTIF(Log!$G$3:$G$402,"52. Write the reflective learning essay")=0,"",SUMPRODUCT(MAX((Log!$G$3:$G$402="52. Write the reflective learning essay")*Log!$A$3:$A$402)))</f>
        <v/>
      </c>
      <c r="M135" s="164" t="inlineStr">
        <is>
          <t>▸  CORU 4.5
     Understand the importance of and be able to seek professional development, supervision, feedback and peer review opportunities in order to continuously improve practice
▸  CORU 5.44
     Be able to critically reflect on the 'self' and the ongoing impact of one's own culture, values, experiences, beliefs and biases on their professional/therapeutic practice — utilising supervision to assist in the reflective process — and use such reflection to inform practice
▸  CORU 5.45
     Be able to recognise personal emotional responses and the impact of trauma, as identified through professional/therapeutic practice and supervision, and use appropriate tools to develop effective self-care to maintain professional functioning</t>
        </is>
      </c>
      <c r="N135" s="164" t="inlineStr">
        <is>
          <t>▸  PSI 3.3.9
     Act to minimise the impact of research activities on participants' personality or their mental or physical integrity.
▸  PSI 4.1.1
     Engage in self-care activities which help to avoid conditions (for example, burnout, addictions) which could result in impaired judgement and interfere with their ability to benefit and not harm others.
▸  PSI 4.1.2
     Seek emotional support and/or supervision from colleagues when feeling stressed or vulnerable due to professional dilemmas.</t>
        </is>
      </c>
      <c r="O135" s="165" t="inlineStr">
        <is>
          <t>The reflective essay is where the portfolio either becomes a coherent account of a year or stays a pile of forms. It is also the place trainees most often write about what happened rather than what changed in them. CORU 5.44 asks you to reflect critically on the 'self' and the impact of your own culture, values, experiences, beliefs and biases — using supervision to assist the process. CORU 5.45 asks you to recognise personal emotional responses and the impact of trauma and develop effective self-care. Those two standards are the essay's actual brief.</t>
        </is>
      </c>
      <c r="P135" s="165" t="inlineStr">
        <is>
          <t>▸  What it must cover
     Read section 4.5b before you start and list its requirements. Then note that Appendix 6 does two jobs — the self-evaluation and this essay — so check whether you are writing one document or two. Get that wrong and you will write the wrong thing well.
▸  Writing about difficulty without writing a confession
     The essay needs real difficulty in it, because an account with no difficulty is not credible. But the unit of analysis is your practice, not your private life. The shape that works: here is what happened, here is what I noticed in myself, here is what I did about it, here is how my practice differs now. You are not required to disclose anything about yourself that you do not wish to, and you should not feel obliged to; what is required is that the reflection is honest about the practice.
▸  Showing change rather than asserting it
     'I have developed in confidence' is an assertion. 'In February I administered the WISC-V from a script and could not deviate from it. On 21/04 I administered it independently for the first time, and by June I was adapting administration for a child working through an interpreter and recording the adaptation and its effect on interpretation.' That is change, and it is evidenced by dated entries you already hold.
▸  The ten-minute weekly habit
     Write one paragraph a week, dated, about the thing you noticed. In June you will have thirty-odd paragraphs and the essay will be an editing task. Without it, the essay is written from memory in a week and reads that way. Your Log's 'how it developed the skill' column is exactly this habit, which is why it is worth filling in rather than skipping.
▸  Using supervision as source material
     CORU 5.44 specifies using supervision to assist the reflective process. Quote your own supervision records — a dilemma entry, a piece of feedback you initially resisted, a question your supervisor asked that changed how you saw a case. This also demonstrates that your Appendix 8 records are real rather than reconstructed.</t>
        </is>
      </c>
      <c r="Q135" s="165" t="inlineStr">
        <is>
          <t>▸  UCD Professional Placement Handbook, section 4.5b and Appendix 6.
▸  CORU Standards of Proficiency 5.44 and 5.45 — full text on the Reference sheet.
▸  Schön, D. A. (1983). The reflective practitioner. Basic Books. — reflection-in-action versus reflection-on-action, which is the distinction the essay rewards.
▸  Gibbs, G. (1988). Learning by doing: A guide to teaching and learning methods. Oxford Polytechnic. — the reflective cycle, useful as a scaffold if you are stuck.
▸  Bolton, G., &amp; Delderfield, R. (2018). Reflective practice: Writing and professional development (5th ed.). Sage.</t>
        </is>
      </c>
      <c r="R135" s="166" t="inlineStr">
        <is>
          <t>✗  Describing what happened rather than what changed.
✗  Asserting development instead of evidencing it with dated examples.
✗  Writing it from memory in the final week.
✗  Avoiding all difficulty, which makes it read as a performance.
✗  Over-disclosing personal material — the unit of analysis is your practice.</t>
        </is>
      </c>
      <c r="S135" s="154" t="inlineStr">
        <is>
          <t>▸  GRADE 3
     The essay describes the placement and what you learned.
▸  GRADE 4
     It shows change with dated, specific examples, and engages honestly with difficulty.
▸  GRADE 5
     It draws on supervision records, names how your own values and assumptions shaped your practice, and identifies what you would do differently — with a forward plan that connects to the next placement.</t>
        </is>
      </c>
      <c r="T135" s="165" t="inlineStr">
        <is>
          <t>▸  BLOCK 1 · Knowing what it must cover
     [1 hour, once  ·  Weeks 7–12  ·  Study]
     Placement, college sessions and independent study — all three strands, plus challenges.
     How you build it: Read §4.5b. It says challenges explicitly.
     ·  Cover placement, college sessions and independent study
          you have it when: All three strands
          [Handbook §4.5b]
▸  BLOCK 2 · Writing about difficulty
     [Ongoing  ·  Ongoing all year  ·  Habit]
     Naming what was hard and what it cost, without performing distress.
     How you build it: Write the difficult paragraph first, before the rest. It is easier that way round.
     ·  Name what was hard and what it cost
          you have it when: Challenges are expected
          [Handbook §4.5b · CORU SoP 5.45]
     ·  Reflect on your own culture, values and biases
          you have it when: This is where CORU 5.44 lands
          [CORU SoP 5.44]
▸  BLOCK 3 · Showing change
     [10 minutes weekly  ·  Ongoing all year  ·  Habit]
     Tracing a change in practice back to a specific reflection.
     How you build it: Keep a running note across the year of things you changed and why.
     ·  Trace a change in practice to a specific reflection
          you have it when: Reflection that changed something
          [CORU SoP 4.3]
     ·  Name a self-care strategy and evidence it works
          you have it when: An activity, not an intention
          [CORU SoP 5.45 · PSI Code 4.1.1]</t>
        </is>
      </c>
      <c r="U135" s="165" t="inlineStr">
        <is>
          <t>No full chapter yet.</t>
        </is>
      </c>
      <c r="V135" s="165" t="inlineStr">
        <is>
          <t>—</t>
        </is>
      </c>
      <c r="W135" s="165" t="inlineStr">
        <is>
          <t>Table 2 area 7 · Handbook §6 one hour weekly · §6.1 four components · Appendix 6, 7 and 8 · §4.5b</t>
        </is>
      </c>
      <c r="X135" s="165" t="inlineStr">
        <is>
          <t>Children First Act 2015 — the duty is personal and does not wait for supervision</t>
        </is>
      </c>
      <c r="Y135" s="165" t="inlineStr">
        <is>
          <t>Year 1 — Annually, three times.</t>
        </is>
      </c>
    </row>
    <row r="136" ht="19.5" customHeight="1" s="128">
      <c r="A136" s="147" t="inlineStr">
        <is>
          <t>COMP</t>
        </is>
      </c>
      <c r="B136" s="147" t="inlineStr">
        <is>
          <t>8. Research</t>
        </is>
      </c>
      <c r="C136" s="147" t="n"/>
      <c r="D136" s="147" t="n"/>
      <c r="E136" s="147" t="inlineStr">
        <is>
          <t>3 macro skills · 0 referral areas</t>
        </is>
      </c>
      <c r="F136" s="147" t="n"/>
      <c r="G136" s="147" t="n"/>
      <c r="H136" s="147" t="n"/>
      <c r="I136" s="147" t="n"/>
      <c r="J136" s="147" t="n"/>
      <c r="K136" s="147" t="n"/>
      <c r="L136" s="147" t="n"/>
      <c r="M136" s="147" t="n"/>
      <c r="N136" s="147" t="n"/>
      <c r="O136" s="147" t="n"/>
      <c r="P136" s="147" t="n"/>
      <c r="Q136" s="147" t="n"/>
      <c r="R136" s="147" t="n"/>
      <c r="S136" s="147" t="n"/>
      <c r="T136" s="147" t="n"/>
      <c r="U136" s="147" t="n"/>
      <c r="V136" s="147" t="n"/>
      <c r="W136" s="147" t="n"/>
      <c r="X136" s="147" t="n"/>
      <c r="Y136" s="147" t="n"/>
      <c r="Z136" s="147" t="n"/>
      <c r="AA136" s="147" t="n"/>
      <c r="AB136" s="147" t="n"/>
      <c r="AC136" s="147" t="n"/>
      <c r="AD136" s="147" t="n"/>
      <c r="AE136" s="147" t="n"/>
      <c r="AF136" s="147" t="n"/>
      <c r="AG136" s="147" t="n"/>
      <c r="AH136" s="147" t="n"/>
      <c r="AI136" s="147" t="n"/>
      <c r="AJ136" s="147" t="n"/>
      <c r="AK136" s="147" t="n"/>
    </row>
    <row r="137" ht="169.5" customHeight="1" s="128">
      <c r="A137" s="148" t="n"/>
      <c r="B137" s="149" t="inlineStr">
        <is>
          <t>8. Research</t>
        </is>
      </c>
      <c r="C137" s="149" t="n"/>
      <c r="D137" s="148" t="n"/>
      <c r="E137" s="148" t="inlineStr">
        <is>
          <t>What CORU asks of this competency — verbatim</t>
        </is>
      </c>
      <c r="F137" s="133" t="inlineStr">
        <is>
          <t>6 standards across this competency</t>
        </is>
      </c>
      <c r="G137" s="133" t="n"/>
      <c r="H137" s="149" t="n"/>
      <c r="I137" s="149" t="n"/>
      <c r="J137" s="149" t="n"/>
      <c r="K137" s="148" t="n"/>
      <c r="L137" s="148" t="n"/>
      <c r="M137" s="150" t="inlineStr">
        <is>
          <t>▸  CORU 3.8
     Be able to evaluate intervention plans using appropriate tools and recognised performance/outcome measures along with service user responses; revise the plans as necessary and where appropriate in conjunction with the service user</t>
        </is>
      </c>
      <c r="N137" s="150" t="inlineStr">
        <is>
          <t>▸  CORU 3.9
     Understand the need to monitor, evaluate and/or audit the quality of practice and be able to critically evaluate one's own practice against evidence-based standards and implement improvements based on the findings</t>
        </is>
      </c>
      <c r="O137" s="150" t="inlineStr">
        <is>
          <t>▸  CORU 5.3
     Know, understand and critically appraise the principles and applications of scientific enquiry, including the evaluation of treatment/intervention efficacy, the research process and evidence-informed practice</t>
        </is>
      </c>
      <c r="P137" s="150" t="inlineStr">
        <is>
          <t>▸  CORU 5.4
     Demonstrate skills in evidence-informed practice, including translation of theory, concepts and methods to clinical/professional practice</t>
        </is>
      </c>
      <c r="Q137" s="150" t="inlineStr">
        <is>
          <t>▸  CORU 5.41
     Be able to critically analyse, appraise and evaluate psychological and other relevant contemporary research to inform evidence-based practice</t>
        </is>
      </c>
      <c r="R137" s="150" t="inlineStr">
        <is>
          <t>▸  CORU 5.43
     Apply research ethics when planning, undertaking and reporting on research with service users and relevant others in the context of professional practice</t>
        </is>
      </c>
    </row>
    <row r="138" ht="169.5" customHeight="1" s="128">
      <c r="A138" s="148" t="n"/>
      <c r="B138" s="149" t="inlineStr">
        <is>
          <t>8. Research</t>
        </is>
      </c>
      <c r="C138" s="149" t="n"/>
      <c r="D138" s="148" t="n"/>
      <c r="E138" s="148" t="inlineStr">
        <is>
          <t>What the PSI Code asks of this competency — verbatim</t>
        </is>
      </c>
      <c r="F138" s="133" t="inlineStr">
        <is>
          <t>5 clauses across this competency</t>
        </is>
      </c>
      <c r="G138" s="133" t="n"/>
      <c r="H138" s="149" t="n"/>
      <c r="I138" s="149" t="n"/>
      <c r="J138" s="149" t="n"/>
      <c r="K138" s="148" t="n"/>
      <c r="L138" s="148" t="n"/>
      <c r="M138" s="150" t="inlineStr">
        <is>
          <t>▸  PSI 2.3.2
     Direct their interventions towards clear objectives, and do not persist after the objectives have been met or if it is apparent they cannot be met.</t>
        </is>
      </c>
      <c r="N138" s="150" t="inlineStr">
        <is>
          <t>▸  PSI 2.4.1
     Maintain and develop their professional competence.</t>
        </is>
      </c>
      <c r="O138" s="150" t="inlineStr">
        <is>
          <t>▸  PSI 3.1.2
     Monitor and evaluate the effect of their professional activities, record their findings and, if appropriate, communicate new knowledge to others in the field.</t>
        </is>
      </c>
      <c r="P138" s="150" t="inlineStr">
        <is>
          <t>▸  PSI 4.2.2
     Take due care to avoid misrepresentation, exaggeration, distortion or errors in reporting assessment results, research findings or service effectiveness, and act quickly to correct any such error.</t>
        </is>
      </c>
      <c r="Q138" s="150" t="inlineStr">
        <is>
          <t>▸  PSI 4.2.6
     Not suppress disconfirming evidence of their findings and views, and acknowledge alternative hypotheses and explanations.</t>
        </is>
      </c>
    </row>
    <row r="139" ht="109.5" customHeight="1" s="128">
      <c r="A139" s="151" t="n"/>
      <c r="B139" s="152" t="inlineStr">
        <is>
          <t>8. Research</t>
        </is>
      </c>
      <c r="C139" s="152" t="n"/>
      <c r="D139" s="151" t="n"/>
      <c r="E139" s="151" t="inlineStr">
        <is>
          <t>Three-year arc</t>
        </is>
      </c>
      <c r="F139" s="153" t="inlineStr">
        <is>
          <t>What good looks like each year</t>
        </is>
      </c>
      <c r="G139" s="153" t="n"/>
      <c r="H139" s="152" t="n"/>
      <c r="I139" s="152" t="n"/>
      <c r="J139" s="152" t="n"/>
      <c r="K139" s="151" t="n"/>
      <c r="L139" s="151" t="n"/>
      <c r="M139" s="154" t="inlineStr">
        <is>
          <t>Year 1 — You search, appraise and cite evidence for the recommendations you write.</t>
        </is>
      </c>
      <c r="N139" s="154" t="inlineStr">
        <is>
          <t>Year 2 — You design and run practice-based evaluation and carry the thesis through data collection.</t>
        </is>
      </c>
      <c r="O139" s="154" t="inlineStr">
        <is>
          <t>Year 3 — You complete the 35,000-word thesis, defend it at viva, and identify dissemination routes.</t>
        </is>
      </c>
    </row>
    <row r="140" ht="30" customHeight="1" s="128">
      <c r="A140" s="155" t="n"/>
      <c r="B140" s="155" t="n"/>
      <c r="C140" s="155" t="n"/>
      <c r="D140" s="155" t="n"/>
      <c r="E140" s="155" t="n"/>
      <c r="F140" s="156" t="inlineStr">
        <is>
          <t>one skill = one row →</t>
        </is>
      </c>
      <c r="G140" s="155" t="n"/>
      <c r="H140" s="155" t="n"/>
      <c r="I140" s="155" t="n"/>
      <c r="J140" s="155" t="n"/>
      <c r="K140" s="155" t="n"/>
      <c r="L140" s="155" t="n"/>
      <c r="M140" s="157" t="inlineStr">
        <is>
          <t>1 · CORU — number and focus</t>
        </is>
      </c>
      <c r="N140" s="157" t="inlineStr">
        <is>
          <t>2 · PSI — number and focus</t>
        </is>
      </c>
      <c r="O140" s="157" t="inlineStr">
        <is>
          <t>3 · Why this matters</t>
        </is>
      </c>
      <c r="P140" s="157" t="inlineStr">
        <is>
          <t>4 · Teaching — how you build it</t>
        </is>
      </c>
      <c r="Q140" s="157" t="inlineStr">
        <is>
          <t>5 · What to read</t>
        </is>
      </c>
      <c r="R140" s="157" t="inlineStr">
        <is>
          <t>6 · Common errors that cost marks</t>
        </is>
      </c>
      <c r="S140" s="157" t="inlineStr">
        <is>
          <t>7 · Rubric — grade 3, 4, 5</t>
        </is>
      </c>
      <c r="T140" s="157" t="inlineStr">
        <is>
          <t>8 · Blocks and micro-skills with pass tests</t>
        </is>
      </c>
      <c r="U140" s="157" t="inlineStr">
        <is>
          <t>9 · Full chapter, where written</t>
        </is>
      </c>
      <c r="V140" s="157" t="inlineStr">
        <is>
          <t>10 · Referral areas this skill serves</t>
        </is>
      </c>
      <c r="W140" s="157" t="inlineStr">
        <is>
          <t>11 · Where the evidence goes</t>
        </is>
      </c>
      <c r="X140" s="157" t="inlineStr">
        <is>
          <t>12 · Law and policy</t>
        </is>
      </c>
      <c r="Y140" s="157" t="inlineStr">
        <is>
          <t>13 · Year and how it extends</t>
        </is>
      </c>
      <c r="Z140" s="157" t="inlineStr">
        <is>
          <t>14 · —</t>
        </is>
      </c>
      <c r="AA140" s="157" t="inlineStr">
        <is>
          <t>15 · —</t>
        </is>
      </c>
      <c r="AB140" s="157" t="inlineStr">
        <is>
          <t>16 · —</t>
        </is>
      </c>
      <c r="AC140" s="157" t="inlineStr">
        <is>
          <t>17 · —</t>
        </is>
      </c>
      <c r="AD140" s="157" t="inlineStr">
        <is>
          <t>18 · —</t>
        </is>
      </c>
      <c r="AE140" s="157" t="inlineStr">
        <is>
          <t>19 · —</t>
        </is>
      </c>
      <c r="AF140" s="157" t="inlineStr">
        <is>
          <t>20 · —</t>
        </is>
      </c>
    </row>
    <row r="141" ht="408.75" customHeight="1" s="128">
      <c r="A141" s="158" t="inlineStr">
        <is>
          <t>SKILL</t>
        </is>
      </c>
      <c r="B141" s="159" t="inlineStr">
        <is>
          <t>8. Research</t>
        </is>
      </c>
      <c r="C141" s="160" t="inlineStr">
        <is>
          <t>▸  Searching properly
▸  Appraising
▸  Judging transfer</t>
        </is>
      </c>
      <c r="D141" s="161" t="inlineStr">
        <is>
          <t>53. Search and critically appraise evidence</t>
        </is>
      </c>
      <c r="E141" s="158" t="inlineStr">
        <is>
          <t>Macro skill</t>
        </is>
      </c>
      <c r="F141" s="161" t="inlineStr">
        <is>
          <t>53. Search and critically appraise evidence</t>
        </is>
      </c>
      <c r="G141" s="162" t="inlineStr">
        <is>
          <t>Everything about this skill is on this row. Scroll right.</t>
        </is>
      </c>
      <c r="H141" s="158" t="n"/>
      <c r="I141" s="158" t="n"/>
      <c r="J141" s="158" t="n"/>
      <c r="K141" s="158">
        <f>COUNTIF(Log!$G$3:$G$402,"53. Search and critically appraise evidence")</f>
        <v/>
      </c>
      <c r="L141" s="163">
        <f>IF(COUNTIF(Log!$G$3:$G$402,"53. Search and critically appraise evidence")=0,"",SUMPRODUCT(MAX((Log!$G$3:$G$402="53. Search and critically appraise evidence")*Log!$A$3:$A$402)))</f>
        <v/>
      </c>
      <c r="M141" s="164" t="inlineStr">
        <is>
          <t>▸  CORU 5.3
     Know, understand and critically appraise the principles and applications of scientific enquiry, including the evaluation of treatment/intervention efficacy, the research process and evidence-informed practice
▸  CORU 5.41
     Be able to critically analyse, appraise and evaluate psychological and other relevant contemporary research to inform evidence-based practice
▸  CORU 5.43
     Apply research ethics when planning, undertaking and reporting on research with service users and relevant others in the context of professional practice</t>
        </is>
      </c>
      <c r="N141" s="164" t="inlineStr">
        <is>
          <t>▸  PSI 3.1.2
     Monitor and evaluate the effect of their professional activities, record their findings and, if appropriate, communicate new knowledge to others in the field.
▸  PSI 4.2.2
     Take due care to avoid misrepresentation, exaggeration, distortion or errors in reporting assessment results, research findings or service effectiveness, and act quickly to correct any such error.</t>
        </is>
      </c>
      <c r="O141" s="165" t="inlineStr">
        <is>
          <t>Every recommendation you write is an empirical claim about what will help. If you cannot find and appraise the evidence, you are recommending from habit. CORU 5.41 requires you to critically analyse, appraise and evaluate research to inform practice — on placement, not only in the thesis.</t>
        </is>
      </c>
      <c r="P141" s="165" t="inlineStr">
        <is>
          <t>▸  Searching properly in twenty minutes
     Start with the syntheses: Cochrane, Campbell Collaboration, the EEF Toolkit, What Works Clearinghouse. Then PsycINFO or ERIC with a structured question — population, intervention, comparison, outcome. Use the UCD library proxy so you get full text. Google Scholar is for chasing a known paper, not for searching.
▸  Appraising quickly
     Design first: what kind of question is this and what design answers it? Then sample — who were they and are they like your child? Then comparison — against what? Then effect size, not just significance. Then who funded it and who developed the programme. Five questions, five minutes, and you will reject most of what you find.
▸  Effect sizes as the practical currency
     Roughly: 0.2 small, 0.5 moderate, 0.8 large, though context matters and educational interventions rarely exceed 0.4. An intervention with a statistically significant effect of 0.1 is not worth a school's term. Knowing this stops you recommending things that technically work and practically do not.
▸  Recognising weak evidence that looks strong
     Single studies by the programme developer. Pre-post designs with no control. Testimonial evidence on a commercial site. Very small samples with large claims. Outcomes measured by instruments the developer also created. All of these are common in the intervention material schools are sold.
▸  Keeping what you find
     A simple note per topic — question, what you searched, what you found, what you concluded. You will be asked the same questions repeatedly across a career, and the second search should be faster than the first.</t>
        </is>
      </c>
      <c r="Q141" s="165" t="inlineStr">
        <is>
          <t>▸  Petticrew, M., &amp; Roberts, H. (2006). Systematic reviews in the social sciences. Blackwell.
▸  EEF Teaching and Learning Toolkit — effect sizes with cost and evidence-strength ratings.
▸  Cochrane Library.
▸  CASP appraisal checklists — one per study design, free and quick.
▸  Hattie, J. (2009). Visible learning. Routledge — useful for effect-size intuition, read with its methodological critiques in mind.</t>
        </is>
      </c>
      <c r="R141" s="166" t="inlineStr">
        <is>
          <t>✗  Starting with Google rather than a synthesis.
✗  Reading the abstract and stopping.
✗  Treating statistical significance as practical importance.
✗  Not noticing the developer authored the evaluation.
✗  Searching the same question twice because you kept no note.</t>
        </is>
      </c>
      <c r="S141" s="154" t="inlineStr">
        <is>
          <t>▸  GRADE 3
     You can find relevant research.
▸  GRADE 4
     You search syntheses first, appraise design, sample, comparison and effect size, and reject weak evidence.
▸  GRADE 5
     You can say how confident the evidence lets you be, and you keep a reusable record of what you searched and concluded.</t>
        </is>
      </c>
      <c r="T141" s="165" t="inlineStr">
        <is>
          <t>▸  BLOCK 1 · Searching properly
     [2 hours, once  ·  Weeks 1–2  ·  Study]
     Using a database, building a search string, recording what you did.
     How you build it: One PsycINFO session with the UCD library. One hour, permanently useful.
     ·  Frame an answerable question from a real referral
          you have it when: Specific enough to search
          [CORU SoP 5.42]
     ·  Search a database rather than a search engine
          you have it when: PsycINFO, ERIC, not Google
          [CORU SoP 5.41]
     ·  Record the search terms and databases used
          you have it when: Reproducible
          [CORU SoP 5.43]
▸  BLOCK 2 · Appraising
     [4–5 hours to learn  ·  Weeks 3–6  ·  Study]
     Judging a study's quality rather than accepting its abstract.
     How you build it: Use the CASP checklist on five papers. It is free.
     ·  Appraise quality rather than accepting the first result
          you have it when: You judged the study, not the abstract
          [CORU SoP 5.41 · 5.3]
▸  BLOCK 3 · Judging transfer
     [Habit  ·  Weeks 7–12  ·  Habit]
     Asking whether this evidence applies to this child in this context.
     How you build it: One sentence per recommendation: why this applies here.
     ·  Judge applicability to this child in this context
          you have it when: Transferability considered
          [CORU SoP 5.4]
     ·  Log the search as an Appendix 5 research entry
          you have it when: It is recorded
          [Handbook Appendix 5]</t>
        </is>
      </c>
      <c r="U141" s="165" t="inlineStr">
        <is>
          <t>No full chapter yet.</t>
        </is>
      </c>
      <c r="V141" s="165" t="inlineStr">
        <is>
          <t>—</t>
        </is>
      </c>
      <c r="W141" s="165" t="inlineStr">
        <is>
          <t>Appendix 5 · Table 2 area 8 · Appendix 5 research entries · EDUC44170 review · evaluation lines in reports</t>
        </is>
      </c>
      <c r="X141" s="165" t="inlineStr">
        <is>
          <t>GDPR — lawful basis for data used in evaluation</t>
        </is>
      </c>
      <c r="Y141" s="165" t="inlineStr">
        <is>
          <t>Year 1 — Becomes the systematic review in Year 2.</t>
        </is>
      </c>
    </row>
    <row r="142" ht="408.75" customHeight="1" s="128">
      <c r="A142" s="158" t="inlineStr">
        <is>
          <t>SKILL</t>
        </is>
      </c>
      <c r="B142" s="159" t="inlineStr">
        <is>
          <t>8. Research</t>
        </is>
      </c>
      <c r="C142" s="160" t="inlineStr">
        <is>
          <t>▸  Building a reusable base
▸  Citing correctly
▸  Being honest about the base</t>
        </is>
      </c>
      <c r="D142" s="161" t="inlineStr">
        <is>
          <t>54. Cite evidence for recommendations</t>
        </is>
      </c>
      <c r="E142" s="158" t="inlineStr">
        <is>
          <t>Macro skill</t>
        </is>
      </c>
      <c r="F142" s="161" t="inlineStr">
        <is>
          <t>54. Cite evidence for recommendations</t>
        </is>
      </c>
      <c r="G142" s="162" t="inlineStr">
        <is>
          <t>Everything about this skill is on this row. Scroll right.</t>
        </is>
      </c>
      <c r="H142" s="158" t="n"/>
      <c r="I142" s="158" t="n"/>
      <c r="J142" s="158" t="n"/>
      <c r="K142" s="158">
        <f>COUNTIF(Log!$G$3:$G$402,"54. Cite evidence for recommendations")</f>
        <v/>
      </c>
      <c r="L142" s="163">
        <f>IF(COUNTIF(Log!$G$3:$G$402,"54. Cite evidence for recommendations")=0,"",SUMPRODUCT(MAX((Log!$G$3:$G$402="54. Cite evidence for recommendations")*Log!$A$3:$A$402)))</f>
        <v/>
      </c>
      <c r="M142" s="164" t="inlineStr">
        <is>
          <t>▸  CORU 5.4
     Demonstrate skills in evidence-informed practice, including translation of theory, concepts and methods to clinical/professional practice</t>
        </is>
      </c>
      <c r="N142" s="164" t="inlineStr">
        <is>
          <t>▸  PSI 2.4.1
     Maintain and develop their professional competence.
▸  PSI 3.1.2
     Monitor and evaluate the effect of their professional activities, record their findings and, if appropriate, communicate new knowledge to others in the field.
▸  PSI 4.2.2
     Take due care to avoid misrepresentation, exaggeration, distortion or errors in reporting assessment results, research findings or service effectiveness, and act quickly to correct any such error.
▸  PSI 4.2.6
     Not suppress disconfirming evidence of their findings and views, and acknowledge alternative hypotheses and explanations.</t>
        </is>
      </c>
      <c r="O142" s="165" t="inlineStr">
        <is>
          <t>A cited recommendation is a different object from an uncited one. It tells the reader the claim is not your opinion, it lets them check, and it is one of the specific features that moves a report from a 3 to a 5. PSI 4.2.6 also requires you not to suppress disconfirming evidence — which means citing honestly, including where the evidence is mixed.</t>
        </is>
      </c>
      <c r="P142" s="165" t="inlineStr">
        <is>
          <t>▸  What to cite and what not to
     Cite the intervention recommendation, the framework you used, and any claim about what typically works. Do not cite the test manual for every score or pad the reference list. Two or three well-chosen citations in a school report is right; fifteen is a literature review nobody asked for.
▸  Citing at the right level
     In a report for a school, cite the synthesis rather than the single trial: 'systematic reviews of structured phonics instruction report consistent benefits for children with decoding difficulties (Snowling &amp; Hulme, 2011)' is more useful and more honest than a single study.
▸  Stating the strength of the evidence
     'There is strong evidence for X' and 'evidence for Y is mixed, and it is recommended here because of [case-specific reason]' are both legitimate. The second is more impressive than pretending certainty, and PSI 4.2.2 requires you not to exaggerate effectiveness.
▸  Handling the intervention with no evidence base
     Sometimes the right thing for this child has no trial behind it. Say so, give the reasoning, and specify how it will be evaluated. That is evidence-informed practice — CORU 5.4 asks for the translation of theory and concepts to practice, not only the citation of trials.
▸  Format
     APA 7th. Get it right; it is the convention your reports and your thesis both use, and sloppy referencing reads as sloppy thinking to an examiner.</t>
        </is>
      </c>
      <c r="Q142" s="165" t="inlineStr">
        <is>
          <t>▸  PSI Code of Professional Ethics (2025), 4.2.2 and 4.2.6 — full text on this sheet, Part B.
▸  CORU Standards of Proficiency 5.4 and 5.41 — full text on this sheet, Part B.
▸  APA (2020). Publication manual of the American Psychological Association (7th ed.).
▸  EEF Teaching and Learning Toolkit — a citable synthesis source for school reports.</t>
        </is>
      </c>
      <c r="R142" s="166" t="inlineStr">
        <is>
          <t>✗  No citations at all.
✗  Fifteen citations in a school report.
✗  Citing a single trial as though it settles the question.
✗  Implying certainty the evidence does not support.
✗  Inconsistent APA formatting.</t>
        </is>
      </c>
      <c r="S142" s="154" t="inlineStr">
        <is>
          <t>▸  GRADE 3
     Your recommendations are reasonable and defensible.
▸  GRADE 4
     Key recommendations are cited at synthesis level and formatted correctly.
▸  GRADE 5
     You state the strength of the evidence including where it is mixed, and you justify and plan evaluation for recommendations with no trial base.</t>
        </is>
      </c>
      <c r="T142" s="165" t="inlineStr">
        <is>
          <t>▸  BLOCK 1 · Building a reusable base
     [4 hours, once  ·  Weeks 3–6  ·  Study]
     A running reference list of the twenty sources you use most.
     How you build it: Build it once. Four hours. It improves every report for three years.
     ·  Attach a source to every substantial recommendation
          you have it when: There is a reference list
          [CORU SoP 5.4]
     ·  Cite current sources rather than the familiar ones
          you have it when: Recency checked
          [PSI Code 2.4.1]
▸  BLOCK 2 · Citing correctly
     [2 hours, once  ·  Weeks 1–2  ·  Study]
     APA 7th, consistently.
     How you build it: One reference-management tool set up once.
     ·  Use APA 7th consistently
          you have it when: Formatting is correct
          [UCD Academic Integrity Policy]
▸  BLOCK 3 · Being honest about the base
     [Habit  ·  Weeks 7–12  ·  Habit]
     Saying where the evidence is thin.
     How you build it: One sentence when it is true.
     ·  Say where the evidence is thin
          you have it when: Honest about the base
          [PSI Code 4.2.6]</t>
        </is>
      </c>
      <c r="U142" s="165" t="inlineStr">
        <is>
          <t>No full chapter yet.</t>
        </is>
      </c>
      <c r="V142" s="165" t="inlineStr">
        <is>
          <t>—</t>
        </is>
      </c>
      <c r="W142" s="165" t="inlineStr">
        <is>
          <t>Table 2 area 8 · Appendix 5 research entries · EDUC44170 review · evaluation lines in reports · UCD Academic Integrity Policy</t>
        </is>
      </c>
      <c r="X142" s="165" t="inlineStr">
        <is>
          <t>GDPR — lawful basis for data used in evaluation</t>
        </is>
      </c>
      <c r="Y142" s="165" t="inlineStr">
        <is>
          <t>Year 1 — Standard rises as report types diversify.</t>
        </is>
      </c>
    </row>
    <row r="143" ht="408.75" customHeight="1" s="128">
      <c r="A143" s="158" t="inlineStr">
        <is>
          <t>SKILL</t>
        </is>
      </c>
      <c r="B143" s="159" t="inlineStr">
        <is>
          <t>8. Research</t>
        </is>
      </c>
      <c r="C143" s="160" t="inlineStr">
        <is>
          <t>▸  Specifying a measure
▸  Defining failure
▸  Closing the loop</t>
        </is>
      </c>
      <c r="D143" s="161" t="inlineStr">
        <is>
          <t>55. State how a recommendation would be evaluated</t>
        </is>
      </c>
      <c r="E143" s="158" t="inlineStr">
        <is>
          <t>Macro skill</t>
        </is>
      </c>
      <c r="F143" s="161" t="inlineStr">
        <is>
          <t>55. State how a recommendation would be evaluated</t>
        </is>
      </c>
      <c r="G143" s="162" t="inlineStr">
        <is>
          <t>Everything about this skill is on this row. Scroll right.</t>
        </is>
      </c>
      <c r="H143" s="158" t="n"/>
      <c r="I143" s="158" t="n"/>
      <c r="J143" s="158" t="n"/>
      <c r="K143" s="158">
        <f>COUNTIF(Log!$G$3:$G$402,"55. State how a recommendation would be evaluated")</f>
        <v/>
      </c>
      <c r="L143" s="163">
        <f>IF(COUNTIF(Log!$G$3:$G$402,"55. State how a recommendation would be evaluated")=0,"",SUMPRODUCT(MAX((Log!$G$3:$G$402="55. State how a recommendation would be evaluated")*Log!$A$3:$A$402)))</f>
        <v/>
      </c>
      <c r="M143" s="164" t="inlineStr">
        <is>
          <t>▸  CORU 3.8
     Be able to evaluate intervention plans using appropriate tools and recognised performance/outcome measures along with service user responses; revise the plans as necessary and where appropriate in conjunction with the service user
▸  CORU 3.9
     Understand the need to monitor, evaluate and/or audit the quality of practice and be able to critically evaluate one's own practice against evidence-based standards and implement improvements based on the findings</t>
        </is>
      </c>
      <c r="N143" s="164" t="inlineStr">
        <is>
          <t>▸  PSI 2.3.2
     Direct their interventions towards clear objectives, and do not persist after the objectives have been met or if it is apparent they cannot be met.
▸  PSI 3.1.2
     Monitor and evaluate the effect of their professional activities, record their findings and, if appropriate, communicate new knowledge to others in the field.</t>
        </is>
      </c>
      <c r="O143" s="165" t="inlineStr">
        <is>
          <t>A recommendation with no evaluation is a guess that nobody ever checks. CORU 3.8 requires evaluating intervention plans using recognised outcome measures and revising them; 3.9 requires monitoring and auditing your own practice; PSI 3.1.2 requires monitoring and recording the effect of what you do. This is also the smallest, cheapest route into the practice-based research your review named — one line per recommendation.</t>
        </is>
      </c>
      <c r="P143" s="165" t="inlineStr">
        <is>
          <t>▸  The one line
     'Review at the end of term 2 using [measure], with progress monitored fortnightly by the SET.' What, when, how, who. Five minutes per report and it is the most commonly omitted element in trainee work.
▸  Choosing a measure that can move
     Match the measure to the timescale. Curriculum-based measurement, words correct per minute, frequency counts and brief validated rating scales move within a term. Standardised annual tests do not, and choosing one guarantees an inconclusive review.
▸  Baseline before you start
     Without a baseline you cannot attribute change to anything. Take it before the intervention begins, even if it is three data points over a week.
▸  Single-case design as the realistic option
     You will rarely have a control group. A simple AB design with a stable baseline, or a multiple-baseline across two children or two settings, is achievable within a placement and is a legitimate practice-based research output. This is how the Research competency gets evidenced without a separate project.
▸  Closing the loop
     Go back and look. A recommendation reviewed and revised is worth more in the portfolio than three delivered and abandoned, and it is the only way you learn whether your formulations are any good.</t>
        </is>
      </c>
      <c r="Q143" s="165" t="inlineStr">
        <is>
          <t>▸  CORU Standards of Proficiency 3.8, 3.9 and 5.37 — full text on this sheet, Part B.
▸  PSI Code of Professional Ethics (2025), 3.1.2 — full text on this sheet, Part B.
▸  Kazdin, A. E. (2011). Single-case research designs (2nd ed.). Oxford University Press.
▸  Deno, S. L. (2003). Developments in curriculum-based measurement. Journal of Special Education, 37(3).
▸  Barlow, D. H., Nock, M. K., &amp; Hersen, M. (2009). Single case experimental designs (3rd ed.). Pearson.</t>
        </is>
      </c>
      <c r="R143" s="166" t="inlineStr">
        <is>
          <t>✗  No evaluation line at all.
✗  A measure that cannot move within the timescale.
✗  No baseline.
✗  Assigning review to nobody in particular.
✗  Never going back to look.</t>
        </is>
      </c>
      <c r="S143" s="154" t="inlineStr">
        <is>
          <t>▸  GRADE 3
     Your recommendations are clear.
▸  GRADE 4
     Each carries a measure, a review point and a named person.
▸  GRADE 5
     You take baselines, use a defensible single-case design, return to review, and revise the recommendation on the evidence.</t>
        </is>
      </c>
      <c r="T143" s="165" t="inlineStr">
        <is>
          <t>▸  BLOCK 1 · Specifying a measure
     [5 minutes per report  ·  Weeks 7–12  ·  Habit]
     Naming what will be measured, by whom, and when.
     How you build it: One sentence per recommendation. Write it as you write the recommendation.
     ·  Name the measure
          you have it when: Specific instrument or observable
          [CORU SoP 3.8]
     ·  Name who will measure it
          you have it when: A role, not 'the school'
          [CORU SoP 5.37]
     ·  Name when
          you have it when: A date or interval
          [PSI Code 2.3.2]
▸  BLOCK 2 · Defining failure
     [5 minutes per report  ·  Weeks 7–12  ·  Habit]
     Saying what would count as no progress and trigger a change.
     How you build it: Add the threshold sentence. Almost nobody does.
     ·  Say what would count as no progress
          you have it when: A threshold for changing course
          [PSI Code 2.3.2]
▸  BLOCK 3 · Closing the loop
     [15 minutes per case  ·  Ongoing all year  ·  Habit]
     Actually asking what happened.
     How you build it: Diary the review date. Ask. Record the answer.
     ·  Follow up whether anyone acted on it
          you have it when: You asked afterwards
          [CORU SoP 3.9 · PSI Code 3.1.2]</t>
        </is>
      </c>
      <c r="U143" s="165" t="inlineStr">
        <is>
          <t>No full chapter yet.</t>
        </is>
      </c>
      <c r="V143" s="165" t="inlineStr">
        <is>
          <t>—</t>
        </is>
      </c>
      <c r="W143" s="165" t="inlineStr">
        <is>
          <t>Table 2 area 8 · Appendix 5 research entries · EDUC44170 review · evaluation lines in reports</t>
        </is>
      </c>
      <c r="X143" s="165" t="inlineStr">
        <is>
          <t>GDPR — lawful basis for data used in evaluation</t>
        </is>
      </c>
      <c r="Y143" s="165" t="inlineStr">
        <is>
          <t>Year 1 — Becomes real outcome evaluation in Year 2 and 3.</t>
        </is>
      </c>
    </row>
    <row r="146" ht="21.75" customHeight="1" s="128">
      <c r="A146" s="142" t="inlineStr">
        <is>
          <t>PART B</t>
        </is>
      </c>
      <c r="B146" s="142" t="inlineStr">
        <is>
          <t>THE STANDARDS IN FULL</t>
        </is>
      </c>
      <c r="C146" s="142" t="n"/>
      <c r="D146" s="142" t="inlineStr">
        <is>
          <t>All 102 CORU standards and all 128 PSI clauses. Column F shows which of your skills cite each one, and flags any nothing cites yet.</t>
        </is>
      </c>
      <c r="E146" s="142" t="n"/>
      <c r="F146" s="142" t="n"/>
      <c r="G146" s="142" t="n"/>
      <c r="H146" s="142" t="n"/>
      <c r="I146" s="142" t="n"/>
      <c r="J146" s="142" t="n"/>
      <c r="K146" s="142" t="n"/>
      <c r="L146" s="142" t="n"/>
      <c r="M146" s="142" t="n"/>
      <c r="N146" s="142" t="n"/>
      <c r="O146" s="142" t="n"/>
      <c r="P146" s="142" t="n"/>
      <c r="Q146" s="142" t="n"/>
      <c r="R146" s="142" t="n"/>
      <c r="S146" s="142" t="n"/>
      <c r="T146" s="142" t="n"/>
      <c r="U146" s="142" t="n"/>
      <c r="V146" s="142" t="n"/>
      <c r="W146" s="142" t="n"/>
      <c r="X146" s="142" t="n"/>
      <c r="Y146" s="142" t="n"/>
      <c r="Z146" s="142" t="n"/>
      <c r="AA146" s="142" t="n"/>
      <c r="AB146" s="142" t="n"/>
      <c r="AC146" s="142" t="n"/>
      <c r="AD146" s="142" t="n"/>
      <c r="AE146" s="142" t="n"/>
      <c r="AF146" s="142" t="n"/>
      <c r="AG146" s="142" t="n"/>
      <c r="AH146" s="142" t="n"/>
      <c r="AI146" s="142" t="n"/>
      <c r="AJ146" s="142" t="n"/>
      <c r="AK146" s="142" t="n"/>
    </row>
    <row r="147" ht="15" customHeight="1" s="128">
      <c r="A147" s="173" t="inlineStr">
        <is>
          <t>CORU</t>
        </is>
      </c>
      <c r="B147" s="173" t="inlineStr">
        <is>
          <t>Standards of Proficiency for Educational Psychologists — 102 standards, 5 domains</t>
        </is>
      </c>
      <c r="C147" s="173" t="n"/>
      <c r="D147" s="173" t="n"/>
      <c r="E147" s="173" t="n"/>
      <c r="F147" s="173" t="n"/>
    </row>
    <row r="148" ht="15" customHeight="1" s="128">
      <c r="A148" s="174" t="n"/>
      <c r="B148" s="174" t="inlineStr">
        <is>
          <t>1. Professional Autonomy and Accountability</t>
        </is>
      </c>
      <c r="C148" s="174" t="n"/>
      <c r="D148" s="174" t="n"/>
      <c r="E148" s="174" t="inlineStr">
        <is>
          <t>20 standards</t>
        </is>
      </c>
      <c r="F148" s="174" t="n"/>
    </row>
    <row r="149" outlineLevel="2" ht="34.5" customHeight="1" s="128">
      <c r="D149" s="175" t="inlineStr">
        <is>
          <t>CORU standard</t>
        </is>
      </c>
      <c r="E149" s="176" t="inlineStr">
        <is>
          <t>1.1</t>
        </is>
      </c>
      <c r="F149" s="177" t="inlineStr">
        <is>
          <t>Be able to practise safely and effectively within the legal, ethical and practice boundaries of the profession</t>
        </is>
      </c>
      <c r="G149" s="139" t="inlineStr">
        <is>
          <t>30. Build rapport with a child during assessment · 40. Work an ethical dilemma through a decision procedure</t>
        </is>
      </c>
    </row>
    <row r="150" outlineLevel="2" ht="45.75" customHeight="1" s="128">
      <c r="D150" s="175" t="inlineStr">
        <is>
          <t>CORU standard</t>
        </is>
      </c>
      <c r="E150" s="176" t="inlineStr">
        <is>
          <t>1.2</t>
        </is>
      </c>
      <c r="F150" s="177" t="inlineStr">
        <is>
          <t>Be able to identify the limits of their practice and know when to seek advice and additional expertise or refer to another professional</t>
        </is>
      </c>
      <c r="G150" s="139" t="inlineStr">
        <is>
          <t>20. Foundations in counselling skills · 41. State and hold the limits of your competence · 8. Social communication screening measures</t>
        </is>
      </c>
    </row>
    <row r="151" outlineLevel="2" ht="34.5" customHeight="1" s="128">
      <c r="D151" s="175" t="inlineStr">
        <is>
          <t>CORU standard</t>
        </is>
      </c>
      <c r="E151" s="176" t="inlineStr">
        <is>
          <t>1.3</t>
        </is>
      </c>
      <c r="F151" s="177" t="inlineStr">
        <is>
          <t>Be able to act in the best interest of service users at all times with due regard to their will and preference</t>
        </is>
      </c>
      <c r="G151" s="139" t="inlineStr">
        <is>
          <t>15. Analyse risk and resilience · 38. Obtain informed consent and assent</t>
        </is>
      </c>
    </row>
    <row r="152" outlineLevel="2" ht="34.5" customHeight="1" s="128">
      <c r="D152" s="175" t="inlineStr">
        <is>
          <t>CORU standard</t>
        </is>
      </c>
      <c r="E152" s="176" t="inlineStr">
        <is>
          <t>1.4</t>
        </is>
      </c>
      <c r="F152" s="177" t="inlineStr">
        <is>
          <t>Be aware of current guidelines and legislation relating to candour and disclosure</t>
        </is>
      </c>
      <c r="G152" s="139" t="inlineStr">
        <is>
          <t>2. Structured interviewing of parents for developmental history</t>
        </is>
      </c>
    </row>
    <row r="153" outlineLevel="2" ht="45.75" customHeight="1" s="128">
      <c r="D153" s="175" t="inlineStr">
        <is>
          <t>CORU standard</t>
        </is>
      </c>
      <c r="E153" s="176" t="inlineStr">
        <is>
          <t>1.5</t>
        </is>
      </c>
      <c r="F153" s="177" t="inlineStr">
        <is>
          <t>Respect and uphold the rights, dignity and autonomy of every service user including their role in the diagnostic, therapeutic and social care process</t>
        </is>
      </c>
      <c r="G153" s="178" t="inlineStr">
        <is>
          <t>NOT YET CITED by any skill</t>
        </is>
      </c>
    </row>
    <row r="154" outlineLevel="2" ht="23.25" customHeight="1" s="128">
      <c r="D154" s="175" t="inlineStr">
        <is>
          <t>CORU standard</t>
        </is>
      </c>
      <c r="E154" s="176" t="inlineStr">
        <is>
          <t>1.6</t>
        </is>
      </c>
      <c r="F154" s="177" t="inlineStr">
        <is>
          <t>Be able to exercise a professional duty of care</t>
        </is>
      </c>
      <c r="G154" s="139" t="inlineStr">
        <is>
          <t>37. Complete service induction · 40. Work an ethical dilemma through a decision procedure</t>
        </is>
      </c>
    </row>
    <row r="155" outlineLevel="2" ht="57" customHeight="1" s="128">
      <c r="D155" s="175" t="inlineStr">
        <is>
          <t>CORU standard</t>
        </is>
      </c>
      <c r="E155" s="176" t="inlineStr">
        <is>
          <t>1.7</t>
        </is>
      </c>
      <c r="F155" s="177" t="inlineStr">
        <is>
          <t>Understand what is required of them by the Registration Board and be familiar with the provisions of the current Code of Professional Conduct and Ethics for the profession</t>
        </is>
      </c>
      <c r="G155" s="139" t="inlineStr">
        <is>
          <t>36. Garda vetting and Children First certification · 37. Complete service induction</t>
        </is>
      </c>
    </row>
    <row r="156" outlineLevel="2" ht="68.25" customHeight="1" s="128">
      <c r="D156" s="175" t="inlineStr">
        <is>
          <t>CORU standard</t>
        </is>
      </c>
      <c r="E156" s="176" t="inlineStr">
        <is>
          <t>1.8</t>
        </is>
      </c>
      <c r="F156" s="177" t="inlineStr">
        <is>
          <t>Recognise the importance of practising in a non-discriminatory, culturally sensitive way and acknowledge and respect the differences in beliefs and cultural practices of individuals or groups</t>
        </is>
      </c>
      <c r="G156" s="178" t="inlineStr">
        <is>
          <t>NOT YET CITED by any skill</t>
        </is>
      </c>
    </row>
    <row r="157" outlineLevel="2" ht="45.75" customHeight="1" s="128">
      <c r="D157" s="175" t="inlineStr">
        <is>
          <t>CORU standard</t>
        </is>
      </c>
      <c r="E157" s="176" t="inlineStr">
        <is>
          <t>1.9</t>
        </is>
      </c>
      <c r="F157" s="177" t="inlineStr">
        <is>
          <t>Understand the role of policies and systems to protect the health, safety, welfare, equality and dignity of service users, staff and volunteers</t>
        </is>
      </c>
      <c r="G157" s="139" t="inlineStr">
        <is>
          <t>37. Complete service induction</t>
        </is>
      </c>
    </row>
    <row r="158" outlineLevel="2" ht="45.75" customHeight="1" s="128">
      <c r="D158" s="175" t="inlineStr">
        <is>
          <t>CORU standard</t>
        </is>
      </c>
      <c r="E158" s="176" t="inlineStr">
        <is>
          <t>1.10</t>
        </is>
      </c>
      <c r="F158" s="177" t="inlineStr">
        <is>
          <t>Understand and respect the confidentiality of service users and use information only for the purpose for which it was given</t>
        </is>
      </c>
      <c r="G158" s="139" t="inlineStr">
        <is>
          <t>38. Obtain informed consent and assent</t>
        </is>
      </c>
    </row>
    <row r="159" outlineLevel="2" ht="23.25" customHeight="1" s="128">
      <c r="D159" s="175" t="inlineStr">
        <is>
          <t>CORU standard</t>
        </is>
      </c>
      <c r="E159" s="176" t="inlineStr">
        <is>
          <t>1.11</t>
        </is>
      </c>
      <c r="F159" s="177" t="inlineStr">
        <is>
          <t>Understand confidentiality in the context of the team setting</t>
        </is>
      </c>
      <c r="G159" s="139" t="inlineStr">
        <is>
          <t>38. Obtain informed consent and assent</t>
        </is>
      </c>
    </row>
    <row r="160" outlineLevel="2" ht="57" customHeight="1" s="128">
      <c r="D160" s="175" t="inlineStr">
        <is>
          <t>CORU standard</t>
        </is>
      </c>
      <c r="E160" s="176" t="inlineStr">
        <is>
          <t>1.12</t>
        </is>
      </c>
      <c r="F160" s="177" t="inlineStr">
        <is>
          <t>Understand and be able to apply the limits of the concept of confidentiality particularly in relation to child protection, vulnerable adults and elder abuse</t>
        </is>
      </c>
      <c r="G160" s="139" t="inlineStr">
        <is>
          <t>15. Analyse risk and resilience · 36. Garda vetting and Children First certification · 39. Recognise and act on child protection concerns</t>
        </is>
      </c>
    </row>
    <row r="161" outlineLevel="2" ht="57" customHeight="1" s="128">
      <c r="D161" s="175" t="inlineStr">
        <is>
          <t>CORU standard</t>
        </is>
      </c>
      <c r="E161" s="176" t="inlineStr">
        <is>
          <t>1.13</t>
        </is>
      </c>
      <c r="F161" s="177" t="inlineStr">
        <is>
          <t>Be aware of current data protection, freedom of information and other legislation relevant to the profession and be able to access new and emerging legislation</t>
        </is>
      </c>
      <c r="G161" s="139" t="inlineStr">
        <is>
          <t>24. Familiarise with SET provision and allocation · 33. Keep case notes to service standard · 37. Complete service induction</t>
        </is>
      </c>
    </row>
    <row r="162" outlineLevel="2" ht="45.75" customHeight="1" s="128">
      <c r="D162" s="175" t="inlineStr">
        <is>
          <t>CORU standard</t>
        </is>
      </c>
      <c r="E162" s="176" t="inlineStr">
        <is>
          <t>1.14</t>
        </is>
      </c>
      <c r="F162" s="177" t="inlineStr">
        <is>
          <t>Be able to recognise and manage the potential conflict that can arise between confidentiality and whistle-blowing</t>
        </is>
      </c>
      <c r="G162" s="139" t="inlineStr">
        <is>
          <t>39. Recognise and act on child protection concerns</t>
        </is>
      </c>
    </row>
    <row r="163" outlineLevel="2" ht="57" customHeight="1" s="128">
      <c r="D163" s="175" t="inlineStr">
        <is>
          <t>CORU standard</t>
        </is>
      </c>
      <c r="E163" s="176" t="inlineStr">
        <is>
          <t>1.15</t>
        </is>
      </c>
      <c r="F163" s="177" t="inlineStr">
        <is>
          <t>Be able to gain informed consent to carry out assessments or provide treatment/interventions and document evidence that consent has been obtained</t>
        </is>
      </c>
      <c r="G163" s="139" t="inlineStr">
        <is>
          <t>38. Obtain informed consent and assent</t>
        </is>
      </c>
    </row>
    <row r="164" outlineLevel="2" ht="34.5" customHeight="1" s="128">
      <c r="D164" s="175" t="inlineStr">
        <is>
          <t>CORU standard</t>
        </is>
      </c>
      <c r="E164" s="176" t="inlineStr">
        <is>
          <t>1.16</t>
        </is>
      </c>
      <c r="F164" s="177" t="inlineStr">
        <is>
          <t>Be aware of current legislation and guidelines related to informed consent for individuals with lack of capacity</t>
        </is>
      </c>
      <c r="G164" s="139" t="inlineStr">
        <is>
          <t>38. Obtain informed consent and assent</t>
        </is>
      </c>
    </row>
    <row r="165" outlineLevel="2" ht="45.75" customHeight="1" s="128">
      <c r="D165" s="175" t="inlineStr">
        <is>
          <t>CORU standard</t>
        </is>
      </c>
      <c r="E165" s="176" t="inlineStr">
        <is>
          <t>1.17</t>
        </is>
      </c>
      <c r="F165" s="177" t="inlineStr">
        <is>
          <t>Recognise personal responsibility and professional accountability for one's actions and be able to justify professional decisions made</t>
        </is>
      </c>
      <c r="G165" s="178" t="inlineStr">
        <is>
          <t>NOT YET CITED by any skill</t>
        </is>
      </c>
    </row>
    <row r="166" outlineLevel="2" ht="34.5" customHeight="1" s="128">
      <c r="D166" s="175" t="inlineStr">
        <is>
          <t>CORU standard</t>
        </is>
      </c>
      <c r="E166" s="176" t="inlineStr">
        <is>
          <t>1.18</t>
        </is>
      </c>
      <c r="F166" s="177" t="inlineStr">
        <is>
          <t>Be able to take responsibility for managing one's own workload as appropriate</t>
        </is>
      </c>
      <c r="G166" s="139" t="inlineStr">
        <is>
          <t>42. Manage workload and your own wellbeing</t>
        </is>
      </c>
    </row>
    <row r="167" outlineLevel="2" ht="68.25" customHeight="1" s="128">
      <c r="D167" s="175" t="inlineStr">
        <is>
          <t>CORU standard</t>
        </is>
      </c>
      <c r="E167" s="176" t="inlineStr">
        <is>
          <t>1.19</t>
        </is>
      </c>
      <c r="F167" s="177" t="inlineStr">
        <is>
          <t>Understand the principles of professional decision-making and be able to make informed decisions within the context of competing demands including those relating to ethical conflicts and available resources</t>
        </is>
      </c>
      <c r="G167" s="139" t="inlineStr">
        <is>
          <t>40. Work an ethical dilemma through a decision procedure</t>
        </is>
      </c>
    </row>
    <row r="168" outlineLevel="2" ht="34.5" customHeight="1" s="128">
      <c r="D168" s="175" t="inlineStr">
        <is>
          <t>CORU standard</t>
        </is>
      </c>
      <c r="E168" s="176" t="inlineStr">
        <is>
          <t>1.20</t>
        </is>
      </c>
      <c r="F168" s="177" t="inlineStr">
        <is>
          <t>Be aware of and be able to take responsibility for managing one's own health and wellbeing</t>
        </is>
      </c>
      <c r="G168" s="139" t="inlineStr">
        <is>
          <t>42. Manage workload and your own wellbeing</t>
        </is>
      </c>
    </row>
    <row r="169" ht="15" customHeight="1" s="128">
      <c r="A169" s="174" t="n"/>
      <c r="B169" s="174" t="inlineStr">
        <is>
          <t>2. Communication, Collaborative Practice and Teamworking</t>
        </is>
      </c>
      <c r="C169" s="174" t="n"/>
      <c r="D169" s="174" t="n"/>
      <c r="E169" s="174" t="inlineStr">
        <is>
          <t>17 standards</t>
        </is>
      </c>
      <c r="F169" s="174" t="n"/>
    </row>
    <row r="170" outlineLevel="2" ht="57" customHeight="1" s="128">
      <c r="D170" s="175" t="inlineStr">
        <is>
          <t>CORU standard</t>
        </is>
      </c>
      <c r="E170" s="176" t="inlineStr">
        <is>
          <t>2.1</t>
        </is>
      </c>
      <c r="F170" s="177" t="inlineStr">
        <is>
          <t>Be able to communicate diagnosis/assessment and/or treatment/management options in a way that can be understood by the service user</t>
        </is>
      </c>
      <c r="G170" s="139" t="inlineStr">
        <is>
          <t>11. Learn the four frameworks for practice · 22. Observe and deliver parental feedback sessions · 32. Give feedback to parents on assessment findings</t>
        </is>
      </c>
    </row>
    <row r="171" outlineLevel="2" ht="79.5" customHeight="1" s="128">
      <c r="D171" s="175" t="inlineStr">
        <is>
          <t>CORU standard</t>
        </is>
      </c>
      <c r="E171" s="176" t="inlineStr">
        <is>
          <t>2.2</t>
        </is>
      </c>
      <c r="F171" s="177" t="inlineStr">
        <is>
          <t>Be able to modify and adapt communication methods and styles, including verbal and non-verbal methods, to suit the individual service user, considering issues of language, age, culture, beliefs and health and/or social care needs</t>
        </is>
      </c>
      <c r="G171" s="139" t="inlineStr">
        <is>
          <t>2. Structured interviewing of parents for developmental history · 30. Build rapport with a child during assessment · 32. Give feedback to parents on assessment findings · 35. Adapt written communication to the audience · 41. State and hold the limits of your competence</t>
        </is>
      </c>
    </row>
    <row r="172" outlineLevel="2" ht="57" customHeight="1" s="128">
      <c r="D172" s="175" t="inlineStr">
        <is>
          <t>CORU standard</t>
        </is>
      </c>
      <c r="E172" s="176" t="inlineStr">
        <is>
          <t>2.3</t>
        </is>
      </c>
      <c r="F172" s="177" t="inlineStr">
        <is>
          <t>Recognise service users as active participants in their health and social care and be able to support service users in communicating their needs, choices and concerns</t>
        </is>
      </c>
      <c r="G172" s="139" t="inlineStr">
        <is>
          <t>30. Build rapport with a child during assessment</t>
        </is>
      </c>
    </row>
    <row r="173" outlineLevel="2" ht="57" customHeight="1" s="128">
      <c r="D173" s="175" t="inlineStr">
        <is>
          <t>CORU standard</t>
        </is>
      </c>
      <c r="E173" s="176" t="inlineStr">
        <is>
          <t>2.4</t>
        </is>
      </c>
      <c r="F173" s="177" t="inlineStr">
        <is>
          <t>Understand the need to empower service users to manage their well-being where possible and recognise the need to provide advice on self-treatment, where appropriate</t>
        </is>
      </c>
      <c r="G173" s="139" t="inlineStr">
        <is>
          <t>19. Wellbeing interventions at class and group level · 2. Structured interviewing of parents for developmental history · 32. Give feedback to parents on assessment findings</t>
        </is>
      </c>
    </row>
    <row r="174" outlineLevel="2" ht="32.25" customHeight="1" s="128">
      <c r="D174" s="175" t="inlineStr">
        <is>
          <t>CORU standard</t>
        </is>
      </c>
      <c r="E174" s="176" t="inlineStr">
        <is>
          <t>2.5</t>
        </is>
      </c>
      <c r="F174" s="177" t="inlineStr">
        <is>
          <t>Be able to recognise when the services of a professional translator are required</t>
        </is>
      </c>
      <c r="G174" s="139" t="inlineStr">
        <is>
          <t>10. Adapt standardised procedure and record the adaptation · 31. Communicate with school staff, SENCO and principal · 35. Adapt written communication to the audience</t>
        </is>
      </c>
    </row>
    <row r="175" outlineLevel="2" ht="45.75" customHeight="1" s="128">
      <c r="D175" s="175" t="inlineStr">
        <is>
          <t>CORU standard</t>
        </is>
      </c>
      <c r="E175" s="176" t="inlineStr">
        <is>
          <t>2.6</t>
        </is>
      </c>
      <c r="F175" s="177" t="inlineStr">
        <is>
          <t>Be able to communicate in English at a standard equivalent to C1 on the Common European Framework of Reference for Languages</t>
        </is>
      </c>
      <c r="G175" s="139" t="inlineStr">
        <is>
          <t>22. Observe and deliver parental feedback sessions · 31. Communicate with school staff, SENCO and principal</t>
        </is>
      </c>
    </row>
    <row r="176" outlineLevel="2" ht="45.75" customHeight="1" s="128">
      <c r="D176" s="175" t="inlineStr">
        <is>
          <t>CORU standard</t>
        </is>
      </c>
      <c r="E176" s="176" t="inlineStr">
        <is>
          <t>2.7</t>
        </is>
      </c>
      <c r="F176" s="177" t="inlineStr">
        <is>
          <t>Demonstrate a critical understanding of how to use media including digital and social media in an ethical, confidential and professional manner</t>
        </is>
      </c>
      <c r="G176" s="139" t="inlineStr">
        <is>
          <t>20. Foundations in counselling skills · 35. Adapt written communication to the audience</t>
        </is>
      </c>
    </row>
    <row r="177" outlineLevel="2" ht="32.25" customHeight="1" s="128">
      <c r="D177" s="175" t="inlineStr">
        <is>
          <t>CORU standard</t>
        </is>
      </c>
      <c r="E177" s="176" t="inlineStr">
        <is>
          <t>2.8</t>
        </is>
      </c>
      <c r="F177" s="177" t="inlineStr">
        <is>
          <t>Be able to produce clear, concise, accurate and objective documentation</t>
        </is>
      </c>
      <c r="G177" s="139" t="inlineStr">
        <is>
          <t>1. Observation in classroom, playground and clinic · 10. Adapt standardised procedure and record the adaptation · 33. Keep case notes to service standard</t>
        </is>
      </c>
    </row>
    <row r="178" outlineLevel="2" ht="34.5" customHeight="1" s="128">
      <c r="D178" s="175" t="inlineStr">
        <is>
          <t>CORU standard</t>
        </is>
      </c>
      <c r="E178" s="176" t="inlineStr">
        <is>
          <t>2.9</t>
        </is>
      </c>
      <c r="F178" s="177" t="inlineStr">
        <is>
          <t>Be able to apply digital literacy skills and communication technologies appropriate to the profession</t>
        </is>
      </c>
      <c r="G178" s="139" t="inlineStr">
        <is>
          <t>34. Produce the psychological report to countersigning standard · 9. Behavioural and emotional rating scales</t>
        </is>
      </c>
    </row>
    <row r="179" outlineLevel="2" ht="45.75" customHeight="1" s="128">
      <c r="D179" s="175" t="inlineStr">
        <is>
          <t>CORU standard</t>
        </is>
      </c>
      <c r="E179" s="176" t="inlineStr">
        <is>
          <t>2.10</t>
        </is>
      </c>
      <c r="F179" s="177" t="inlineStr">
        <is>
          <t>Be aware of and comply with local/national documentation standards including, for example, terminology and signature requirements</t>
        </is>
      </c>
      <c r="G179" s="139" t="inlineStr">
        <is>
          <t>33. Keep case notes to service standard</t>
        </is>
      </c>
    </row>
    <row r="180" outlineLevel="2" ht="68.25" customHeight="1" s="128">
      <c r="D180" s="175" t="inlineStr">
        <is>
          <t>CORU standard</t>
        </is>
      </c>
      <c r="E180" s="176" t="inlineStr">
        <is>
          <t>2.11</t>
        </is>
      </c>
      <c r="F180" s="177" t="inlineStr">
        <is>
          <t>Be able to express professional, informed and considered opinions to service users, health professionals and others in varied practice settings and contexts and within the limitations of confidentiality</t>
        </is>
      </c>
      <c r="G180" s="139" t="inlineStr">
        <is>
          <t>27. Attend service team meetings</t>
        </is>
      </c>
    </row>
    <row r="181" outlineLevel="2" ht="34.5" customHeight="1" s="128">
      <c r="D181" s="175" t="inlineStr">
        <is>
          <t>CORU standard</t>
        </is>
      </c>
      <c r="E181" s="176" t="inlineStr">
        <is>
          <t>2.12</t>
        </is>
      </c>
      <c r="F181" s="177" t="inlineStr">
        <is>
          <t>Understand and be able to recognise the impact of effective leadership and management on practice</t>
        </is>
      </c>
      <c r="G181" s="139" t="inlineStr">
        <is>
          <t>23. Observe and then contribute to teacher consultation · 28. Learn consultation models</t>
        </is>
      </c>
    </row>
    <row r="182" outlineLevel="2" ht="34.5" customHeight="1" s="128">
      <c r="D182" s="175" t="inlineStr">
        <is>
          <t>CORU standard</t>
        </is>
      </c>
      <c r="E182" s="176" t="inlineStr">
        <is>
          <t>2.13</t>
        </is>
      </c>
      <c r="F182" s="177" t="inlineStr">
        <is>
          <t>Understand and be able to discuss the principles of effective conflict management</t>
        </is>
      </c>
      <c r="G182" s="139" t="inlineStr">
        <is>
          <t>31. Communicate with school staff, SENCO and principal</t>
        </is>
      </c>
    </row>
    <row r="183" outlineLevel="2" ht="90.75" customHeight="1" s="128">
      <c r="D183" s="175" t="inlineStr">
        <is>
          <t>CORU standard</t>
        </is>
      </c>
      <c r="E183" s="176" t="inlineStr">
        <is>
          <t>2.14</t>
        </is>
      </c>
      <c r="F183" s="177" t="inlineStr">
        <is>
          <t>Understand the need to work in partnership with service users, their relatives/carers and other professionals in planning and evaluating goals, treatments and interventions, and be aware of the concepts of power and authority in relationships with service users</t>
        </is>
      </c>
      <c r="G183" s="139" t="inlineStr">
        <is>
          <t>22. Observe and deliver parental feedback sessions</t>
        </is>
      </c>
    </row>
    <row r="184" outlineLevel="2" ht="45.75" customHeight="1" s="128">
      <c r="D184" s="175" t="inlineStr">
        <is>
          <t>CORU standard</t>
        </is>
      </c>
      <c r="E184" s="176" t="inlineStr">
        <is>
          <t>2.15</t>
        </is>
      </c>
      <c r="F184" s="177" t="inlineStr">
        <is>
          <t>Understand the need to build and sustain professional relationships as both an independent practitioner and collaboratively as a member of a team</t>
        </is>
      </c>
      <c r="G184" s="139" t="inlineStr">
        <is>
          <t>27. Attend service team meetings · 3. Structured interviewing of teachers and SET</t>
        </is>
      </c>
    </row>
    <row r="185" outlineLevel="2" ht="57" customHeight="1" s="128">
      <c r="D185" s="175" t="inlineStr">
        <is>
          <t>CORU standard</t>
        </is>
      </c>
      <c r="E185" s="176" t="inlineStr">
        <is>
          <t>2.16</t>
        </is>
      </c>
      <c r="F185" s="177" t="inlineStr">
        <is>
          <t>Understand the role and impact of effective interdisciplinary team working in meeting service user needs and be able to effectively contribute to decision-making within a team setting</t>
        </is>
      </c>
      <c r="G185" s="139" t="inlineStr">
        <is>
          <t>27. Attend service team meetings</t>
        </is>
      </c>
    </row>
    <row r="186" outlineLevel="2" ht="68.25" customHeight="1" s="128">
      <c r="D186" s="175" t="inlineStr">
        <is>
          <t>CORU standard</t>
        </is>
      </c>
      <c r="E186" s="176" t="inlineStr">
        <is>
          <t>2.17</t>
        </is>
      </c>
      <c r="F186" s="177" t="inlineStr">
        <is>
          <t>Understand the role of relationships with professional colleagues and other workers in service delivery and the need to create professional relationships based on mutual respect and trust</t>
        </is>
      </c>
      <c r="G186" s="139" t="inlineStr">
        <is>
          <t>31. Communicate with school staff, SENCO and principal</t>
        </is>
      </c>
    </row>
    <row r="187" ht="15" customHeight="1" s="128">
      <c r="A187" s="174" t="n"/>
      <c r="B187" s="174" t="inlineStr">
        <is>
          <t>3. Safety and Quality</t>
        </is>
      </c>
      <c r="C187" s="174" t="n"/>
      <c r="D187" s="174" t="n"/>
      <c r="E187" s="174" t="inlineStr">
        <is>
          <t>14 standards</t>
        </is>
      </c>
      <c r="F187" s="174" t="n"/>
    </row>
    <row r="188" outlineLevel="2" ht="45.75" customHeight="1" s="128">
      <c r="D188" s="175" t="inlineStr">
        <is>
          <t>CORU standard</t>
        </is>
      </c>
      <c r="E188" s="176" t="inlineStr">
        <is>
          <t>3.1</t>
        </is>
      </c>
      <c r="F188" s="177" t="inlineStr">
        <is>
          <t>Be able to gather all appropriate background information relevant to the service user's health and social care needs</t>
        </is>
      </c>
      <c r="G188" s="139" t="inlineStr">
        <is>
          <t>1. Observation in classroom, playground and clinic · 2. Structured interviewing of parents for developmental history · 3. Structured interviewing of teachers and SET</t>
        </is>
      </c>
    </row>
    <row r="189" outlineLevel="2" ht="57" customHeight="1" s="128">
      <c r="D189" s="175" t="inlineStr">
        <is>
          <t>CORU standard</t>
        </is>
      </c>
      <c r="E189" s="176" t="inlineStr">
        <is>
          <t>3.2</t>
        </is>
      </c>
      <c r="F189" s="177" t="inlineStr">
        <is>
          <t>Be able to justify the selection of and implement appropriate assessment techniques and be able to undertake and record a thorough, sensitive and detailed assessment</t>
        </is>
      </c>
      <c r="G189" s="139" t="inlineStr">
        <is>
          <t>34. Produce the psychological report to countersigning standard · 5. WIAT administration, scoring and interpretation</t>
        </is>
      </c>
    </row>
    <row r="190" outlineLevel="2" ht="34.5" customHeight="1" s="128">
      <c r="D190" s="175" t="inlineStr">
        <is>
          <t>CORU standard</t>
        </is>
      </c>
      <c r="E190" s="176" t="inlineStr">
        <is>
          <t>3.3</t>
        </is>
      </c>
      <c r="F190" s="177" t="inlineStr">
        <is>
          <t>Be able to determine the appropriate tests/assessments required and undertake/arrange these tests</t>
        </is>
      </c>
      <c r="G190" s="139" t="inlineStr">
        <is>
          <t>5. WIAT administration, scoring and interpretation · 7. Phonological and literacy measures · 9. Behavioural and emotional rating scales</t>
        </is>
      </c>
    </row>
    <row r="191" outlineLevel="2" ht="34.5" customHeight="1" s="128">
      <c r="D191" s="175" t="inlineStr">
        <is>
          <t>CORU standard</t>
        </is>
      </c>
      <c r="E191" s="176" t="inlineStr">
        <is>
          <t>3.4</t>
        </is>
      </c>
      <c r="F191" s="177" t="inlineStr">
        <is>
          <t>Be able to analyse and critically evaluate the information collected in the assessment process</t>
        </is>
      </c>
      <c r="G191" s="139" t="inlineStr">
        <is>
          <t>14. Consider the likelihood of co-occurring conditions · 18. Educational interventions in numeracy · 6. Synthesise findings from multiple sources into one profile · 9. Behavioural and emotional rating scales</t>
        </is>
      </c>
    </row>
    <row r="192" outlineLevel="2" ht="45.75" customHeight="1" s="128">
      <c r="D192" s="175" t="inlineStr">
        <is>
          <t>CORU standard</t>
        </is>
      </c>
      <c r="E192" s="176" t="inlineStr">
        <is>
          <t>3.5</t>
        </is>
      </c>
      <c r="F192" s="177" t="inlineStr">
        <is>
          <t>Be able to demonstrate sound logical reasoning and problem solving skills to determine appropriate problem lists, action plans and goals</t>
        </is>
      </c>
      <c r="G192" s="139" t="inlineStr">
        <is>
          <t>12. Name and apply one framework to each substantial case · 13. Distinguish primary from secondary needs</t>
        </is>
      </c>
    </row>
    <row r="193" outlineLevel="2" ht="79.5" customHeight="1" s="128">
      <c r="D193" s="175" t="inlineStr">
        <is>
          <t>CORU standard</t>
        </is>
      </c>
      <c r="E193" s="176" t="inlineStr">
        <is>
          <t>3.6</t>
        </is>
      </c>
      <c r="F193" s="177" t="inlineStr">
        <is>
          <t>Be able to demonstrate an evidence-informed approach to professional decision-making, adapting practice to the needs of the service user and drawing on appropriate knowledge and skills in order to make professional judgments</t>
        </is>
      </c>
      <c r="G193" s="139" t="inlineStr">
        <is>
          <t>13. Distinguish primary from secondary needs</t>
        </is>
      </c>
    </row>
    <row r="194" outlineLevel="2" ht="34.5" customHeight="1" s="128">
      <c r="D194" s="175" t="inlineStr">
        <is>
          <t>CORU standard</t>
        </is>
      </c>
      <c r="E194" s="176" t="inlineStr">
        <is>
          <t>3.7</t>
        </is>
      </c>
      <c r="F194" s="177" t="inlineStr">
        <is>
          <t>Be able to prioritise and maintain the safety of both service users and those involved in their care</t>
        </is>
      </c>
      <c r="G194" s="139" t="inlineStr">
        <is>
          <t>1. Observation in classroom, playground and clinic</t>
        </is>
      </c>
    </row>
    <row r="195" outlineLevel="2" ht="79.5" customHeight="1" s="128">
      <c r="D195" s="175" t="inlineStr">
        <is>
          <t>CORU standard</t>
        </is>
      </c>
      <c r="E195" s="176" t="inlineStr">
        <is>
          <t>3.8</t>
        </is>
      </c>
      <c r="F195" s="177" t="inlineStr">
        <is>
          <t>Be able to evaluate intervention plans using appropriate tools and recognised performance/outcome measures along with service user responses; revise the plans as necessary and where appropriate in conjunction with the service user</t>
        </is>
      </c>
      <c r="G195" s="139" t="inlineStr">
        <is>
          <t>17. Educational interventions in literacy · 21. Write recommendations naming the Continuum of Support level · 55. State how a recommendation would be evaluated</t>
        </is>
      </c>
    </row>
    <row r="196" outlineLevel="2" ht="79.5" customHeight="1" s="128">
      <c r="D196" s="175" t="inlineStr">
        <is>
          <t>CORU standard</t>
        </is>
      </c>
      <c r="E196" s="176" t="inlineStr">
        <is>
          <t>3.9</t>
        </is>
      </c>
      <c r="F196" s="177" t="inlineStr">
        <is>
          <t>Understand the need to monitor, evaluate and/or audit the quality of practice and be able to critically evaluate one's own practice against evidence-based standards and implement improvements based on the findings</t>
        </is>
      </c>
      <c r="G196" s="139" t="inlineStr">
        <is>
          <t>55. State how a recommendation would be evaluated</t>
        </is>
      </c>
    </row>
    <row r="197" outlineLevel="2" ht="102" customHeight="1" s="128">
      <c r="D197" s="175" t="inlineStr">
        <is>
          <t>CORU standard</t>
        </is>
      </c>
      <c r="E197" s="176" t="inlineStr">
        <is>
          <t>3.10</t>
        </is>
      </c>
      <c r="F197" s="177" t="inlineStr">
        <is>
          <t>Be able to recognise important risk factors and implement risk management strategies; be able to make reasoned decisions and/or provide guidance to others to initiate, continue, modify or cease interventions, techniques or courses of action, and record decisions and concerns</t>
        </is>
      </c>
      <c r="G197" s="139" t="inlineStr">
        <is>
          <t>14. Consider the likelihood of co-occurring conditions · 53. Search and critically appraise evidence</t>
        </is>
      </c>
    </row>
    <row r="198" outlineLevel="2" ht="23.25" customHeight="1" s="128">
      <c r="D198" s="175" t="inlineStr">
        <is>
          <t>CORU standard</t>
        </is>
      </c>
      <c r="E198" s="176" t="inlineStr">
        <is>
          <t>3.11</t>
        </is>
      </c>
      <c r="F198" s="177" t="inlineStr">
        <is>
          <t>Understand the principles of quality assurance and quality improvement</t>
        </is>
      </c>
      <c r="G198" s="139" t="inlineStr">
        <is>
          <t>15. Analyse risk and resilience</t>
        </is>
      </c>
    </row>
    <row r="199" outlineLevel="2" ht="79.5" customHeight="1" s="128">
      <c r="D199" s="175" t="inlineStr">
        <is>
          <t>CORU standard</t>
        </is>
      </c>
      <c r="E199" s="176" t="inlineStr">
        <is>
          <t>3.12</t>
        </is>
      </c>
      <c r="F199" s="177" t="inlineStr">
        <is>
          <t>Be able to carry out and document a risk analysis and implement effective risk management controls and strategies; be able to clearly communicate any identified risk, adverse events or near misses in line with current legislation/guidelines</t>
        </is>
      </c>
      <c r="G199" s="139" t="inlineStr">
        <is>
          <t>39. Recognise and act on child protection concerns</t>
        </is>
      </c>
    </row>
    <row r="200" outlineLevel="2" ht="34.5" customHeight="1" s="128">
      <c r="D200" s="175" t="inlineStr">
        <is>
          <t>CORU standard</t>
        </is>
      </c>
      <c r="E200" s="176" t="inlineStr">
        <is>
          <t>3.13</t>
        </is>
      </c>
      <c r="F200" s="177" t="inlineStr">
        <is>
          <t>Be able to comply with relevant and current health and safety legislation and guidelines</t>
        </is>
      </c>
      <c r="G200" s="139" t="inlineStr">
        <is>
          <t>37. Complete service induction</t>
        </is>
      </c>
    </row>
    <row r="201" outlineLevel="2" ht="57" customHeight="1" s="128">
      <c r="D201" s="175" t="inlineStr">
        <is>
          <t>CORU standard</t>
        </is>
      </c>
      <c r="E201" s="176" t="inlineStr">
        <is>
          <t>3.14</t>
        </is>
      </c>
      <c r="F201" s="177" t="inlineStr">
        <is>
          <t>Be able to establish safe environments for practice which minimise risks to service users, those treating them and others, including the use of infection prevention and control strategies</t>
        </is>
      </c>
      <c r="G201" s="178" t="inlineStr">
        <is>
          <t>NOT YET CITED by any skill</t>
        </is>
      </c>
    </row>
    <row r="202" ht="15" customHeight="1" s="128">
      <c r="A202" s="174" t="n"/>
      <c r="B202" s="174" t="inlineStr">
        <is>
          <t>4. Professional Development</t>
        </is>
      </c>
      <c r="C202" s="174" t="n"/>
      <c r="D202" s="174" t="n"/>
      <c r="E202" s="174" t="inlineStr">
        <is>
          <t>6 standards</t>
        </is>
      </c>
      <c r="F202" s="174" t="n"/>
    </row>
    <row r="203" outlineLevel="2" ht="34.5" customHeight="1" s="128">
      <c r="D203" s="175" t="inlineStr">
        <is>
          <t>CORU standard</t>
        </is>
      </c>
      <c r="E203" s="176" t="inlineStr">
        <is>
          <t>4.1</t>
        </is>
      </c>
      <c r="F203" s="177" t="inlineStr">
        <is>
          <t>Be able to engage in and take responsibility for professional development</t>
        </is>
      </c>
      <c r="G203" s="139" t="inlineStr">
        <is>
          <t>41. State and hold the limits of your competence · 42. Manage workload and your own wellbeing · 47. Observe your supervisor with a client</t>
        </is>
      </c>
    </row>
    <row r="204" outlineLevel="2" ht="79.5" customHeight="1" s="128">
      <c r="D204" s="175" t="inlineStr">
        <is>
          <t>CORU standard</t>
        </is>
      </c>
      <c r="E204" s="176" t="inlineStr">
        <is>
          <t>4.2</t>
        </is>
      </c>
      <c r="F204" s="177" t="inlineStr">
        <is>
          <t>Understand the need to demonstrate evidence of ongoing continuing professional development and education, be aware of professional regulation requirements, and understand the benefits of CPD to professional practice</t>
        </is>
      </c>
      <c r="G204" s="139" t="inlineStr">
        <is>
          <t>42. Manage workload and your own wellbeing · 48. Be observed with a client</t>
        </is>
      </c>
    </row>
    <row r="205" outlineLevel="2" ht="79.5" customHeight="1" s="128">
      <c r="D205" s="175" t="inlineStr">
        <is>
          <t>CORU standard</t>
        </is>
      </c>
      <c r="E205" s="176" t="inlineStr">
        <is>
          <t>4.3</t>
        </is>
      </c>
      <c r="F205" s="177" t="inlineStr">
        <is>
          <t>Be able to evaluate and reflect critically on own professional practice to identify learning and development needs; select appropriate learning activities to achieve professional development goals; and integrate new knowledge and skills into professional practice</t>
        </is>
      </c>
      <c r="G205" s="139" t="inlineStr">
        <is>
          <t>45. Prepare and send an agenda in advance · 48. Be observed with a client · 51. Complete Appendix 6 before and after</t>
        </is>
      </c>
    </row>
    <row r="206" outlineLevel="2" ht="45.75" customHeight="1" s="128">
      <c r="D206" s="175" t="inlineStr">
        <is>
          <t>CORU standard</t>
        </is>
      </c>
      <c r="E206" s="176" t="inlineStr">
        <is>
          <t>4.4</t>
        </is>
      </c>
      <c r="F206" s="177" t="inlineStr">
        <is>
          <t>Understand and recognise the impact of personal values and life experience on professional practice and be able to manage this impact appropriately</t>
        </is>
      </c>
      <c r="G206" s="139" t="inlineStr">
        <is>
          <t>42. Manage workload and your own wellbeing · 52. Write the reflective learning essay</t>
        </is>
      </c>
    </row>
    <row r="207" outlineLevel="2" ht="57" customHeight="1" s="128">
      <c r="D207" s="175" t="inlineStr">
        <is>
          <t>CORU standard</t>
        </is>
      </c>
      <c r="E207" s="176" t="inlineStr">
        <is>
          <t>4.5</t>
        </is>
      </c>
      <c r="F207" s="177" t="inlineStr">
        <is>
          <t>Understand the importance of and be able to seek professional development, supervision, feedback and peer review opportunities in order to continuously improve practice</t>
        </is>
      </c>
      <c r="G207" s="139" t="inlineStr">
        <is>
          <t>28. Learn consultation models · 48. Be observed with a client · 50. Contribute to peer and group supervision · 51. Complete Appendix 6 before and after · 52. Write the reflective learning essay</t>
        </is>
      </c>
    </row>
    <row r="208" outlineLevel="2" ht="45.75" customHeight="1" s="128">
      <c r="D208" s="175" t="inlineStr">
        <is>
          <t>CORU standard</t>
        </is>
      </c>
      <c r="E208" s="176" t="inlineStr">
        <is>
          <t>4.6</t>
        </is>
      </c>
      <c r="F208" s="177" t="inlineStr">
        <is>
          <t>Understand the importance of participation in performance management activities for effective service delivery</t>
        </is>
      </c>
      <c r="G208" s="139" t="inlineStr">
        <is>
          <t>43. Agree and sign the supervision contract · 50. Contribute to peer and group supervision</t>
        </is>
      </c>
    </row>
    <row r="209" ht="15" customHeight="1" s="128">
      <c r="A209" s="174" t="n"/>
      <c r="B209" s="174" t="inlineStr">
        <is>
          <t>5. Professional Knowledge and Skills</t>
        </is>
      </c>
      <c r="C209" s="174" t="n"/>
      <c r="D209" s="174" t="n"/>
      <c r="E209" s="174" t="inlineStr">
        <is>
          <t>45 standards</t>
        </is>
      </c>
      <c r="F209" s="174" t="n"/>
    </row>
    <row r="210" outlineLevel="2" ht="34.5" customHeight="1" s="128">
      <c r="D210" s="175" t="inlineStr">
        <is>
          <t>CORU standard</t>
        </is>
      </c>
      <c r="E210" s="176" t="inlineStr">
        <is>
          <t>5.1</t>
        </is>
      </c>
      <c r="F210" s="177" t="inlineStr">
        <is>
          <t>Know, understand and apply the key concepts of the domains of knowledge which are relevant to the profession</t>
        </is>
      </c>
      <c r="G210" s="178" t="inlineStr">
        <is>
          <t>NOT YET CITED by any skill</t>
        </is>
      </c>
    </row>
    <row r="211" outlineLevel="2" ht="68.25" customHeight="1" s="128">
      <c r="D211" s="175" t="inlineStr">
        <is>
          <t>CORU standard</t>
        </is>
      </c>
      <c r="E211" s="176" t="inlineStr">
        <is>
          <t>5.2</t>
        </is>
      </c>
      <c r="F211" s="177" t="inlineStr">
        <is>
          <t>Demonstrate a critical understanding of relevant biological sciences, human development, social and behavioural sciences and other related sciences, together with a knowledge of health and wellbeing</t>
        </is>
      </c>
      <c r="G211" s="139" t="inlineStr">
        <is>
          <t>16. Account for the biopsychosocial context · 2. Structured interviewing of parents for developmental history</t>
        </is>
      </c>
    </row>
    <row r="212" outlineLevel="2" ht="79.5" customHeight="1" s="128">
      <c r="D212" s="175" t="inlineStr">
        <is>
          <t>CORU standard</t>
        </is>
      </c>
      <c r="E212" s="176" t="inlineStr">
        <is>
          <t>5.3</t>
        </is>
      </c>
      <c r="F212" s="177" t="inlineStr">
        <is>
          <t>Know, understand and critically appraise the principles and applications of scientific enquiry, including the evaluation of treatment/intervention efficacy, the research process and evidence-informed practice</t>
        </is>
      </c>
      <c r="G212" s="139" t="inlineStr">
        <is>
          <t>53. Search and critically appraise evidence</t>
        </is>
      </c>
    </row>
    <row r="213" outlineLevel="2" ht="45.75" customHeight="1" s="128">
      <c r="D213" s="175" t="inlineStr">
        <is>
          <t>CORU standard</t>
        </is>
      </c>
      <c r="E213" s="176" t="inlineStr">
        <is>
          <t>5.4</t>
        </is>
      </c>
      <c r="F213" s="177" t="inlineStr">
        <is>
          <t>Demonstrate skills in evidence-informed practice, including translation of theory, concepts and methods to clinical/professional practice</t>
        </is>
      </c>
      <c r="G213" s="139" t="inlineStr">
        <is>
          <t>54. Cite evidence for recommendations</t>
        </is>
      </c>
    </row>
    <row r="214" outlineLevel="2" ht="57" customHeight="1" s="128">
      <c r="D214" s="175" t="inlineStr">
        <is>
          <t>CORU standard</t>
        </is>
      </c>
      <c r="E214" s="176" t="inlineStr">
        <is>
          <t>5.5</t>
        </is>
      </c>
      <c r="F214" s="177" t="inlineStr">
        <is>
          <t>Be able to identify and understand the impact of governmental, organisational, community and societal structures, systems and culture on health and social care provision</t>
        </is>
      </c>
      <c r="G214" s="139" t="inlineStr">
        <is>
          <t>16. Account for the biopsychosocial context · 24. Familiarise with SET provision and allocation · 27. Attend service team meetings</t>
        </is>
      </c>
    </row>
    <row r="215" outlineLevel="2" ht="34.5" customHeight="1" s="128">
      <c r="D215" s="175" t="inlineStr">
        <is>
          <t>CORU standard</t>
        </is>
      </c>
      <c r="E215" s="176" t="inlineStr">
        <is>
          <t>5.6</t>
        </is>
      </c>
      <c r="F215" s="177" t="inlineStr">
        <is>
          <t>Demonstrate safe and effective implementation of practical, technical and clinical/professional skills</t>
        </is>
      </c>
      <c r="G215" s="139" t="inlineStr">
        <is>
          <t>4. WISC-V administration to proficiency standard · 5. WIAT administration, scoring and interpretation</t>
        </is>
      </c>
    </row>
    <row r="216" outlineLevel="2" ht="34.5" customHeight="1" s="128">
      <c r="D216" s="175" t="inlineStr">
        <is>
          <t>CORU standard</t>
        </is>
      </c>
      <c r="E216" s="176" t="inlineStr">
        <is>
          <t>5.7</t>
        </is>
      </c>
      <c r="F216" s="177" t="inlineStr">
        <is>
          <t>Demonstrate ability to conduct or lead clinical, academic or practice-based research</t>
        </is>
      </c>
      <c r="G216" s="139" t="inlineStr">
        <is>
          <t>4. WISC-V administration to proficiency standard · 54. Cite evidence for recommendations</t>
        </is>
      </c>
    </row>
    <row r="217" outlineLevel="2" ht="34.5" customHeight="1" s="128">
      <c r="D217" s="175" t="inlineStr">
        <is>
          <t>CORU standard</t>
        </is>
      </c>
      <c r="E217" s="176" t="inlineStr">
        <is>
          <t>5.8</t>
        </is>
      </c>
      <c r="F217" s="177" t="inlineStr">
        <is>
          <t>Know the basic principles of effective teaching and learning, mentoring and supervision</t>
        </is>
      </c>
      <c r="G217" s="139" t="inlineStr">
        <is>
          <t>29. Deliver the good practice presentation · 47. Observe your supervisor with a client · 50. Contribute to peer and group supervision</t>
        </is>
      </c>
    </row>
    <row r="218" outlineLevel="2" ht="34.5" customHeight="1" s="128">
      <c r="D218" s="175" t="inlineStr">
        <is>
          <t>CORU standard</t>
        </is>
      </c>
      <c r="E218" s="176" t="inlineStr">
        <is>
          <t>5.9</t>
        </is>
      </c>
      <c r="F218" s="177" t="inlineStr">
        <is>
          <t>Know the theories, models and research approaches specific to educational psychology</t>
        </is>
      </c>
      <c r="G218" s="139" t="inlineStr">
        <is>
          <t>6. Synthesise findings from multiple sources into one profile</t>
        </is>
      </c>
    </row>
    <row r="219" outlineLevel="2" ht="23.25" customHeight="1" s="128">
      <c r="D219" s="175" t="inlineStr">
        <is>
          <t>CORU standard</t>
        </is>
      </c>
      <c r="E219" s="176" t="inlineStr">
        <is>
          <t>5.10</t>
        </is>
      </c>
      <c r="F219" s="177" t="inlineStr">
        <is>
          <t>Know the history and development of educational psychology</t>
        </is>
      </c>
      <c r="G219" s="139" t="inlineStr">
        <is>
          <t>6. Synthesise findings from multiple sources into one profile</t>
        </is>
      </c>
    </row>
    <row r="220" outlineLevel="2" ht="57" customHeight="1" s="128">
      <c r="D220" s="175" t="inlineStr">
        <is>
          <t>CORU standard</t>
        </is>
      </c>
      <c r="E220" s="176" t="inlineStr">
        <is>
          <t>5.11</t>
        </is>
      </c>
      <c r="F220" s="177" t="inlineStr">
        <is>
          <t>Know the role of the service user as an active participant in planning their assessment, therapeutic and treatment process and other psychological interventions</t>
        </is>
      </c>
      <c r="G220" s="178" t="inlineStr">
        <is>
          <t>NOT YET CITED by any skill</t>
        </is>
      </c>
    </row>
    <row r="221" outlineLevel="2" ht="57" customHeight="1" s="128">
      <c r="D221" s="175" t="inlineStr">
        <is>
          <t>CORU standard</t>
        </is>
      </c>
      <c r="E221" s="176" t="inlineStr">
        <is>
          <t>5.12</t>
        </is>
      </c>
      <c r="F221" s="177" t="inlineStr">
        <is>
          <t>Know the psychological theories of education, human development, learning and teaching and their application in children, young people and adult learners</t>
        </is>
      </c>
      <c r="G221" s="139" t="inlineStr">
        <is>
          <t>2. Structured interviewing of parents for developmental history</t>
        </is>
      </c>
    </row>
    <row r="222" outlineLevel="2" ht="57" customHeight="1" s="128">
      <c r="D222" s="175" t="inlineStr">
        <is>
          <t>CORU standard</t>
        </is>
      </c>
      <c r="E222" s="176" t="inlineStr">
        <is>
          <t>5.13</t>
        </is>
      </c>
      <c r="F222" s="177" t="inlineStr">
        <is>
          <t>Know the structures and systems of school, community and social settings in which educational, health and social care services are provided for children, young people and adult learners</t>
        </is>
      </c>
      <c r="G222" s="139" t="inlineStr">
        <is>
          <t>24. Familiarise with SET provision and allocation · 25. Map the school's organisation of supports · 26. Visit a range of special education settings · 3. Structured interviewing of teachers and SET · 31. Communicate with school staff, SENCO and principal</t>
        </is>
      </c>
    </row>
    <row r="223" outlineLevel="2" ht="68.25" customHeight="1" s="128">
      <c r="D223" s="175" t="inlineStr">
        <is>
          <t>CORU standard</t>
        </is>
      </c>
      <c r="E223" s="176" t="inlineStr">
        <is>
          <t>5.14</t>
        </is>
      </c>
      <c r="F223" s="177" t="inlineStr">
        <is>
          <t>Know the impact of structures and systems in which educational services are provided on the development of children, young people and adult learners at individual, group and organisational levels</t>
        </is>
      </c>
      <c r="G223" s="139" t="inlineStr">
        <is>
          <t>16. Account for the biopsychosocial context · 3. Structured interviewing of teachers and SET</t>
        </is>
      </c>
    </row>
    <row r="224" outlineLevel="2" ht="68.25" customHeight="1" s="128">
      <c r="D224" s="175" t="inlineStr">
        <is>
          <t>CORU standard</t>
        </is>
      </c>
      <c r="E224" s="176" t="inlineStr">
        <is>
          <t>5.15</t>
        </is>
      </c>
      <c r="F224" s="177" t="inlineStr">
        <is>
          <t>Know psychological models related to the cognitive, behavioural, emotional, social and learning development of children, young people and adults in educational, health and social care services</t>
        </is>
      </c>
      <c r="G224" s="139" t="inlineStr">
        <is>
          <t>14. Consider the likelihood of co-occurring conditions</t>
        </is>
      </c>
    </row>
    <row r="225" outlineLevel="2" ht="57" customHeight="1" s="128">
      <c r="D225" s="175" t="inlineStr">
        <is>
          <t>CORU standard</t>
        </is>
      </c>
      <c r="E225" s="176" t="inlineStr">
        <is>
          <t>5.16</t>
        </is>
      </c>
      <c r="F225" s="177" t="inlineStr">
        <is>
          <t>Know psychological models related to the impact of family structures, culture, community, organisations and systems on cognitive, behavioural, emotional, social and learning development</t>
        </is>
      </c>
      <c r="G225" s="139" t="inlineStr">
        <is>
          <t>16. Account for the biopsychosocial context</t>
        </is>
      </c>
    </row>
    <row r="226" outlineLevel="2" ht="68.25" customHeight="1" s="128">
      <c r="D226" s="175" t="inlineStr">
        <is>
          <t>CORU standard</t>
        </is>
      </c>
      <c r="E226" s="176" t="inlineStr">
        <is>
          <t>5.17</t>
        </is>
      </c>
      <c r="F226" s="177" t="inlineStr">
        <is>
          <t>Know psychological models related to the factors that hinder the fulfilment of potential and achievement among children, young people and adults, in order to identify needs and address barriers to learning and development</t>
        </is>
      </c>
      <c r="G226" s="139" t="inlineStr">
        <is>
          <t>14. Consider the likelihood of co-occurring conditions · 15. Analyse risk and resilience</t>
        </is>
      </c>
    </row>
    <row r="227" outlineLevel="2" ht="45.75" customHeight="1" s="128">
      <c r="D227" s="175" t="inlineStr">
        <is>
          <t>CORU standard</t>
        </is>
      </c>
      <c r="E227" s="176" t="inlineStr">
        <is>
          <t>5.18</t>
        </is>
      </c>
      <c r="F227" s="177" t="inlineStr">
        <is>
          <t>Know psychotherapeutic models relevant to educational psychology and critically evaluate these as they are applied in practice</t>
        </is>
      </c>
      <c r="G227" s="139" t="inlineStr">
        <is>
          <t>20. Foundations in counselling skills</t>
        </is>
      </c>
    </row>
    <row r="228" outlineLevel="2" ht="57" customHeight="1" s="128">
      <c r="D228" s="175" t="inlineStr">
        <is>
          <t>CORU standard</t>
        </is>
      </c>
      <c r="E228" s="176" t="inlineStr">
        <is>
          <t>5.19</t>
        </is>
      </c>
      <c r="F228" s="177" t="inlineStr">
        <is>
          <t>Demonstrate awareness of the impact of psychopharmacological and other therapeutic interventions on educational psychology practice with service users</t>
        </is>
      </c>
      <c r="G228" s="178" t="inlineStr">
        <is>
          <t>NOT YET CITED by any skill</t>
        </is>
      </c>
    </row>
    <row r="229" outlineLevel="2" ht="124.5" customHeight="1" s="128">
      <c r="D229" s="175" t="inlineStr">
        <is>
          <t>CORU standard</t>
        </is>
      </c>
      <c r="E229" s="176" t="inlineStr">
        <is>
          <t>5.20</t>
        </is>
      </c>
      <c r="F229" s="177" t="inlineStr">
        <is>
          <t>Know and communicate the role of educational psychologists in providing evidence-based psychological services across educational, health and social care settings, focusing on supporting the psychological and educational development of children, young people and adult learners through assessment, diagnosis, formulation, intervention, prevention, advocacy, consultation, training and research</t>
        </is>
      </c>
      <c r="G229" s="139" t="inlineStr">
        <is>
          <t>29. Deliver the good practice presentation</t>
        </is>
      </c>
    </row>
    <row r="230" outlineLevel="2" ht="45.75" customHeight="1" s="128">
      <c r="D230" s="175" t="inlineStr">
        <is>
          <t>CORU standard</t>
        </is>
      </c>
      <c r="E230" s="176" t="inlineStr">
        <is>
          <t>5.21</t>
        </is>
      </c>
      <c r="F230" s="177" t="inlineStr">
        <is>
          <t>Establish, maintain and conclude a professional relationship with a service user, safely and ethically, recognising and managing professional boundaries</t>
        </is>
      </c>
      <c r="G230" s="139" t="inlineStr">
        <is>
          <t>20. Foundations in counselling skills · 30. Build rapport with a child during assessment · 4. WISC-V administration to proficiency standard</t>
        </is>
      </c>
    </row>
    <row r="231" outlineLevel="2" ht="57" customHeight="1" s="128">
      <c r="D231" s="175" t="inlineStr">
        <is>
          <t>CORU standard</t>
        </is>
      </c>
      <c r="E231" s="176" t="inlineStr">
        <is>
          <t>5.22</t>
        </is>
      </c>
      <c r="F231" s="177" t="inlineStr">
        <is>
          <t>Be able to critically analyse the factors that influence therapeutic and professional relationships, including power dynamics between the practitioner and service user</t>
        </is>
      </c>
      <c r="G231" s="139" t="inlineStr">
        <is>
          <t>23. Observe and then contribute to teacher consultation</t>
        </is>
      </c>
    </row>
    <row r="232" outlineLevel="2" ht="45.75" customHeight="1" s="128">
      <c r="D232" s="175" t="inlineStr">
        <is>
          <t>CORU standard</t>
        </is>
      </c>
      <c r="E232" s="176" t="inlineStr">
        <is>
          <t>5.23</t>
        </is>
      </c>
      <c r="F232" s="177" t="inlineStr">
        <is>
          <t>Know the benefits and challenges of working in partnership with service users in the delivery of assessments and interventions</t>
        </is>
      </c>
      <c r="G232" s="139" t="inlineStr">
        <is>
          <t>16. Account for the biopsychosocial context</t>
        </is>
      </c>
    </row>
    <row r="233" outlineLevel="2" ht="45.75" customHeight="1" s="128">
      <c r="D233" s="175" t="inlineStr">
        <is>
          <t>CORU standard</t>
        </is>
      </c>
      <c r="E233" s="176" t="inlineStr">
        <is>
          <t>5.24</t>
        </is>
      </c>
      <c r="F233" s="177" t="inlineStr">
        <is>
          <t>Identify and apply knowledge of the intersecting forms of diversity of service users, working in an inclusive, sensitive and equitable manner</t>
        </is>
      </c>
      <c r="G233" s="139" t="inlineStr">
        <is>
          <t>8. Social communication screening measures</t>
        </is>
      </c>
    </row>
    <row r="234" outlineLevel="2" ht="57" customHeight="1" s="128">
      <c r="D234" s="175" t="inlineStr">
        <is>
          <t>CORU standard</t>
        </is>
      </c>
      <c r="E234" s="176" t="inlineStr">
        <is>
          <t>5.25</t>
        </is>
      </c>
      <c r="F234" s="177" t="inlineStr">
        <is>
          <t>Select, evaluate and revise communication approaches to promote inclusive communication appropriate to the context of practice and the intended audience</t>
        </is>
      </c>
      <c r="G234" s="139" t="inlineStr">
        <is>
          <t>35. Adapt written communication to the audience</t>
        </is>
      </c>
    </row>
    <row r="235" outlineLevel="2" ht="45.75" customHeight="1" s="128">
      <c r="D235" s="175" t="inlineStr">
        <is>
          <t>CORU standard</t>
        </is>
      </c>
      <c r="E235" s="176" t="inlineStr">
        <is>
          <t>5.26</t>
        </is>
      </c>
      <c r="F235" s="177" t="inlineStr">
        <is>
          <t>Know and be able to use — safely and ethically — technologies and communication approaches used in practice in a virtual environment</t>
        </is>
      </c>
      <c r="G235" s="139" t="inlineStr">
        <is>
          <t>21. Write recommendations naming the Continuum of Support level</t>
        </is>
      </c>
    </row>
    <row r="236" outlineLevel="2" ht="90.75" customHeight="1" s="128">
      <c r="D236" s="175" t="inlineStr">
        <is>
          <t>CORU standard</t>
        </is>
      </c>
      <c r="E236" s="176" t="inlineStr">
        <is>
          <t>5.27</t>
        </is>
      </c>
      <c r="F236" s="177" t="inlineStr">
        <is>
          <t>Be able to produce clear, concise, accessible and accurate reports — devised in collaboration with service users, as appropriate — that are suitable for the intended audience and context of their use, in order to communicate and justify professional opinions made</t>
        </is>
      </c>
      <c r="G236" s="139" t="inlineStr">
        <is>
          <t>22. Observe and deliver parental feedback sessions · 32. Give feedback to parents on assessment findings · 34. Produce the psychological report to countersigning standard · 35. Adapt written communication to the audience · 6. Synthesise findings from multiple sources into one profile</t>
        </is>
      </c>
    </row>
    <row r="237" outlineLevel="2" ht="79.5" customHeight="1" s="128">
      <c r="D237" s="175" t="inlineStr">
        <is>
          <t>CORU standard</t>
        </is>
      </c>
      <c r="E237" s="176" t="inlineStr">
        <is>
          <t>5.28</t>
        </is>
      </c>
      <c r="F237" s="177" t="inlineStr">
        <is>
          <t>Be able to critically evaluate the theory and application of a range of assessment methods used in educational psychology to identify psychological, educational and developmental needs at individual and group levels</t>
        </is>
      </c>
      <c r="G237" s="139" t="inlineStr">
        <is>
          <t>7. Phonological and literacy measures · 8. Social communication screening measures</t>
        </is>
      </c>
    </row>
    <row r="238" outlineLevel="2" ht="57" customHeight="1" s="128">
      <c r="D238" s="175" t="inlineStr">
        <is>
          <t>CORU standard</t>
        </is>
      </c>
      <c r="E238" s="176" t="inlineStr">
        <is>
          <t>5.29</t>
        </is>
      </c>
      <c r="F238" s="177" t="inlineStr">
        <is>
          <t>Know and apply educational psychology theory and systemic, ecological and problem-solving frameworks related to assessment methods</t>
        </is>
      </c>
      <c r="G238" s="139" t="inlineStr">
        <is>
          <t>11. Learn the four frameworks for practice · 12. Name and apply one framework to each substantial case</t>
        </is>
      </c>
    </row>
    <row r="239" outlineLevel="2" ht="68.25" customHeight="1" s="128">
      <c r="D239" s="175" t="inlineStr">
        <is>
          <t>CORU standard</t>
        </is>
      </c>
      <c r="E239" s="176" t="inlineStr">
        <is>
          <t>5.30</t>
        </is>
      </c>
      <c r="F239" s="177" t="inlineStr">
        <is>
          <t>Plan assessments, selecting appropriate assessment methods, critically evaluating and integrating the service user's need and perspective and social and cultural considerations as part of the planning process</t>
        </is>
      </c>
      <c r="G239" s="139" t="inlineStr">
        <is>
          <t>25. Map the school's organisation of supports</t>
        </is>
      </c>
    </row>
    <row r="240" outlineLevel="2" ht="45.75" customHeight="1" s="128">
      <c r="D240" s="175" t="inlineStr">
        <is>
          <t>CORU standard</t>
        </is>
      </c>
      <c r="E240" s="176" t="inlineStr">
        <is>
          <t>5.31</t>
        </is>
      </c>
      <c r="F240" s="177" t="inlineStr">
        <is>
          <t>Conduct a range of assessment methods safely and ethically, adapting and re-evaluating their application as appropriate</t>
        </is>
      </c>
      <c r="G240" s="139" t="inlineStr">
        <is>
          <t>1. Observation in classroom, playground and clinic · 10. Adapt standardised procedure and record the adaptation · 4. WISC-V administration to proficiency standard</t>
        </is>
      </c>
    </row>
    <row r="241" outlineLevel="2" ht="57" customHeight="1" s="128">
      <c r="D241" s="175" t="inlineStr">
        <is>
          <t>CORU standard</t>
        </is>
      </c>
      <c r="E241" s="176" t="inlineStr">
        <is>
          <t>5.32</t>
        </is>
      </c>
      <c r="F241" s="177" t="inlineStr">
        <is>
          <t>Interpret, synthesise and critically evaluate assessment data, within relevant conceptual frameworks, to inform case formulation and psychological intervention planning</t>
        </is>
      </c>
      <c r="G241" s="139" t="inlineStr">
        <is>
          <t>12. Name and apply one framework to each substantial case · 34. Produce the psychological report to countersigning standard · 5. WIAT administration, scoring and interpretation · 6. Synthesise findings from multiple sources into one profile · 7. Phonological and literacy measures · 9. Behavioural and emotional rating scales</t>
        </is>
      </c>
    </row>
    <row r="242" outlineLevel="2" ht="57" customHeight="1" s="128">
      <c r="D242" s="175" t="inlineStr">
        <is>
          <t>CORU standard</t>
        </is>
      </c>
      <c r="E242" s="176" t="inlineStr">
        <is>
          <t>5.33</t>
        </is>
      </c>
      <c r="F242" s="177" t="inlineStr">
        <is>
          <t>Be able to critically evaluate the theory and application of evidence-based intervention methods — at individual and group levels — in educational, health and social care settings</t>
        </is>
      </c>
      <c r="G242" s="139" t="inlineStr">
        <is>
          <t>17. Educational interventions in literacy · 18. Educational interventions in numeracy · 19. Wellbeing interventions at class and group level</t>
        </is>
      </c>
    </row>
    <row r="243" outlineLevel="2" ht="45.75" customHeight="1" s="128">
      <c r="D243" s="175" t="inlineStr">
        <is>
          <t>CORU standard</t>
        </is>
      </c>
      <c r="E243" s="176" t="inlineStr">
        <is>
          <t>5.34</t>
        </is>
      </c>
      <c r="F243" s="177" t="inlineStr">
        <is>
          <t>Design intervention(s) on the basis of available data, evidence-informed professional judgement, formulation and service user perspective</t>
        </is>
      </c>
      <c r="G243" s="139" t="inlineStr">
        <is>
          <t>17. Educational interventions in literacy · 18. Educational interventions in numeracy · 21. Write recommendations naming the Continuum of Support level</t>
        </is>
      </c>
    </row>
    <row r="244" outlineLevel="2" ht="68.25" customHeight="1" s="128">
      <c r="D244" s="175" t="inlineStr">
        <is>
          <t>CORU standard</t>
        </is>
      </c>
      <c r="E244" s="176" t="inlineStr">
        <is>
          <t>5.35</t>
        </is>
      </c>
      <c r="F244" s="177" t="inlineStr">
        <is>
          <t>Identify and evaluate the characteristics of school organisation and culture in order to contribute to school development that enhances the participation and wellbeing of all learners</t>
        </is>
      </c>
      <c r="G244" s="139" t="inlineStr">
        <is>
          <t>21. Write recommendations naming the Continuum of Support level · 25. Map the school's organisation of supports</t>
        </is>
      </c>
    </row>
    <row r="245" outlineLevel="2" ht="34.5" customHeight="1" s="128">
      <c r="D245" s="175" t="inlineStr">
        <is>
          <t>CORU standard</t>
        </is>
      </c>
      <c r="E245" s="176" t="inlineStr">
        <is>
          <t>5.36</t>
        </is>
      </c>
      <c r="F245" s="177" t="inlineStr">
        <is>
          <t>Apply safe and ethical intervention(s) appropriate to the goals and purpose identified in intervention plan(s)</t>
        </is>
      </c>
      <c r="G245" s="139" t="inlineStr">
        <is>
          <t>19. Wellbeing interventions at class and group level</t>
        </is>
      </c>
    </row>
    <row r="246" outlineLevel="2" ht="34.5" customHeight="1" s="128">
      <c r="D246" s="175" t="inlineStr">
        <is>
          <t>CORU standard</t>
        </is>
      </c>
      <c r="E246" s="176" t="inlineStr">
        <is>
          <t>5.37</t>
        </is>
      </c>
      <c r="F246" s="177" t="inlineStr">
        <is>
          <t>Monitor and evaluate the effectiveness of educational intervention(s) and revise as necessary</t>
        </is>
      </c>
      <c r="G246" s="178" t="inlineStr">
        <is>
          <t>NOT YET CITED by any skill</t>
        </is>
      </c>
    </row>
    <row r="247" outlineLevel="2" ht="34.5" customHeight="1" s="128">
      <c r="D247" s="175" t="inlineStr">
        <is>
          <t>CORU standard</t>
        </is>
      </c>
      <c r="E247" s="176" t="inlineStr">
        <is>
          <t>5.38</t>
        </is>
      </c>
      <c r="F247" s="177" t="inlineStr">
        <is>
          <t>Know and apply a range of consultation approaches at individual, group and organisational levels</t>
        </is>
      </c>
      <c r="G247" s="139" t="inlineStr">
        <is>
          <t>23. Observe and then contribute to teacher consultation · 28. Learn consultation models</t>
        </is>
      </c>
    </row>
    <row r="248" outlineLevel="2" ht="45.75" customHeight="1" s="128">
      <c r="D248" s="175" t="inlineStr">
        <is>
          <t>CORU standard</t>
        </is>
      </c>
      <c r="E248" s="176" t="inlineStr">
        <is>
          <t>5.39</t>
        </is>
      </c>
      <c r="F248" s="177" t="inlineStr">
        <is>
          <t>Work as part of a multi-disciplinary team in order to actively contribute to the integrated delivery of interventions at individual and group levels</t>
        </is>
      </c>
      <c r="G248" s="139" t="inlineStr">
        <is>
          <t>26. Visit a range of special education settings</t>
        </is>
      </c>
    </row>
    <row r="249" outlineLevel="2" ht="68.25" customHeight="1" s="128">
      <c r="D249" s="175" t="inlineStr">
        <is>
          <t>CORU standard</t>
        </is>
      </c>
      <c r="E249" s="176" t="inlineStr">
        <is>
          <t>5.40</t>
        </is>
      </c>
      <c r="F249" s="177" t="inlineStr">
        <is>
          <t>Work collaboratively with other professionals — including teachers, other school staff and multi-disciplinary teams — to build capacity among those responsible for the delivery of interventions</t>
        </is>
      </c>
      <c r="G249" s="139" t="inlineStr">
        <is>
          <t>19. Wellbeing interventions at class and group level · 23. Observe and then contribute to teacher consultation · 25. Map the school's organisation of supports · 29. Deliver the good practice presentation</t>
        </is>
      </c>
    </row>
    <row r="250" outlineLevel="2" ht="45.75" customHeight="1" s="128">
      <c r="D250" s="175" t="inlineStr">
        <is>
          <t>CORU standard</t>
        </is>
      </c>
      <c r="E250" s="176" t="inlineStr">
        <is>
          <t>5.41</t>
        </is>
      </c>
      <c r="F250" s="177" t="inlineStr">
        <is>
          <t>Be able to critically analyse, appraise and evaluate psychological and other relevant contemporary research to inform evidence-based practice</t>
        </is>
      </c>
      <c r="G250" s="139" t="inlineStr">
        <is>
          <t>29. Deliver the good practice presentation · 53. Search and critically appraise evidence</t>
        </is>
      </c>
    </row>
    <row r="251" outlineLevel="2" ht="57" customHeight="1" s="128">
      <c r="D251" s="175" t="inlineStr">
        <is>
          <t>CORU standard</t>
        </is>
      </c>
      <c r="E251" s="176" t="inlineStr">
        <is>
          <t>5.42</t>
        </is>
      </c>
      <c r="F251" s="177" t="inlineStr">
        <is>
          <t>Be able to formulate appropriate questions and plans in order to undertake research and produce outputs relevant to the practice of educational psychology</t>
        </is>
      </c>
      <c r="G251" s="178" t="inlineStr">
        <is>
          <t>NOT YET CITED by any skill</t>
        </is>
      </c>
    </row>
    <row r="252" outlineLevel="2" ht="45.75" customHeight="1" s="128">
      <c r="D252" s="175" t="inlineStr">
        <is>
          <t>CORU standard</t>
        </is>
      </c>
      <c r="E252" s="176" t="inlineStr">
        <is>
          <t>5.43</t>
        </is>
      </c>
      <c r="F252" s="177" t="inlineStr">
        <is>
          <t>Apply research ethics when planning, undertaking and reporting on research with service users and relevant others in the context of professional practice</t>
        </is>
      </c>
      <c r="G252" s="139" t="inlineStr">
        <is>
          <t>53. Search and critically appraise evidence</t>
        </is>
      </c>
    </row>
    <row r="253" outlineLevel="2" ht="90.75" customHeight="1" s="128">
      <c r="D253" s="175" t="inlineStr">
        <is>
          <t>CORU standard</t>
        </is>
      </c>
      <c r="E253" s="176" t="inlineStr">
        <is>
          <t>5.44</t>
        </is>
      </c>
      <c r="F253" s="177" t="inlineStr">
        <is>
          <t>Be able to critically reflect on the 'self' and the ongoing impact of one's own culture, values, experiences, beliefs and biases on their professional/therapeutic practice — utilising supervision to assist in the reflective process — and use such reflection to inform practice</t>
        </is>
      </c>
      <c r="G253" s="139" t="inlineStr">
        <is>
          <t>52. Write the reflective learning essay</t>
        </is>
      </c>
    </row>
    <row r="254" outlineLevel="2" ht="79.5" customHeight="1" s="128">
      <c r="D254" s="175" t="inlineStr">
        <is>
          <t>CORU standard</t>
        </is>
      </c>
      <c r="E254" s="176" t="inlineStr">
        <is>
          <t>5.45</t>
        </is>
      </c>
      <c r="F254" s="177" t="inlineStr">
        <is>
          <t>Be able to recognise personal emotional responses and the impact of trauma, as identified through professional/therapeutic practice and supervision, and use appropriate tools to develop effective self-care to maintain professional functioning</t>
        </is>
      </c>
      <c r="G254" s="139" t="inlineStr">
        <is>
          <t>42. Manage workload and your own wellbeing · 52. Write the reflective learning essay</t>
        </is>
      </c>
    </row>
    <row r="256" ht="15" customHeight="1" s="128">
      <c r="A256" s="173" t="inlineStr">
        <is>
          <t>PSI</t>
        </is>
      </c>
      <c r="B256" s="173" t="inlineStr">
        <is>
          <t>Code of Professional Ethics, 5th revision August 2025 — 128 clauses, 4 principles, 20 sections</t>
        </is>
      </c>
      <c r="C256" s="173" t="n"/>
      <c r="D256" s="173" t="n"/>
      <c r="E256" s="173" t="n"/>
      <c r="F256" s="173" t="n"/>
    </row>
    <row r="257" ht="15" customHeight="1" s="128">
      <c r="A257" s="174" t="n"/>
      <c r="B257" s="174" t="inlineStr">
        <is>
          <t>Principle 1 — Respect for the Rights and Dignity of the Person</t>
        </is>
      </c>
      <c r="C257" s="174" t="n"/>
      <c r="D257" s="174" t="n"/>
      <c r="E257" s="174" t="inlineStr">
        <is>
          <t>38 clauses</t>
        </is>
      </c>
      <c r="F257" s="174" t="n"/>
    </row>
    <row r="258" ht="15" customHeight="1" s="128">
      <c r="A258" s="179" t="n"/>
      <c r="B258" s="179" t="n"/>
      <c r="C258" s="179" t="inlineStr">
        <is>
          <t>1.1 General Respect</t>
        </is>
      </c>
      <c r="D258" s="179" t="n"/>
      <c r="E258" s="179" t="n"/>
      <c r="F258" s="179" t="n"/>
      <c r="G258" s="179" t="n"/>
      <c r="H258" s="179" t="n"/>
      <c r="I258" s="179" t="n"/>
      <c r="J258" s="179" t="n"/>
      <c r="K258" s="179" t="n"/>
      <c r="L258" s="179" t="n"/>
      <c r="M258" s="179" t="n"/>
      <c r="N258" s="179" t="n"/>
      <c r="O258" s="179" t="n"/>
      <c r="P258" s="179" t="n"/>
      <c r="Q258" s="179" t="n"/>
      <c r="R258" s="179" t="n"/>
      <c r="S258" s="179" t="n"/>
      <c r="T258" s="179" t="n"/>
      <c r="U258" s="179" t="n"/>
      <c r="V258" s="179" t="n"/>
      <c r="W258" s="179" t="n"/>
      <c r="X258" s="179" t="n"/>
      <c r="Y258" s="179" t="n"/>
      <c r="Z258" s="179" t="n"/>
      <c r="AA258" s="179" t="n"/>
      <c r="AB258" s="179" t="n"/>
      <c r="AC258" s="179" t="n"/>
      <c r="AD258" s="179" t="n"/>
      <c r="AE258" s="179" t="n"/>
      <c r="AF258" s="179" t="n"/>
      <c r="AG258" s="179" t="n"/>
      <c r="AH258" s="179" t="n"/>
      <c r="AI258" s="179" t="n"/>
      <c r="AJ258" s="179" t="n"/>
      <c r="AK258" s="179" t="n"/>
    </row>
    <row r="259" ht="23.25" customHeight="1" s="128">
      <c r="D259" s="175" t="inlineStr">
        <is>
          <t>PSI clause</t>
        </is>
      </c>
      <c r="E259" s="176" t="inlineStr">
        <is>
          <t>1.1.1</t>
        </is>
      </c>
      <c r="F259" s="177" t="inlineStr">
        <is>
          <t>Have sensible regard for individual clients' moral and cultural values.</t>
        </is>
      </c>
      <c r="G259" s="139" t="inlineStr">
        <is>
          <t>Observation in classroom, playground and clinic · Structured interviewing of parents for developmental history</t>
        </is>
      </c>
    </row>
    <row r="260" ht="57" customHeight="1" s="128">
      <c r="D260" s="175" t="inlineStr">
        <is>
          <t>PSI clause</t>
        </is>
      </c>
      <c r="E260" s="176" t="inlineStr">
        <is>
          <t>1.1.2</t>
        </is>
      </c>
      <c r="F260" s="177" t="inlineStr">
        <is>
          <t>Not allow their service to clients to be diminished by factors such as gender, sexual orientation, disability, religion, race, ethnicity, age, national origin, party politics, social standing or class.</t>
        </is>
      </c>
      <c r="G260" s="139" t="inlineStr">
        <is>
          <t>Build rapport with a child during assessment</t>
        </is>
      </c>
    </row>
    <row r="261" ht="57" customHeight="1" s="128">
      <c r="D261" s="175" t="inlineStr">
        <is>
          <t>PSI clause</t>
        </is>
      </c>
      <c r="E261" s="176" t="inlineStr">
        <is>
          <t>1.1.3</t>
        </is>
      </c>
      <c r="F261" s="177" t="inlineStr">
        <is>
          <t>Convey respect for and abide by prevailing community mores, social customs, and cultural expectations in their scientific and professional activities.</t>
        </is>
      </c>
      <c r="G261" s="139" t="inlineStr">
        <is>
          <t>Structured interviewing of parents for developmental history</t>
        </is>
      </c>
    </row>
    <row r="262" ht="45.75" customHeight="1" s="128">
      <c r="D262" s="175" t="inlineStr">
        <is>
          <t>PSI clause</t>
        </is>
      </c>
      <c r="E262" s="176" t="inlineStr">
        <is>
          <t>1.1.4</t>
        </is>
      </c>
      <c r="F262" s="177" t="inlineStr">
        <is>
          <t>Use language that conveys respect for the dignity of others (for example, gender-neutral terms) in all written or verbal communication.</t>
        </is>
      </c>
      <c r="G262" s="139" t="inlineStr">
        <is>
          <t>Adapt written communication to the audience</t>
        </is>
      </c>
    </row>
    <row r="263" ht="34.5" customHeight="1" s="128">
      <c r="D263" s="175" t="inlineStr">
        <is>
          <t>PSI clause</t>
        </is>
      </c>
      <c r="E263" s="176" t="inlineStr">
        <is>
          <t>1.1.5</t>
        </is>
      </c>
      <c r="F263" s="177" t="inlineStr">
        <is>
          <t>Avoid or refuse to participate in practices which are disrespectful of the legal, civil, or moral rights of others.</t>
        </is>
      </c>
      <c r="G263" s="139" t="inlineStr">
        <is>
          <t>Build rapport with a child during assessment</t>
        </is>
      </c>
    </row>
    <row r="264" ht="15" customHeight="1" s="128">
      <c r="A264" s="179" t="n"/>
      <c r="B264" s="179" t="n"/>
      <c r="C264" s="179" t="inlineStr">
        <is>
          <t>1.2 Privacy and Confidentiality</t>
        </is>
      </c>
      <c r="D264" s="179" t="n"/>
      <c r="E264" s="179" t="n"/>
      <c r="F264" s="179" t="n"/>
      <c r="G264" s="179" t="n"/>
      <c r="H264" s="179" t="n"/>
      <c r="I264" s="179" t="n"/>
      <c r="J264" s="179" t="n"/>
      <c r="K264" s="179" t="n"/>
      <c r="L264" s="179" t="n"/>
      <c r="M264" s="179" t="n"/>
      <c r="N264" s="179" t="n"/>
      <c r="O264" s="179" t="n"/>
      <c r="P264" s="179" t="n"/>
      <c r="Q264" s="179" t="n"/>
      <c r="R264" s="179" t="n"/>
      <c r="S264" s="179" t="n"/>
      <c r="T264" s="179" t="n"/>
      <c r="U264" s="179" t="n"/>
      <c r="V264" s="179" t="n"/>
      <c r="W264" s="179" t="n"/>
      <c r="X264" s="179" t="n"/>
      <c r="Y264" s="179" t="n"/>
      <c r="Z264" s="179" t="n"/>
      <c r="AA264" s="179" t="n"/>
      <c r="AB264" s="179" t="n"/>
      <c r="AC264" s="179" t="n"/>
      <c r="AD264" s="179" t="n"/>
      <c r="AE264" s="179" t="n"/>
      <c r="AF264" s="179" t="n"/>
      <c r="AG264" s="179" t="n"/>
      <c r="AH264" s="179" t="n"/>
      <c r="AI264" s="179" t="n"/>
      <c r="AJ264" s="179" t="n"/>
      <c r="AK264" s="179" t="n"/>
    </row>
    <row r="265" ht="57" customHeight="1" s="128">
      <c r="D265" s="175" t="inlineStr">
        <is>
          <t>PSI clause</t>
        </is>
      </c>
      <c r="E265" s="176" t="inlineStr">
        <is>
          <t>1.2.1</t>
        </is>
      </c>
      <c r="F265" s="177" t="inlineStr">
        <is>
          <t>Explore and collect only that information which is germane to the purposes of a given investigation or intervention, or which is required by law.</t>
        </is>
      </c>
      <c r="G265" s="139" t="inlineStr">
        <is>
          <t>Observation in classroom, playground and clinic</t>
        </is>
      </c>
    </row>
    <row r="266" ht="57" customHeight="1" s="128">
      <c r="D266" s="175" t="inlineStr">
        <is>
          <t>PSI clause</t>
        </is>
      </c>
      <c r="E266" s="176" t="inlineStr">
        <is>
          <t>1.2.2</t>
        </is>
      </c>
      <c r="F266" s="177" t="inlineStr">
        <is>
          <t>Take care not to infringe, in research or service activities, on the personally or culturally defined private space of individuals or groups unless clear and appropriate permission is granted.</t>
        </is>
      </c>
      <c r="G266" s="139" t="inlineStr">
        <is>
          <t>Observation in classroom, playground and clinic</t>
        </is>
      </c>
    </row>
    <row r="267" ht="45.75" customHeight="1" s="128">
      <c r="D267" s="175" t="inlineStr">
        <is>
          <t>PSI clause</t>
        </is>
      </c>
      <c r="E267" s="176" t="inlineStr">
        <is>
          <t>1.2.3</t>
        </is>
      </c>
      <c r="F267" s="177" t="inlineStr">
        <is>
          <t>Respect the right of employees, supervisors, students, or psychologists in training to reasonable personal privacy.</t>
        </is>
      </c>
      <c r="G267" s="139" t="inlineStr">
        <is>
          <t>Manage workload and your own wellbeing</t>
        </is>
      </c>
    </row>
    <row r="268" ht="57" customHeight="1" s="128">
      <c r="D268" s="175" t="inlineStr">
        <is>
          <t>PSI clause</t>
        </is>
      </c>
      <c r="E268" s="176" t="inlineStr">
        <is>
          <t>1.2.4</t>
        </is>
      </c>
      <c r="F268" s="177" t="inlineStr">
        <is>
          <t>Take care not to relay, except as required or justified by law, confidential information about others to which they have become privy in the course of their professional activities.</t>
        </is>
      </c>
      <c r="G268" s="139" t="inlineStr">
        <is>
          <t>Structured interviewing of teachers and SET</t>
        </is>
      </c>
    </row>
    <row r="269" ht="79.5" customHeight="1" s="128">
      <c r="D269" s="175" t="inlineStr">
        <is>
          <t>PSI clause</t>
        </is>
      </c>
      <c r="E269" s="176" t="inlineStr">
        <is>
          <t>1.2.5</t>
        </is>
      </c>
      <c r="F269" s="177" t="inlineStr">
        <is>
          <t>Share confidential information with others only with informed consent, or in a manner that the individuals cannot be identified, except as required or justified by law, or in circumstances of actual or possible serious physical harm or death.</t>
        </is>
      </c>
      <c r="G269" s="139" t="inlineStr">
        <is>
          <t>Recognise and act on child protection concerns</t>
        </is>
      </c>
    </row>
    <row r="270" ht="68.25" customHeight="1" s="128">
      <c r="D270" s="175" t="inlineStr">
        <is>
          <t>PSI clause</t>
        </is>
      </c>
      <c r="E270" s="176" t="inlineStr">
        <is>
          <t>1.2.6</t>
        </is>
      </c>
      <c r="F270" s="177" t="inlineStr">
        <is>
          <t>Store, handle, transfer and dispose of all records, written and unwritten, in a way that attends to privacy and security; and make adequate plans for records in circumstances of their own serious illness or death.</t>
        </is>
      </c>
      <c r="G270" s="139" t="inlineStr">
        <is>
          <t>Keep case notes to service standard</t>
        </is>
      </c>
    </row>
    <row r="271" ht="57" customHeight="1" s="128">
      <c r="D271" s="175" t="inlineStr">
        <is>
          <t>PSI clause</t>
        </is>
      </c>
      <c r="E271" s="176" t="inlineStr">
        <is>
          <t>1.2.7</t>
        </is>
      </c>
      <c r="F271" s="177" t="inlineStr">
        <is>
          <t>Take all reasonable steps to ensure records remain personally identifiable only as long as necessary, and render anonymous or destroy records that no longer need to be identifiable.</t>
        </is>
      </c>
      <c r="G271" s="139" t="inlineStr">
        <is>
          <t>Keep case notes to service standard</t>
        </is>
      </c>
    </row>
    <row r="272" ht="113.25" customHeight="1" s="128">
      <c r="D272" s="175" t="inlineStr">
        <is>
          <t>PSI clause</t>
        </is>
      </c>
      <c r="E272" s="176" t="inlineStr">
        <is>
          <t>1.2.8</t>
        </is>
      </c>
      <c r="F272" s="177" t="inlineStr">
        <is>
          <t>Be acutely aware of the need for discretion in recording and communicating information, so as to prevent it being interpreted or used to the detriment of others: not recording information which could lead to misinterpretation; avoiding conjecture; clearly labelling opinion; and communicating in language the recipient can understand.</t>
        </is>
      </c>
      <c r="G272" s="139" t="inlineStr">
        <is>
          <t>Adapt written communication to the audience · Behavioural and emotional rating scales · Build rapport with a child during assessment · Communicate with school staff, SENCO and principal · Give feedback to parents on assessment findings · Keep case notes to service standard · Produce the psychological report to countersigning standard</t>
        </is>
      </c>
    </row>
    <row r="273" ht="34.5" customHeight="1" s="128">
      <c r="D273" s="175" t="inlineStr">
        <is>
          <t>PSI clause</t>
        </is>
      </c>
      <c r="E273" s="176" t="inlineStr">
        <is>
          <t>1.2.9</t>
        </is>
      </c>
      <c r="F273" s="177" t="inlineStr">
        <is>
          <t>Inform those to whom they offer services about legal limits on confidentiality where appropriate.</t>
        </is>
      </c>
      <c r="G273" s="139" t="inlineStr">
        <is>
          <t>Obtain informed consent and assent</t>
        </is>
      </c>
    </row>
    <row r="274" ht="57" customHeight="1" s="128">
      <c r="D274" s="175" t="inlineStr">
        <is>
          <t>PSI clause</t>
        </is>
      </c>
      <c r="E274" s="176" t="inlineStr">
        <is>
          <t>1.2.10</t>
        </is>
      </c>
      <c r="F274" s="177" t="inlineStr">
        <is>
          <t>Clarify what measures will be taken to protect confidentiality, and what responsibilities family, group and community members have for protecting each other's confidentiality.</t>
        </is>
      </c>
      <c r="G274" s="139" t="inlineStr">
        <is>
          <t>Write the reflective learning essay</t>
        </is>
      </c>
    </row>
    <row r="275" ht="15" customHeight="1" s="128">
      <c r="A275" s="179" t="n"/>
      <c r="B275" s="179" t="n"/>
      <c r="C275" s="179" t="inlineStr">
        <is>
          <t>1.3 Informed Consent and Freedom of Consent</t>
        </is>
      </c>
      <c r="D275" s="179" t="n"/>
      <c r="E275" s="179" t="n"/>
      <c r="F275" s="179" t="n"/>
      <c r="G275" s="179" t="n"/>
      <c r="H275" s="179" t="n"/>
      <c r="I275" s="179" t="n"/>
      <c r="J275" s="179" t="n"/>
      <c r="K275" s="179" t="n"/>
      <c r="L275" s="179" t="n"/>
      <c r="M275" s="179" t="n"/>
      <c r="N275" s="179" t="n"/>
      <c r="O275" s="179" t="n"/>
      <c r="P275" s="179" t="n"/>
      <c r="Q275" s="179" t="n"/>
      <c r="R275" s="179" t="n"/>
      <c r="S275" s="179" t="n"/>
      <c r="T275" s="179" t="n"/>
      <c r="U275" s="179" t="n"/>
      <c r="V275" s="179" t="n"/>
      <c r="W275" s="179" t="n"/>
      <c r="X275" s="179" t="n"/>
      <c r="Y275" s="179" t="n"/>
      <c r="Z275" s="179" t="n"/>
      <c r="AA275" s="179" t="n"/>
      <c r="AB275" s="179" t="n"/>
      <c r="AC275" s="179" t="n"/>
      <c r="AD275" s="179" t="n"/>
      <c r="AE275" s="179" t="n"/>
      <c r="AF275" s="179" t="n"/>
      <c r="AG275" s="179" t="n"/>
      <c r="AH275" s="179" t="n"/>
      <c r="AI275" s="179" t="n"/>
      <c r="AJ275" s="179" t="n"/>
      <c r="AK275" s="179" t="n"/>
    </row>
    <row r="276" ht="68.25" customHeight="1" s="128">
      <c r="D276" s="175" t="inlineStr">
        <is>
          <t>PSI clause</t>
        </is>
      </c>
      <c r="E276" s="176" t="inlineStr">
        <is>
          <t>1.3.1</t>
        </is>
      </c>
      <c r="F276" s="177" t="inlineStr">
        <is>
          <t>View informed consent not just as the signing of a consent form, but as the outcome of a process of agreeing to work collaboratively — recognising that certain investigations and interventions may be compulsory under law.</t>
        </is>
      </c>
      <c r="G276" s="139" t="inlineStr">
        <is>
          <t>Structured interviewing of parents for developmental history</t>
        </is>
      </c>
    </row>
    <row r="277" ht="45.75" customHeight="1" s="128">
      <c r="D277" s="175" t="inlineStr">
        <is>
          <t>PSI clause</t>
        </is>
      </c>
      <c r="E277" s="176" t="inlineStr">
        <is>
          <t>1.3.2</t>
        </is>
      </c>
      <c r="F277" s="177" t="inlineStr">
        <is>
          <t>Respect and integrate as much as possible the opinions and wishes of others regarding decisions which affect them.</t>
        </is>
      </c>
      <c r="G277" s="139" t="inlineStr">
        <is>
          <t>Obtain informed consent and assent</t>
        </is>
      </c>
    </row>
    <row r="278" ht="45.75" customHeight="1" s="128">
      <c r="D278" s="175" t="inlineStr">
        <is>
          <t>PSI clause</t>
        </is>
      </c>
      <c r="E278" s="176" t="inlineStr">
        <is>
          <t>1.3.3</t>
        </is>
      </c>
      <c r="F278" s="177" t="inlineStr">
        <is>
          <t>Obtain informed consent from all independent and partially dependent persons for any psychological services provided to them.</t>
        </is>
      </c>
      <c r="G278" s="139" t="inlineStr">
        <is>
          <t>Obtain informed consent and assent</t>
        </is>
      </c>
    </row>
    <row r="279" ht="79.5" customHeight="1" s="128">
      <c r="D279" s="175" t="inlineStr">
        <is>
          <t>PSI clause</t>
        </is>
      </c>
      <c r="E279" s="176" t="inlineStr">
        <is>
          <t>1.3.4</t>
        </is>
      </c>
      <c r="F279" s="177" t="inlineStr">
        <is>
          <t>Provide, in obtaining informed consent, as much information as a reasonable or prudent person, family, group or community would want to know before deciding — in language they understand, taking reasonable steps to ensure it is in fact understood.</t>
        </is>
      </c>
      <c r="G279" s="139" t="inlineStr">
        <is>
          <t>Observe and deliver parental feedback sessions</t>
        </is>
      </c>
    </row>
    <row r="280" ht="102" customHeight="1" s="128">
      <c r="D280" s="175" t="inlineStr">
        <is>
          <t>PSI clause</t>
        </is>
      </c>
      <c r="E280" s="176" t="inlineStr">
        <is>
          <t>1.3.5</t>
        </is>
      </c>
      <c r="F280" s="177" t="inlineStr">
        <is>
          <t>Ensure at least the following are understood: purpose and nature of the activity; mutual responsibilities; likely benefits and risks; alternatives; consequences of non-action; the option to refuse or withdraw at any time without prejudice; the period the consent applies to; and how to rescind consent.</t>
        </is>
      </c>
      <c r="G280" s="139" t="inlineStr">
        <is>
          <t>Obtain informed consent and assent · Structured interviewing of parents for developmental history</t>
        </is>
      </c>
    </row>
    <row r="281" ht="68.25" customHeight="1" s="128">
      <c r="D281" s="175" t="inlineStr">
        <is>
          <t>PSI clause</t>
        </is>
      </c>
      <c r="E281" s="176" t="inlineStr">
        <is>
          <t>1.3.6</t>
        </is>
      </c>
      <c r="F281" s="177" t="inlineStr">
        <is>
          <t>Act in emergencies (for example, where a client threatens suicide) on the basis of professional judgment, if necessary without consent, but if possible obtain fully informed consent at a later stage.</t>
        </is>
      </c>
      <c r="G281" s="139" t="inlineStr">
        <is>
          <t>Recognise and act on child protection concerns</t>
        </is>
      </c>
    </row>
    <row r="282" ht="34.5" customHeight="1" s="128">
      <c r="D282" s="175" t="inlineStr">
        <is>
          <t>PSI clause</t>
        </is>
      </c>
      <c r="E282" s="176" t="inlineStr">
        <is>
          <t>1.3.7</t>
        </is>
      </c>
      <c r="F282" s="177" t="inlineStr">
        <is>
          <t>Take all reasonable steps to ensure consent is not given under conditions of coercion or undue pressure.</t>
        </is>
      </c>
      <c r="G282" s="139" t="inlineStr">
        <is>
          <t>Obtain informed consent and assent</t>
        </is>
      </c>
    </row>
    <row r="283" ht="45.75" customHeight="1" s="128">
      <c r="D283" s="175" t="inlineStr">
        <is>
          <t>PSI clause</t>
        </is>
      </c>
      <c r="E283" s="176" t="inlineStr">
        <is>
          <t>1.3.8</t>
        </is>
      </c>
      <c r="F283" s="177" t="inlineStr">
        <is>
          <t>Take all reasonable steps to confirm or re-establish freedom of consent if consent was given under duress or conditions of extreme need.</t>
        </is>
      </c>
      <c r="G283" s="139" t="inlineStr">
        <is>
          <t>Obtain informed consent and assent</t>
        </is>
      </c>
    </row>
    <row r="284" ht="45.75" customHeight="1" s="128">
      <c r="D284" s="175" t="inlineStr">
        <is>
          <t>PSI clause</t>
        </is>
      </c>
      <c r="E284" s="176" t="inlineStr">
        <is>
          <t>1.3.9</t>
        </is>
      </c>
      <c r="F284" s="177" t="inlineStr">
        <is>
          <t>Obtain informed consent for all research activities involving obtrusive measures, invasion of private life, risks, or any attempt to change behaviour.</t>
        </is>
      </c>
      <c r="G284" s="178" t="inlineStr">
        <is>
          <t>NOT YET CITED by any skill</t>
        </is>
      </c>
    </row>
    <row r="285" ht="57" customHeight="1" s="128">
      <c r="D285" s="175" t="inlineStr">
        <is>
          <t>PSI clause</t>
        </is>
      </c>
      <c r="E285" s="176" t="inlineStr">
        <is>
          <t>1.3.10</t>
        </is>
      </c>
      <c r="F285" s="177" t="inlineStr">
        <is>
          <t>Seek willing and adequately informed participation from any person of diminished capacity, and proceed without consent only if the activity is of direct benefit to that person.</t>
        </is>
      </c>
      <c r="G285" s="139" t="inlineStr">
        <is>
          <t>Obtain informed consent and assent</t>
        </is>
      </c>
    </row>
    <row r="286" ht="57" customHeight="1" s="128">
      <c r="D286" s="175" t="inlineStr">
        <is>
          <t>PSI clause</t>
        </is>
      </c>
      <c r="E286" s="176" t="inlineStr">
        <is>
          <t>1.3.11</t>
        </is>
      </c>
      <c r="F286" s="177" t="inlineStr">
        <is>
          <t>Carry out informed consent processes with those legally responsible or appointed to give consent on behalf of individuals not competent to consent themselves.</t>
        </is>
      </c>
      <c r="G286" s="139" t="inlineStr">
        <is>
          <t>Obtain informed consent and assent</t>
        </is>
      </c>
    </row>
    <row r="287" ht="45.75" customHeight="1" s="128">
      <c r="D287" s="175" t="inlineStr">
        <is>
          <t>PSI clause</t>
        </is>
      </c>
      <c r="E287" s="176" t="inlineStr">
        <is>
          <t>1.3.12</t>
        </is>
      </c>
      <c r="F287" s="177" t="inlineStr">
        <is>
          <t>Do not use persons of diminished capacity in research studies if the research could equally well be carried out with persons of fuller capacity.</t>
        </is>
      </c>
      <c r="G287" s="178" t="inlineStr">
        <is>
          <t>NOT YET CITED by any skill</t>
        </is>
      </c>
    </row>
    <row r="288" ht="68.25" customHeight="1" s="128">
      <c r="D288" s="175" t="inlineStr">
        <is>
          <t>PSI clause</t>
        </is>
      </c>
      <c r="E288" s="176" t="inlineStr">
        <is>
          <t>1.3.13</t>
        </is>
      </c>
      <c r="F288" s="177" t="inlineStr">
        <is>
          <t>Seek independent and adequate ethical review of human rights issues and protections for research involving vulnerable groups or persons of diminished capacity, before proceeding.</t>
        </is>
      </c>
      <c r="G288" s="178" t="inlineStr">
        <is>
          <t>NOT YET CITED by any skill</t>
        </is>
      </c>
    </row>
    <row r="289" ht="57" customHeight="1" s="128">
      <c r="D289" s="175" t="inlineStr">
        <is>
          <t>PSI clause</t>
        </is>
      </c>
      <c r="E289" s="176" t="inlineStr">
        <is>
          <t>1.3.14</t>
        </is>
      </c>
      <c r="F289" s="177" t="inlineStr">
        <is>
          <t>Ensure information is revealed only with the client's consent, except when required by law or where concealment would result in danger to the client or others.</t>
        </is>
      </c>
      <c r="G289" s="139" t="inlineStr">
        <is>
          <t>Recognise and act on child protection concerns</t>
        </is>
      </c>
    </row>
    <row r="290" ht="57" customHeight="1" s="128">
      <c r="D290" s="175" t="inlineStr">
        <is>
          <t>PSI clause</t>
        </is>
      </c>
      <c r="E290" s="176" t="inlineStr">
        <is>
          <t>1.3.15</t>
        </is>
      </c>
      <c r="F290" s="177" t="inlineStr">
        <is>
          <t>Discuss psychological or evaluative data on individuals only for professional purposes, and only with those clearly entitled to know or be consulted.</t>
        </is>
      </c>
      <c r="G290" s="139" t="inlineStr">
        <is>
          <t>Keep case notes to service standard</t>
        </is>
      </c>
    </row>
    <row r="291" ht="34.5" customHeight="1" s="128">
      <c r="D291" s="175" t="inlineStr">
        <is>
          <t>PSI clause</t>
        </is>
      </c>
      <c r="E291" s="176" t="inlineStr">
        <is>
          <t>1.3.16</t>
        </is>
      </c>
      <c r="F291" s="177" t="inlineStr">
        <is>
          <t>Publish information about clients, orally or in writing, only with consent or where identity is adequately disguised.</t>
        </is>
      </c>
      <c r="G291" s="139" t="inlineStr">
        <is>
          <t>Produce the psychological report to countersigning standard</t>
        </is>
      </c>
    </row>
    <row r="292" ht="68.25" customHeight="1" s="128">
      <c r="D292" s="175" t="inlineStr">
        <is>
          <t>PSI clause</t>
        </is>
      </c>
      <c r="E292" s="176" t="inlineStr">
        <is>
          <t>1.3.17</t>
        </is>
      </c>
      <c r="F292" s="177" t="inlineStr">
        <is>
          <t>Make audio, video or photographic records of clients or research participants only where prior agreement has been given to the recording and to conditions of subsequent access.</t>
        </is>
      </c>
      <c r="G292" s="139" t="inlineStr">
        <is>
          <t>Obtain informed consent and assent</t>
        </is>
      </c>
    </row>
    <row r="293" ht="57" customHeight="1" s="128">
      <c r="D293" s="175" t="inlineStr">
        <is>
          <t>PSI clause</t>
        </is>
      </c>
      <c r="E293" s="176" t="inlineStr">
        <is>
          <t>1.3.18</t>
        </is>
      </c>
      <c r="F293" s="177" t="inlineStr">
        <is>
          <t>Clarify to all concerned the nature of their loyalties in cases of conflict of interest (for example, between the client's interests and the employing institution's).</t>
        </is>
      </c>
      <c r="G293" s="139" t="inlineStr">
        <is>
          <t>Work an ethical dilemma through a decision procedure</t>
        </is>
      </c>
    </row>
    <row r="294" ht="79.5" customHeight="1" s="128">
      <c r="D294" s="175" t="inlineStr">
        <is>
          <t>PSI clause</t>
        </is>
      </c>
      <c r="E294" s="176" t="inlineStr">
        <is>
          <t>1.3.19</t>
        </is>
      </c>
      <c r="F294" s="177" t="inlineStr">
        <is>
          <t>Clarify the nature of any multiple relationships to all concerned parties before obtaining consent, if services or research are at the behest of third parties — including the purpose, the use that will be made of information, and the limits on confidentiality.</t>
        </is>
      </c>
      <c r="G294" s="139" t="inlineStr">
        <is>
          <t>Obtain informed consent and assent</t>
        </is>
      </c>
    </row>
    <row r="295" ht="45.75" customHeight="1" s="128">
      <c r="D295" s="175" t="inlineStr">
        <is>
          <t>PSI clause</t>
        </is>
      </c>
      <c r="E295" s="176" t="inlineStr">
        <is>
          <t>1.3.20</t>
        </is>
      </c>
      <c r="F295" s="177" t="inlineStr">
        <is>
          <t>Obtain clients' consent to the attendance of trainees and other third parties not directly involved in the provision of professional services.</t>
        </is>
      </c>
      <c r="G295" s="139" t="inlineStr">
        <is>
          <t>Obtain informed consent and assent</t>
        </is>
      </c>
    </row>
    <row r="296" ht="15" customHeight="1" s="128">
      <c r="A296" s="179" t="n"/>
      <c r="B296" s="179" t="n"/>
      <c r="C296" s="179" t="inlineStr">
        <is>
          <t>1.4 Self-determination</t>
        </is>
      </c>
      <c r="D296" s="179" t="n"/>
      <c r="E296" s="179" t="n"/>
      <c r="F296" s="179" t="n"/>
      <c r="G296" s="179" t="n"/>
      <c r="H296" s="179" t="n"/>
      <c r="I296" s="179" t="n"/>
      <c r="J296" s="179" t="n"/>
      <c r="K296" s="179" t="n"/>
      <c r="L296" s="179" t="n"/>
      <c r="M296" s="179" t="n"/>
      <c r="N296" s="179" t="n"/>
      <c r="O296" s="179" t="n"/>
      <c r="P296" s="179" t="n"/>
      <c r="Q296" s="179" t="n"/>
      <c r="R296" s="179" t="n"/>
      <c r="S296" s="179" t="n"/>
      <c r="T296" s="179" t="n"/>
      <c r="U296" s="179" t="n"/>
      <c r="V296" s="179" t="n"/>
      <c r="W296" s="179" t="n"/>
      <c r="X296" s="179" t="n"/>
      <c r="Y296" s="179" t="n"/>
      <c r="Z296" s="179" t="n"/>
      <c r="AA296" s="179" t="n"/>
      <c r="AB296" s="179" t="n"/>
      <c r="AC296" s="179" t="n"/>
      <c r="AD296" s="179" t="n"/>
      <c r="AE296" s="179" t="n"/>
      <c r="AF296" s="179" t="n"/>
      <c r="AG296" s="179" t="n"/>
      <c r="AH296" s="179" t="n"/>
      <c r="AI296" s="179" t="n"/>
      <c r="AJ296" s="179" t="n"/>
      <c r="AK296" s="179" t="n"/>
    </row>
    <row r="297" ht="34.5" customHeight="1" s="128">
      <c r="D297" s="175" t="inlineStr">
        <is>
          <t>PSI clause</t>
        </is>
      </c>
      <c r="E297" s="176" t="inlineStr">
        <is>
          <t>1.4.1</t>
        </is>
      </c>
      <c r="F297" s="177" t="inlineStr">
        <is>
          <t>Seek as full and active participation as possible from others in decisions which affect them.</t>
        </is>
      </c>
      <c r="G297" s="139" t="inlineStr">
        <is>
          <t>Build rapport with a child during assessment · Observe and deliver parental feedback sessions · Structured interviewing of parents for developmental history</t>
        </is>
      </c>
    </row>
    <row r="298" ht="45.75" customHeight="1" s="128">
      <c r="D298" s="175" t="inlineStr">
        <is>
          <t>PSI clause</t>
        </is>
      </c>
      <c r="E298" s="176" t="inlineStr">
        <is>
          <t>1.4.2</t>
        </is>
      </c>
      <c r="F298" s="177" t="inlineStr">
        <is>
          <t>Respect the right of recipients of service, research participants, employees, supervisees, students and others to safeguard their own dignity.</t>
        </is>
      </c>
      <c r="G298" s="139" t="inlineStr">
        <is>
          <t>Foundations in counselling skills</t>
        </is>
      </c>
    </row>
    <row r="299" ht="57" customHeight="1" s="128">
      <c r="D299" s="175" t="inlineStr">
        <is>
          <t>PSI clause</t>
        </is>
      </c>
      <c r="E299" s="176" t="inlineStr">
        <is>
          <t>1.4.3</t>
        </is>
      </c>
      <c r="F299" s="177" t="inlineStr">
        <is>
          <t>Respect the right of individuals to discontinue participation or service at any time, and be responsive to non-verbal indications of a desire to discontinue.</t>
        </is>
      </c>
      <c r="G299" s="139" t="inlineStr">
        <is>
          <t>Obtain informed consent and assent · WISC-V administration to proficiency standard</t>
        </is>
      </c>
    </row>
    <row r="300" ht="15" customHeight="1" s="128">
      <c r="A300" s="174" t="n"/>
      <c r="B300" s="174" t="inlineStr">
        <is>
          <t>Principle 2 — Competence</t>
        </is>
      </c>
      <c r="C300" s="174" t="n"/>
      <c r="D300" s="174" t="n"/>
      <c r="E300" s="174" t="inlineStr">
        <is>
          <t>18 clauses</t>
        </is>
      </c>
      <c r="F300" s="174" t="n"/>
    </row>
    <row r="301" ht="15" customHeight="1" s="128">
      <c r="A301" s="179" t="n"/>
      <c r="B301" s="179" t="n"/>
      <c r="C301" s="179" t="inlineStr">
        <is>
          <t>2.1 Ethical Awareness</t>
        </is>
      </c>
      <c r="D301" s="179" t="n"/>
      <c r="E301" s="179" t="n"/>
      <c r="F301" s="179" t="n"/>
      <c r="G301" s="179" t="n"/>
      <c r="H301" s="179" t="n"/>
      <c r="I301" s="179" t="n"/>
      <c r="J301" s="179" t="n"/>
      <c r="K301" s="179" t="n"/>
      <c r="L301" s="179" t="n"/>
      <c r="M301" s="179" t="n"/>
      <c r="N301" s="179" t="n"/>
      <c r="O301" s="179" t="n"/>
      <c r="P301" s="179" t="n"/>
      <c r="Q301" s="179" t="n"/>
      <c r="R301" s="179" t="n"/>
      <c r="S301" s="179" t="n"/>
      <c r="T301" s="179" t="n"/>
      <c r="U301" s="179" t="n"/>
      <c r="V301" s="179" t="n"/>
      <c r="W301" s="179" t="n"/>
      <c r="X301" s="179" t="n"/>
      <c r="Y301" s="179" t="n"/>
      <c r="Z301" s="179" t="n"/>
      <c r="AA301" s="179" t="n"/>
      <c r="AB301" s="179" t="n"/>
      <c r="AC301" s="179" t="n"/>
      <c r="AD301" s="179" t="n"/>
      <c r="AE301" s="179" t="n"/>
      <c r="AF301" s="179" t="n"/>
      <c r="AG301" s="179" t="n"/>
      <c r="AH301" s="179" t="n"/>
      <c r="AI301" s="179" t="n"/>
      <c r="AJ301" s="179" t="n"/>
      <c r="AK301" s="179" t="n"/>
    </row>
    <row r="302" ht="34.5" customHeight="1" s="128">
      <c r="D302" s="175" t="inlineStr">
        <is>
          <t>PSI clause</t>
        </is>
      </c>
      <c r="E302" s="176" t="inlineStr">
        <is>
          <t>2.1.1</t>
        </is>
      </c>
      <c r="F302" s="177" t="inlineStr">
        <is>
          <t>Accept the obligation to study and understand the provisions of this Code of Professional Ethics.</t>
        </is>
      </c>
      <c r="G302" s="139" t="inlineStr">
        <is>
          <t>Complete service induction</t>
        </is>
      </c>
    </row>
    <row r="303" ht="34.5" customHeight="1" s="128">
      <c r="D303" s="175" t="inlineStr">
        <is>
          <t>PSI clause</t>
        </is>
      </c>
      <c r="E303" s="176" t="inlineStr">
        <is>
          <t>2.1.2</t>
        </is>
      </c>
      <c r="F303" s="177" t="inlineStr">
        <is>
          <t>Avoid entering into agreements or contracts which might oblige them to contravene provisions of this Code.</t>
        </is>
      </c>
      <c r="G303" s="139" t="inlineStr">
        <is>
          <t>Complete service induction</t>
        </is>
      </c>
    </row>
    <row r="304" ht="15" customHeight="1" s="128">
      <c r="A304" s="179" t="n"/>
      <c r="B304" s="179" t="n"/>
      <c r="C304" s="179" t="inlineStr">
        <is>
          <t>2.2 Limits of Competence</t>
        </is>
      </c>
      <c r="D304" s="179" t="n"/>
      <c r="E304" s="179" t="n"/>
      <c r="F304" s="179" t="n"/>
      <c r="G304" s="179" t="n"/>
      <c r="H304" s="179" t="n"/>
      <c r="I304" s="179" t="n"/>
      <c r="J304" s="179" t="n"/>
      <c r="K304" s="179" t="n"/>
      <c r="L304" s="179" t="n"/>
      <c r="M304" s="179" t="n"/>
      <c r="N304" s="179" t="n"/>
      <c r="O304" s="179" t="n"/>
      <c r="P304" s="179" t="n"/>
      <c r="Q304" s="179" t="n"/>
      <c r="R304" s="179" t="n"/>
      <c r="S304" s="179" t="n"/>
      <c r="T304" s="179" t="n"/>
      <c r="U304" s="179" t="n"/>
      <c r="V304" s="179" t="n"/>
      <c r="W304" s="179" t="n"/>
      <c r="X304" s="179" t="n"/>
      <c r="Y304" s="179" t="n"/>
      <c r="Z304" s="179" t="n"/>
      <c r="AA304" s="179" t="n"/>
      <c r="AB304" s="179" t="n"/>
      <c r="AC304" s="179" t="n"/>
      <c r="AD304" s="179" t="n"/>
      <c r="AE304" s="179" t="n"/>
      <c r="AF304" s="179" t="n"/>
      <c r="AG304" s="179" t="n"/>
      <c r="AH304" s="179" t="n"/>
      <c r="AI304" s="179" t="n"/>
      <c r="AJ304" s="179" t="n"/>
      <c r="AK304" s="179" t="n"/>
    </row>
    <row r="305" ht="68.25" customHeight="1" s="128">
      <c r="D305" s="175" t="inlineStr">
        <is>
          <t>PSI clause</t>
        </is>
      </c>
      <c r="E305" s="176" t="inlineStr">
        <is>
          <t>2.2.1</t>
        </is>
      </c>
      <c r="F305" s="177" t="inlineStr">
        <is>
          <t>Be aware of how their own experiences, attitudes, culture, beliefs and values influence their interactions with others, and integrate this awareness into all efforts to benefit and not harm others.</t>
        </is>
      </c>
      <c r="G305" s="139" t="inlineStr">
        <is>
          <t>State and hold the limits of your competence</t>
        </is>
      </c>
    </row>
    <row r="306" ht="74.25" customHeight="1" s="128">
      <c r="D306" s="175" t="inlineStr">
        <is>
          <t>PSI clause</t>
        </is>
      </c>
      <c r="E306" s="176" t="inlineStr">
        <is>
          <t>2.2.2</t>
        </is>
      </c>
      <c r="F306" s="177" t="inlineStr">
        <is>
          <t>Recognise the boundaries of their competence, and do not exceed these.</t>
        </is>
      </c>
      <c r="G306" s="139" t="inlineStr">
        <is>
          <t>Behavioural and emotional rating scales · Foundations in counselling skills · Observation in classroom, playground and clinic · Phonological and literacy measures · Social communication screening measures · State and hold the limits of your competence · Structured interviewing of parents for developmental history · Structured interviewing of teachers and SET · WIAT administration, scoring and interpretation · WISC-V administration to proficiency standard</t>
        </is>
      </c>
    </row>
    <row r="307" ht="57" customHeight="1" s="128">
      <c r="D307" s="175" t="inlineStr">
        <is>
          <t>PSI clause</t>
        </is>
      </c>
      <c r="E307" s="176" t="inlineStr">
        <is>
          <t>2.2.3</t>
        </is>
      </c>
      <c r="F307" s="177" t="inlineStr">
        <is>
          <t>Offer or carry out (without supervision) only those professional activities for which they have established their competence to practise to the benefit of others.</t>
        </is>
      </c>
      <c r="G307" s="139" t="inlineStr">
        <is>
          <t>State and hold the limits of your competence</t>
        </is>
      </c>
    </row>
    <row r="308" ht="57" customHeight="1" s="128">
      <c r="D308" s="175" t="inlineStr">
        <is>
          <t>PSI clause</t>
        </is>
      </c>
      <c r="E308" s="176" t="inlineStr">
        <is>
          <t>2.2.4</t>
        </is>
      </c>
      <c r="F308" s="177" t="inlineStr">
        <is>
          <t>Take immediate steps to consult or refer a client to a colleague or other appropriate professional if it becomes apparent they are not competent to deal with the client's problem.</t>
        </is>
      </c>
      <c r="G308" s="139" t="inlineStr">
        <is>
          <t>State and hold the limits of your competence</t>
        </is>
      </c>
    </row>
    <row r="309" ht="34.5" customHeight="1" s="128">
      <c r="D309" s="175" t="inlineStr">
        <is>
          <t>PSI clause</t>
        </is>
      </c>
      <c r="E309" s="176" t="inlineStr">
        <is>
          <t>2.2.5</t>
        </is>
      </c>
      <c r="F309" s="177" t="inlineStr">
        <is>
          <t>Avoid delegating professional activities to persons not competent to carry them out to the benefit of others.</t>
        </is>
      </c>
      <c r="G309" s="139" t="inlineStr">
        <is>
          <t>State and hold the limits of your competence</t>
        </is>
      </c>
    </row>
    <row r="310" ht="15" customHeight="1" s="128">
      <c r="A310" s="179" t="n"/>
      <c r="B310" s="179" t="n"/>
      <c r="C310" s="179" t="inlineStr">
        <is>
          <t>2.3 Limits of Procedures</t>
        </is>
      </c>
      <c r="D310" s="179" t="n"/>
      <c r="E310" s="179" t="n"/>
      <c r="F310" s="179" t="n"/>
      <c r="G310" s="179" t="n"/>
      <c r="H310" s="179" t="n"/>
      <c r="I310" s="179" t="n"/>
      <c r="J310" s="179" t="n"/>
      <c r="K310" s="179" t="n"/>
      <c r="L310" s="179" t="n"/>
      <c r="M310" s="179" t="n"/>
      <c r="N310" s="179" t="n"/>
      <c r="O310" s="179" t="n"/>
      <c r="P310" s="179" t="n"/>
      <c r="Q310" s="179" t="n"/>
      <c r="R310" s="179" t="n"/>
      <c r="S310" s="179" t="n"/>
      <c r="T310" s="179" t="n"/>
      <c r="U310" s="179" t="n"/>
      <c r="V310" s="179" t="n"/>
      <c r="W310" s="179" t="n"/>
      <c r="X310" s="179" t="n"/>
      <c r="Y310" s="179" t="n"/>
      <c r="Z310" s="179" t="n"/>
      <c r="AA310" s="179" t="n"/>
      <c r="AB310" s="179" t="n"/>
      <c r="AC310" s="179" t="n"/>
      <c r="AD310" s="179" t="n"/>
      <c r="AE310" s="179" t="n"/>
      <c r="AF310" s="179" t="n"/>
      <c r="AG310" s="179" t="n"/>
      <c r="AH310" s="179" t="n"/>
      <c r="AI310" s="179" t="n"/>
      <c r="AJ310" s="179" t="n"/>
      <c r="AK310" s="179" t="n"/>
    </row>
    <row r="311" ht="84.75" customHeight="1" s="128">
      <c r="D311" s="175" t="inlineStr">
        <is>
          <t>PSI clause</t>
        </is>
      </c>
      <c r="E311" s="176" t="inlineStr">
        <is>
          <t>2.3.1</t>
        </is>
      </c>
      <c r="F311" s="177" t="inlineStr">
        <is>
          <t>Be mindful, when making decisions based on psychological data and techniques, of the limitations of such data and techniques.</t>
        </is>
      </c>
      <c r="G311" s="139" t="inlineStr">
        <is>
          <t>Behavioural and emotional rating scales · Distinguish primary from secondary needs · Observation in classroom, playground and clinic · Phonological and literacy measures · Produce the psychological report to countersigning standard · Social communication screening measures · Structured interviewing of parents for developmental history · Structured interviewing of teachers and SET · Synthesise findings from multiple sources into one profile · WIAT administration, scoring and interpretation · WISC-V administration to proficiency standard</t>
        </is>
      </c>
    </row>
    <row r="312" ht="53.25" customHeight="1" s="128">
      <c r="D312" s="175" t="inlineStr">
        <is>
          <t>PSI clause</t>
        </is>
      </c>
      <c r="E312" s="176" t="inlineStr">
        <is>
          <t>2.3.2</t>
        </is>
      </c>
      <c r="F312" s="177" t="inlineStr">
        <is>
          <t>Direct their interventions towards clear objectives, and do not persist after the objectives have been met or if it is apparent they cannot be met.</t>
        </is>
      </c>
      <c r="G312" s="139" t="inlineStr">
        <is>
          <t>Educational interventions in literacy · Educational interventions in numeracy · Foundations in counselling skills · Observe and deliver parental feedback sessions · Observe and then contribute to teacher consultation · State how a recommendation would be evaluated · Wellbeing interventions at class and group level · Write recommendations naming the Continuum of Support level</t>
        </is>
      </c>
    </row>
    <row r="313" ht="63.75" customHeight="1" s="128">
      <c r="D313" s="175" t="inlineStr">
        <is>
          <t>PSI clause</t>
        </is>
      </c>
      <c r="E313" s="176" t="inlineStr">
        <is>
          <t>2.3.3</t>
        </is>
      </c>
      <c r="F313" s="177" t="inlineStr">
        <is>
          <t>Terminate an activity when it is clear the activity is more harmful than beneficial, or when it is no longer needed.</t>
        </is>
      </c>
      <c r="G313" s="139" t="inlineStr">
        <is>
          <t>Adapt standardised procedure and record the adaptation · Educational interventions in literacy · Educational interventions in numeracy · Foundations in counselling skills · Observe and deliver parental feedback sessions · Observe and then contribute to teacher consultation · Wellbeing interventions at class and group level · Write recommendations naming the Continuum of Support level</t>
        </is>
      </c>
    </row>
    <row r="314" ht="45.75" customHeight="1" s="128">
      <c r="D314" s="175" t="inlineStr">
        <is>
          <t>PSI clause</t>
        </is>
      </c>
      <c r="E314" s="176" t="inlineStr">
        <is>
          <t>2.3.4</t>
        </is>
      </c>
      <c r="F314" s="177" t="inlineStr">
        <is>
          <t>Carry out pilot studies to determine the effects of all new procedures and techniques which might carry risks, before considering broader use.</t>
        </is>
      </c>
      <c r="G314" s="178" t="inlineStr">
        <is>
          <t>NOT YET CITED by any skill</t>
        </is>
      </c>
    </row>
    <row r="315" ht="45.75" customHeight="1" s="128">
      <c r="D315" s="175" t="inlineStr">
        <is>
          <t>PSI clause</t>
        </is>
      </c>
      <c r="E315" s="176" t="inlineStr">
        <is>
          <t>2.3.5</t>
        </is>
      </c>
      <c r="F315" s="177" t="inlineStr">
        <is>
          <t>Not carry out any scientific or professional activity unless the probable benefit is proportionately greater than the risk involved.</t>
        </is>
      </c>
      <c r="G315" s="139" t="inlineStr">
        <is>
          <t>Adapt standardised procedure and record the adaptation</t>
        </is>
      </c>
    </row>
    <row r="316" ht="34.5" customHeight="1" s="128">
      <c r="D316" s="175" t="inlineStr">
        <is>
          <t>PSI clause</t>
        </is>
      </c>
      <c r="E316" s="176" t="inlineStr">
        <is>
          <t>2.3.6</t>
        </is>
      </c>
      <c r="F316" s="177" t="inlineStr">
        <is>
          <t>Provide thorough discussion of the limits of their data if their work touches on social policy and structure.</t>
        </is>
      </c>
      <c r="G316" s="139" t="inlineStr">
        <is>
          <t>Search and critically appraise evidence</t>
        </is>
      </c>
    </row>
    <row r="317" ht="15" customHeight="1" s="128">
      <c r="A317" s="179" t="n"/>
      <c r="B317" s="179" t="n"/>
      <c r="C317" s="179" t="inlineStr">
        <is>
          <t>2.4 Continuing Professional Development</t>
        </is>
      </c>
      <c r="D317" s="179" t="n"/>
      <c r="E317" s="179" t="n"/>
      <c r="F317" s="179" t="n"/>
      <c r="G317" s="179" t="n"/>
      <c r="H317" s="179" t="n"/>
      <c r="I317" s="179" t="n"/>
      <c r="J317" s="179" t="n"/>
      <c r="K317" s="179" t="n"/>
      <c r="L317" s="179" t="n"/>
      <c r="M317" s="179" t="n"/>
      <c r="N317" s="179" t="n"/>
      <c r="O317" s="179" t="n"/>
      <c r="P317" s="179" t="n"/>
      <c r="Q317" s="179" t="n"/>
      <c r="R317" s="179" t="n"/>
      <c r="S317" s="179" t="n"/>
      <c r="T317" s="179" t="n"/>
      <c r="U317" s="179" t="n"/>
      <c r="V317" s="179" t="n"/>
      <c r="W317" s="179" t="n"/>
      <c r="X317" s="179" t="n"/>
      <c r="Y317" s="179" t="n"/>
      <c r="Z317" s="179" t="n"/>
      <c r="AA317" s="179" t="n"/>
      <c r="AB317" s="179" t="n"/>
      <c r="AC317" s="179" t="n"/>
      <c r="AD317" s="179" t="n"/>
      <c r="AE317" s="179" t="n"/>
      <c r="AF317" s="179" t="n"/>
      <c r="AG317" s="179" t="n"/>
      <c r="AH317" s="179" t="n"/>
      <c r="AI317" s="179" t="n"/>
      <c r="AJ317" s="179" t="n"/>
      <c r="AK317" s="179" t="n"/>
    </row>
    <row r="318" ht="23.25" customHeight="1" s="128">
      <c r="D318" s="175" t="inlineStr">
        <is>
          <t>PSI clause</t>
        </is>
      </c>
      <c r="E318" s="176" t="inlineStr">
        <is>
          <t>2.4.1</t>
        </is>
      </c>
      <c r="F318" s="177" t="inlineStr">
        <is>
          <t>Maintain and develop their professional competence.</t>
        </is>
      </c>
      <c r="G318" s="139" t="inlineStr">
        <is>
          <t>Cite evidence for recommendations</t>
        </is>
      </c>
    </row>
    <row r="319" ht="45.75" customHeight="1" s="128">
      <c r="D319" s="175" t="inlineStr">
        <is>
          <t>PSI clause</t>
        </is>
      </c>
      <c r="E319" s="176" t="inlineStr">
        <is>
          <t>2.4.2</t>
        </is>
      </c>
      <c r="F319" s="177" t="inlineStr">
        <is>
          <t>Participate in and contribute to continuing education and their own and colleagues' professional and scientific growth.</t>
        </is>
      </c>
      <c r="G319" s="139" t="inlineStr">
        <is>
          <t>Complete Appendix 6 before and after</t>
        </is>
      </c>
    </row>
    <row r="320" ht="45.75" customHeight="1" s="128">
      <c r="D320" s="175" t="inlineStr">
        <is>
          <t>PSI clause</t>
        </is>
      </c>
      <c r="E320" s="176" t="inlineStr">
        <is>
          <t>2.4.3</t>
        </is>
      </c>
      <c r="F320" s="177" t="inlineStr">
        <is>
          <t>Keep themselves up to date with relevant knowledge, research methods and techniques through reading, peer consultation and continuing education.</t>
        </is>
      </c>
      <c r="G320" s="139" t="inlineStr">
        <is>
          <t>Write the reflective learning essay</t>
        </is>
      </c>
    </row>
    <row r="321" ht="34.5" customHeight="1" s="128">
      <c r="D321" s="175" t="inlineStr">
        <is>
          <t>PSI clause</t>
        </is>
      </c>
      <c r="E321" s="176" t="inlineStr">
        <is>
          <t>2.4.4</t>
        </is>
      </c>
      <c r="F321" s="177" t="inlineStr">
        <is>
          <t>Perform their teaching duties on the basis of careful preparation, so that instruction is current and scholarly.</t>
        </is>
      </c>
      <c r="G321" s="178" t="inlineStr">
        <is>
          <t>NOT YET CITED by any skill</t>
        </is>
      </c>
    </row>
    <row r="322" ht="15" customHeight="1" s="128">
      <c r="A322" s="179" t="n"/>
      <c r="B322" s="179" t="n"/>
      <c r="C322" s="179" t="inlineStr">
        <is>
          <t>2.5 Incapacity for Practice</t>
        </is>
      </c>
      <c r="D322" s="179" t="n"/>
      <c r="E322" s="179" t="n"/>
      <c r="F322" s="179" t="n"/>
      <c r="G322" s="179" t="n"/>
      <c r="H322" s="179" t="n"/>
      <c r="I322" s="179" t="n"/>
      <c r="J322" s="179" t="n"/>
      <c r="K322" s="179" t="n"/>
      <c r="L322" s="179" t="n"/>
      <c r="M322" s="179" t="n"/>
      <c r="N322" s="179" t="n"/>
      <c r="O322" s="179" t="n"/>
      <c r="P322" s="179" t="n"/>
      <c r="Q322" s="179" t="n"/>
      <c r="R322" s="179" t="n"/>
      <c r="S322" s="179" t="n"/>
      <c r="T322" s="179" t="n"/>
      <c r="U322" s="179" t="n"/>
      <c r="V322" s="179" t="n"/>
      <c r="W322" s="179" t="n"/>
      <c r="X322" s="179" t="n"/>
      <c r="Y322" s="179" t="n"/>
      <c r="Z322" s="179" t="n"/>
      <c r="AA322" s="179" t="n"/>
      <c r="AB322" s="179" t="n"/>
      <c r="AC322" s="179" t="n"/>
      <c r="AD322" s="179" t="n"/>
      <c r="AE322" s="179" t="n"/>
      <c r="AF322" s="179" t="n"/>
      <c r="AG322" s="179" t="n"/>
      <c r="AH322" s="179" t="n"/>
      <c r="AI322" s="179" t="n"/>
      <c r="AJ322" s="179" t="n"/>
      <c r="AK322" s="179" t="n"/>
    </row>
    <row r="323" ht="90.75" customHeight="1" s="128">
      <c r="D323" s="175" t="inlineStr">
        <is>
          <t>PSI clause</t>
        </is>
      </c>
      <c r="E323" s="176" t="inlineStr">
        <is>
          <t>2.5.1</t>
        </is>
      </c>
      <c r="F323" s="177" t="inlineStr">
        <is>
          <t>Refrain from practice when professional judgment or ability to benefit and not harm others is seriously impaired by a physical or psychological condition; and seek competent professional assistance to determine whether to limit, suspend or terminate professional activity.</t>
        </is>
      </c>
      <c r="G323" s="139" t="inlineStr">
        <is>
          <t>Manage workload and your own wellbeing</t>
        </is>
      </c>
    </row>
    <row r="324" ht="15" customHeight="1" s="128">
      <c r="A324" s="174" t="n"/>
      <c r="B324" s="174" t="inlineStr">
        <is>
          <t>Principle 3 — Responsibility</t>
        </is>
      </c>
      <c r="C324" s="174" t="n"/>
      <c r="D324" s="174" t="n"/>
      <c r="E324" s="174" t="inlineStr">
        <is>
          <t>43 clauses</t>
        </is>
      </c>
      <c r="F324" s="174" t="n"/>
    </row>
    <row r="325" ht="15" customHeight="1" s="128">
      <c r="A325" s="179" t="n"/>
      <c r="B325" s="179" t="n"/>
      <c r="C325" s="179" t="inlineStr">
        <is>
          <t>3.1 General Responsibility</t>
        </is>
      </c>
      <c r="D325" s="179" t="n"/>
      <c r="E325" s="179" t="n"/>
      <c r="F325" s="179" t="n"/>
      <c r="G325" s="179" t="n"/>
      <c r="H325" s="179" t="n"/>
      <c r="I325" s="179" t="n"/>
      <c r="J325" s="179" t="n"/>
      <c r="K325" s="179" t="n"/>
      <c r="L325" s="179" t="n"/>
      <c r="M325" s="179" t="n"/>
      <c r="N325" s="179" t="n"/>
      <c r="O325" s="179" t="n"/>
      <c r="P325" s="179" t="n"/>
      <c r="Q325" s="179" t="n"/>
      <c r="R325" s="179" t="n"/>
      <c r="S325" s="179" t="n"/>
      <c r="T325" s="179" t="n"/>
      <c r="U325" s="179" t="n"/>
      <c r="V325" s="179" t="n"/>
      <c r="W325" s="179" t="n"/>
      <c r="X325" s="179" t="n"/>
      <c r="Y325" s="179" t="n"/>
      <c r="Z325" s="179" t="n"/>
      <c r="AA325" s="179" t="n"/>
      <c r="AB325" s="179" t="n"/>
      <c r="AC325" s="179" t="n"/>
      <c r="AD325" s="179" t="n"/>
      <c r="AE325" s="179" t="n"/>
      <c r="AF325" s="179" t="n"/>
      <c r="AG325" s="179" t="n"/>
      <c r="AH325" s="179" t="n"/>
      <c r="AI325" s="179" t="n"/>
      <c r="AJ325" s="179" t="n"/>
      <c r="AK325" s="179" t="n"/>
    </row>
    <row r="326" ht="45.75" customHeight="1" s="128">
      <c r="D326" s="175" t="inlineStr">
        <is>
          <t>PSI clause</t>
        </is>
      </c>
      <c r="E326" s="176" t="inlineStr">
        <is>
          <t>3.1.1</t>
        </is>
      </c>
      <c r="F326" s="177" t="inlineStr">
        <is>
          <t>Contribute to the discipline of psychology and to society's understanding of itself, through free pursuit and sharing of knowledge.</t>
        </is>
      </c>
      <c r="G326" s="178" t="inlineStr">
        <is>
          <t>NOT YET CITED by any skill</t>
        </is>
      </c>
    </row>
    <row r="327" ht="57" customHeight="1" s="128">
      <c r="D327" s="175" t="inlineStr">
        <is>
          <t>PSI clause</t>
        </is>
      </c>
      <c r="E327" s="176" t="inlineStr">
        <is>
          <t>3.1.2</t>
        </is>
      </c>
      <c r="F327" s="177" t="inlineStr">
        <is>
          <t>Monitor and evaluate the effect of their professional activities, record their findings and, if appropriate, communicate new knowledge to others in the field.</t>
        </is>
      </c>
      <c r="G327" s="139" t="inlineStr">
        <is>
          <t>Cite evidence for recommendations · Educational interventions in literacy · Search and critically appraise evidence · State how a recommendation would be evaluated · Write recommendations naming the Continuum of Support level</t>
        </is>
      </c>
    </row>
    <row r="328" ht="57" customHeight="1" s="128">
      <c r="D328" s="175" t="inlineStr">
        <is>
          <t>PSI clause</t>
        </is>
      </c>
      <c r="E328" s="176" t="inlineStr">
        <is>
          <t>3.1.3</t>
        </is>
      </c>
      <c r="F328" s="177" t="inlineStr">
        <is>
          <t>Be sensitive to the needs, current issues and problems of society when determining research questions, services, information collected, or the interpretation of findings.</t>
        </is>
      </c>
      <c r="G328" s="178" t="inlineStr">
        <is>
          <t>NOT YET CITED by any skill</t>
        </is>
      </c>
    </row>
    <row r="329" ht="23.25" customHeight="1" s="128">
      <c r="D329" s="175" t="inlineStr">
        <is>
          <t>PSI clause</t>
        </is>
      </c>
      <c r="E329" s="176" t="inlineStr">
        <is>
          <t>3.1.4</t>
        </is>
      </c>
      <c r="F329" s="177" t="inlineStr">
        <is>
          <t>Protect the dignity and wellbeing of research participants at all times.</t>
        </is>
      </c>
      <c r="G329" s="178" t="inlineStr">
        <is>
          <t>NOT YET CITED by any skill</t>
        </is>
      </c>
    </row>
    <row r="330" ht="34.5" customHeight="1" s="128">
      <c r="D330" s="175" t="inlineStr">
        <is>
          <t>PSI clause</t>
        </is>
      </c>
      <c r="E330" s="176" t="inlineStr">
        <is>
          <t>3.1.5</t>
        </is>
      </c>
      <c r="F330" s="177" t="inlineStr">
        <is>
          <t>Help develop, promote and participate in accountability processes and procedures related to their work.</t>
        </is>
      </c>
      <c r="G330" s="139" t="inlineStr">
        <is>
          <t>Map the school's organisation of supports</t>
        </is>
      </c>
    </row>
    <row r="331" ht="79.5" customHeight="1" s="128">
      <c r="D331" s="175" t="inlineStr">
        <is>
          <t>PSI clause</t>
        </is>
      </c>
      <c r="E331" s="176" t="inlineStr">
        <is>
          <t>3.1.6</t>
        </is>
      </c>
      <c r="F331" s="177" t="inlineStr">
        <is>
          <t>Maintain records of all psychological procedures and interventions for an appropriate period, properly stored and transferred in the event of a change in role; and abide by fair procedures as employers, evaluators, adjudicators, editors and peer reviewers.</t>
        </is>
      </c>
      <c r="G331" s="139" t="inlineStr">
        <is>
          <t>Keep supervision session records</t>
        </is>
      </c>
    </row>
    <row r="332" ht="57" customHeight="1" s="128">
      <c r="D332" s="175" t="inlineStr">
        <is>
          <t>PSI clause</t>
        </is>
      </c>
      <c r="E332" s="176" t="inlineStr">
        <is>
          <t>3.1.7</t>
        </is>
      </c>
      <c r="F332" s="177" t="inlineStr">
        <is>
          <t>Make every reasonable effort to ensure psychological knowledge is not misused, intentionally or unintentionally, to infringe human rights.</t>
        </is>
      </c>
      <c r="G332" s="139" t="inlineStr">
        <is>
          <t>Raise immediate concerns out of session</t>
        </is>
      </c>
    </row>
    <row r="333" ht="45.75" customHeight="1" s="128">
      <c r="D333" s="175" t="inlineStr">
        <is>
          <t>PSI clause</t>
        </is>
      </c>
      <c r="E333" s="176" t="inlineStr">
        <is>
          <t>3.1.8</t>
        </is>
      </c>
      <c r="F333" s="177" t="inlineStr">
        <is>
          <t>Speak out if the policies, practices or regulations of the organisation within which they work seriously ignore or oppose any principle of this Code.</t>
        </is>
      </c>
      <c r="G333" s="139" t="inlineStr">
        <is>
          <t>Attend service team meetings · Deliver the good practice presentation · Familiarise with SET provision and allocation · Learn consultation models · Map the school's organisation of supports · Visit a range of special education settings</t>
        </is>
      </c>
    </row>
    <row r="334" ht="15" customHeight="1" s="128">
      <c r="A334" s="179" t="n"/>
      <c r="B334" s="179" t="n"/>
      <c r="C334" s="179" t="inlineStr">
        <is>
          <t>3.2 Promotion of High Standards</t>
        </is>
      </c>
      <c r="D334" s="179" t="n"/>
      <c r="E334" s="179" t="n"/>
      <c r="F334" s="179" t="n"/>
      <c r="G334" s="179" t="n"/>
      <c r="H334" s="179" t="n"/>
      <c r="I334" s="179" t="n"/>
      <c r="J334" s="179" t="n"/>
      <c r="K334" s="179" t="n"/>
      <c r="L334" s="179" t="n"/>
      <c r="M334" s="179" t="n"/>
      <c r="N334" s="179" t="n"/>
      <c r="O334" s="179" t="n"/>
      <c r="P334" s="179" t="n"/>
      <c r="Q334" s="179" t="n"/>
      <c r="R334" s="179" t="n"/>
      <c r="S334" s="179" t="n"/>
      <c r="T334" s="179" t="n"/>
      <c r="U334" s="179" t="n"/>
      <c r="V334" s="179" t="n"/>
      <c r="W334" s="179" t="n"/>
      <c r="X334" s="179" t="n"/>
      <c r="Y334" s="179" t="n"/>
      <c r="Z334" s="179" t="n"/>
      <c r="AA334" s="179" t="n"/>
      <c r="AB334" s="179" t="n"/>
      <c r="AC334" s="179" t="n"/>
      <c r="AD334" s="179" t="n"/>
      <c r="AE334" s="179" t="n"/>
      <c r="AF334" s="179" t="n"/>
      <c r="AG334" s="179" t="n"/>
      <c r="AH334" s="179" t="n"/>
      <c r="AI334" s="179" t="n"/>
      <c r="AJ334" s="179" t="n"/>
      <c r="AK334" s="179" t="n"/>
    </row>
    <row r="335" ht="34.5" customHeight="1" s="128">
      <c r="D335" s="175" t="inlineStr">
        <is>
          <t>PSI clause</t>
        </is>
      </c>
      <c r="E335" s="176" t="inlineStr">
        <is>
          <t>3.2.1</t>
        </is>
      </c>
      <c r="F335" s="177" t="inlineStr">
        <is>
          <t>Uphold the discipline's responsibility to society by promoting and maintaining the highest standards of the discipline.</t>
        </is>
      </c>
      <c r="G335" s="139" t="inlineStr">
        <is>
          <t>Complete service induction</t>
        </is>
      </c>
    </row>
    <row r="336" ht="34.5" customHeight="1" s="128">
      <c r="D336" s="175" t="inlineStr">
        <is>
          <t>PSI clause</t>
        </is>
      </c>
      <c r="E336" s="176" t="inlineStr">
        <is>
          <t>3.2.2</t>
        </is>
      </c>
      <c r="F336" s="177" t="inlineStr">
        <is>
          <t>Ensure they maintain the highest standards of scientific integrity in their research.</t>
        </is>
      </c>
      <c r="G336" s="178" t="inlineStr">
        <is>
          <t>NOT YET CITED by any skill</t>
        </is>
      </c>
    </row>
    <row r="337" ht="45.75" customHeight="1" s="128">
      <c r="D337" s="175" t="inlineStr">
        <is>
          <t>PSI clause</t>
        </is>
      </c>
      <c r="E337" s="176" t="inlineStr">
        <is>
          <t>3.2.3</t>
        </is>
      </c>
      <c r="F337" s="177" t="inlineStr">
        <is>
          <t>Protect the reputation of the profession and discipline by ensuring all professional activities conform to this Code.</t>
        </is>
      </c>
      <c r="G337" s="139" t="inlineStr">
        <is>
          <t>Garda vetting and Children First certification</t>
        </is>
      </c>
    </row>
    <row r="338" ht="34.5" customHeight="1" s="128">
      <c r="D338" s="175" t="inlineStr">
        <is>
          <t>PSI clause</t>
        </is>
      </c>
      <c r="E338" s="176" t="inlineStr">
        <is>
          <t>3.2.4</t>
        </is>
      </c>
      <c r="F338" s="177" t="inlineStr">
        <is>
          <t>Behave in professional activities in such a way as not to undermine public confidence in the profession.</t>
        </is>
      </c>
      <c r="G338" s="139" t="inlineStr">
        <is>
          <t>Garda vetting and Children First certification</t>
        </is>
      </c>
    </row>
    <row r="339" ht="15" customHeight="1" s="128">
      <c r="A339" s="179" t="n"/>
      <c r="B339" s="179" t="n"/>
      <c r="C339" s="179" t="inlineStr">
        <is>
          <t>3.3 Avoidance of Harm</t>
        </is>
      </c>
      <c r="D339" s="179" t="n"/>
      <c r="E339" s="179" t="n"/>
      <c r="F339" s="179" t="n"/>
      <c r="G339" s="179" t="n"/>
      <c r="H339" s="179" t="n"/>
      <c r="I339" s="179" t="n"/>
      <c r="J339" s="179" t="n"/>
      <c r="K339" s="179" t="n"/>
      <c r="L339" s="179" t="n"/>
      <c r="M339" s="179" t="n"/>
      <c r="N339" s="179" t="n"/>
      <c r="O339" s="179" t="n"/>
      <c r="P339" s="179" t="n"/>
      <c r="Q339" s="179" t="n"/>
      <c r="R339" s="179" t="n"/>
      <c r="S339" s="179" t="n"/>
      <c r="T339" s="179" t="n"/>
      <c r="U339" s="179" t="n"/>
      <c r="V339" s="179" t="n"/>
      <c r="W339" s="179" t="n"/>
      <c r="X339" s="179" t="n"/>
      <c r="Y339" s="179" t="n"/>
      <c r="Z339" s="179" t="n"/>
      <c r="AA339" s="179" t="n"/>
      <c r="AB339" s="179" t="n"/>
      <c r="AC339" s="179" t="n"/>
      <c r="AD339" s="179" t="n"/>
      <c r="AE339" s="179" t="n"/>
      <c r="AF339" s="179" t="n"/>
      <c r="AG339" s="179" t="n"/>
      <c r="AH339" s="179" t="n"/>
      <c r="AI339" s="179" t="n"/>
      <c r="AJ339" s="179" t="n"/>
      <c r="AK339" s="179" t="n"/>
    </row>
    <row r="340" ht="34.5" customHeight="1" s="128">
      <c r="D340" s="175" t="inlineStr">
        <is>
          <t>PSI clause</t>
        </is>
      </c>
      <c r="E340" s="176" t="inlineStr">
        <is>
          <t>3.3.1</t>
        </is>
      </c>
      <c r="F340" s="177" t="inlineStr">
        <is>
          <t>Behave in professional activities in such a way as not to damage clients' interests.</t>
        </is>
      </c>
      <c r="G340" s="139" t="inlineStr">
        <is>
          <t>State and hold the limits of your competence</t>
        </is>
      </c>
    </row>
    <row r="341" ht="57" customHeight="1" s="128">
      <c r="D341" s="175" t="inlineStr">
        <is>
          <t>PSI clause</t>
        </is>
      </c>
      <c r="E341" s="176" t="inlineStr">
        <is>
          <t>3.3.2</t>
        </is>
      </c>
      <c r="F341" s="177" t="inlineStr">
        <is>
          <t>Be sufficiently sensitive to and knowledgeable about individual differences and vulnerabilities to discern what will benefit and not harm persons involved.</t>
        </is>
      </c>
      <c r="G341" s="139" t="inlineStr">
        <is>
          <t>Consider the likelihood of co-occurring conditions</t>
        </is>
      </c>
    </row>
    <row r="342" ht="45.75" customHeight="1" s="128">
      <c r="D342" s="175" t="inlineStr">
        <is>
          <t>PSI clause</t>
        </is>
      </c>
      <c r="E342" s="176" t="inlineStr">
        <is>
          <t>3.3.3</t>
        </is>
      </c>
      <c r="F342" s="177" t="inlineStr">
        <is>
          <t>Assess the individuals, families, groups and communities involved adequately enough to discern what will benefit and not harm those persons.</t>
        </is>
      </c>
      <c r="G342" s="139" t="inlineStr">
        <is>
          <t>Analyse risk and resilience</t>
        </is>
      </c>
    </row>
    <row r="343" ht="90.75" customHeight="1" s="128">
      <c r="D343" s="175" t="inlineStr">
        <is>
          <t>PSI clause</t>
        </is>
      </c>
      <c r="E343" s="176" t="inlineStr">
        <is>
          <t>3.3.4</t>
        </is>
      </c>
      <c r="F343" s="177" t="inlineStr">
        <is>
          <t>Do everything reasonably possible to stop or offset the consequences of actions by others likely to cause serious physical harm or death — including reporting to appropriate authorities or an intended victim, even when a confidential relationship is involved.</t>
        </is>
      </c>
      <c r="G343" s="139" t="inlineStr">
        <is>
          <t>Recognise and act on child protection concerns</t>
        </is>
      </c>
    </row>
    <row r="344" ht="45.75" customHeight="1" s="128">
      <c r="D344" s="175" t="inlineStr">
        <is>
          <t>PSI clause</t>
        </is>
      </c>
      <c r="E344" s="176" t="inlineStr">
        <is>
          <t>3.3.5</t>
        </is>
      </c>
      <c r="F344" s="177" t="inlineStr">
        <is>
          <t>Make every reasonable effort to ensure psychological knowledge is not misused to harm others or infringe human rights.</t>
        </is>
      </c>
      <c r="G344" s="139" t="inlineStr">
        <is>
          <t>Manage workload and your own wellbeing</t>
        </is>
      </c>
    </row>
    <row r="345" ht="45.75" customHeight="1" s="128">
      <c r="D345" s="175" t="inlineStr">
        <is>
          <t>PSI clause</t>
        </is>
      </c>
      <c r="E345" s="176" t="inlineStr">
        <is>
          <t>3.3.6</t>
        </is>
      </c>
      <c r="F345" s="177" t="inlineStr">
        <is>
          <t>Take all reasonable steps to ensure tests and assessment methods are only used by those qualified and trained to do so.</t>
        </is>
      </c>
      <c r="G345" s="139" t="inlineStr">
        <is>
          <t>Complete service induction · State and hold the limits of your competence · WISC-V administration to proficiency standard</t>
        </is>
      </c>
    </row>
    <row r="346" ht="57" customHeight="1" s="128">
      <c r="D346" s="175" t="inlineStr">
        <is>
          <t>PSI clause</t>
        </is>
      </c>
      <c r="E346" s="176" t="inlineStr">
        <is>
          <t>3.3.7</t>
        </is>
      </c>
      <c r="F346" s="177" t="inlineStr">
        <is>
          <t>Refuse to advise, train or supply information to anyone who, in their judgement, will use the knowledge or skills to harm others or infringe human rights.</t>
        </is>
      </c>
      <c r="G346" s="178" t="inlineStr">
        <is>
          <t>NOT YET CITED by any skill</t>
        </is>
      </c>
    </row>
    <row r="347" ht="68.25" customHeight="1" s="128">
      <c r="D347" s="175" t="inlineStr">
        <is>
          <t>PSI clause</t>
        </is>
      </c>
      <c r="E347" s="176" t="inlineStr">
        <is>
          <t>3.3.8</t>
        </is>
      </c>
      <c r="F347" s="177" t="inlineStr">
        <is>
          <t>Not contribute to or engage in research or activity promoting deliberate impairment of psychological integrity, prohibited weapons, destruction of the environment, or any act contravening international law.</t>
        </is>
      </c>
      <c r="G347" s="178" t="inlineStr">
        <is>
          <t>NOT YET CITED by any skill</t>
        </is>
      </c>
    </row>
    <row r="348" ht="63.75" customHeight="1" s="128">
      <c r="D348" s="175" t="inlineStr">
        <is>
          <t>PSI clause</t>
        </is>
      </c>
      <c r="E348" s="176" t="inlineStr">
        <is>
          <t>3.3.9</t>
        </is>
      </c>
      <c r="F348" s="177" t="inlineStr">
        <is>
          <t>Act to minimise the impact of research activities on participants' personality or their mental or physical integrity.</t>
        </is>
      </c>
      <c r="G348" s="139" t="inlineStr">
        <is>
          <t>Agree and sign the supervision contract · Be observed with a client · Complete Appendix 6 before and after · Contribute to peer and group supervision · Keep supervision session records · Observe your supervisor with a client · Prepare and send an agenda in advance · Raise immediate concerns out of session · Take the weekly supervision hour · Write the reflective learning essay</t>
        </is>
      </c>
    </row>
    <row r="349" ht="45.75" customHeight="1" s="128">
      <c r="D349" s="175" t="inlineStr">
        <is>
          <t>PSI clause</t>
        </is>
      </c>
      <c r="E349" s="176" t="inlineStr">
        <is>
          <t>3.3.10</t>
        </is>
      </c>
      <c r="F349" s="177" t="inlineStr">
        <is>
          <t>Screen research participants and select those not likely to be harmed, if risk or harm to some participants is possible.</t>
        </is>
      </c>
      <c r="G349" s="178" t="inlineStr">
        <is>
          <t>NOT YET CITED by any skill</t>
        </is>
      </c>
    </row>
    <row r="350" ht="34.5" customHeight="1" s="128">
      <c r="D350" s="175" t="inlineStr">
        <is>
          <t>PSI clause</t>
        </is>
      </c>
      <c r="E350" s="176" t="inlineStr">
        <is>
          <t>3.3.11</t>
        </is>
      </c>
      <c r="F350" s="177" t="inlineStr">
        <is>
          <t>Debrief research participants so that any harm caused can be discerned, and act to correct any resultant harm.</t>
        </is>
      </c>
      <c r="G350" s="178" t="inlineStr">
        <is>
          <t>NOT YET CITED by any skill</t>
        </is>
      </c>
    </row>
    <row r="351" ht="79.5" customHeight="1" s="128">
      <c r="D351" s="175" t="inlineStr">
        <is>
          <t>PSI clause</t>
        </is>
      </c>
      <c r="E351" s="176" t="inlineStr">
        <is>
          <t>3.3.12</t>
        </is>
      </c>
      <c r="F351" s="177" t="inlineStr">
        <is>
          <t>Not disadvantage participants by offering no service over an unreasonable period in order to fulfil a control condition; and where a study reveals beneficial effects, subsequently offer the service to the control condition.</t>
        </is>
      </c>
      <c r="G351" s="178" t="inlineStr">
        <is>
          <t>NOT YET CITED by any skill</t>
        </is>
      </c>
    </row>
    <row r="352" ht="34.5" customHeight="1" s="128">
      <c r="D352" s="175" t="inlineStr">
        <is>
          <t>PSI clause</t>
        </is>
      </c>
      <c r="E352" s="176" t="inlineStr">
        <is>
          <t>3.3.13</t>
        </is>
      </c>
      <c r="F352" s="177" t="inlineStr">
        <is>
          <t>Not offer rewards to motivate individuals or groups to participate in activity with possible or known risks.</t>
        </is>
      </c>
      <c r="G352" s="178" t="inlineStr">
        <is>
          <t>NOT YET CITED by any skill</t>
        </is>
      </c>
    </row>
    <row r="353" ht="68.25" customHeight="1" s="128">
      <c r="D353" s="175" t="inlineStr">
        <is>
          <t>PSI clause</t>
        </is>
      </c>
      <c r="E353" s="176" t="inlineStr">
        <is>
          <t>3.3.14</t>
        </is>
      </c>
      <c r="F353" s="177" t="inlineStr">
        <is>
          <t>Seek independent and adequate ethical review of the balance of risks and benefits of all research involving procedures of unknown consequence, or where pain, discomfort or harm are possible.</t>
        </is>
      </c>
      <c r="G353" s="178" t="inlineStr">
        <is>
          <t>NOT YET CITED by any skill</t>
        </is>
      </c>
    </row>
    <row r="354" ht="45.75" customHeight="1" s="128">
      <c r="D354" s="175" t="inlineStr">
        <is>
          <t>PSI clause</t>
        </is>
      </c>
      <c r="E354" s="176" t="inlineStr">
        <is>
          <t>3.3.15</t>
        </is>
      </c>
      <c r="F354" s="177" t="inlineStr">
        <is>
          <t>Exercise particular care when reporting results on vulnerable groups, to counter misinterpretation or misuse in social policy, attitudes or practices.</t>
        </is>
      </c>
      <c r="G354" s="139" t="inlineStr">
        <is>
          <t>Raise immediate concerns out of session</t>
        </is>
      </c>
    </row>
    <row r="355" ht="57" customHeight="1" s="128">
      <c r="D355" s="175" t="inlineStr">
        <is>
          <t>PSI clause</t>
        </is>
      </c>
      <c r="E355" s="176" t="inlineStr">
        <is>
          <t>3.3.16</t>
        </is>
      </c>
      <c r="F355" s="177" t="inlineStr">
        <is>
          <t>Refuse to help individuals, families, groups or communities carry out or submit to activities which would cause serious physical or psychological harm to themselves or others.</t>
        </is>
      </c>
      <c r="G355" s="139" t="inlineStr">
        <is>
          <t>Wellbeing interventions at class and group level</t>
        </is>
      </c>
    </row>
    <row r="356" ht="68.25" customHeight="1" s="128">
      <c r="D356" s="175" t="inlineStr">
        <is>
          <t>PSI clause</t>
        </is>
      </c>
      <c r="E356" s="176" t="inlineStr">
        <is>
          <t>3.3.17</t>
        </is>
      </c>
      <c r="F356" s="177" t="inlineStr">
        <is>
          <t>Use animals in research only where there is a reasonable expectation of increased understanding or eventual benefit to the health and welfare of humans or other animals.  [outside placement scope]</t>
        </is>
      </c>
      <c r="G356" s="139" t="inlineStr">
        <is>
          <t>n/a — outside scope</t>
        </is>
      </c>
    </row>
    <row r="357" ht="57" customHeight="1" s="128">
      <c r="D357" s="175" t="inlineStr">
        <is>
          <t>PSI clause</t>
        </is>
      </c>
      <c r="E357" s="176" t="inlineStr">
        <is>
          <t>3.3.18</t>
        </is>
      </c>
      <c r="F357" s="177" t="inlineStr">
        <is>
          <t>Use procedures subjecting animals to pain, stress or deprivation only if alternatives are unavailable and the goal is justified by prospective gains.  [outside placement scope]</t>
        </is>
      </c>
      <c r="G357" s="139" t="inlineStr">
        <is>
          <t>n/a — outside scope</t>
        </is>
      </c>
    </row>
    <row r="358" ht="34.5" customHeight="1" s="128">
      <c r="D358" s="175" t="inlineStr">
        <is>
          <t>PSI clause</t>
        </is>
      </c>
      <c r="E358" s="176" t="inlineStr">
        <is>
          <t>3.3.19</t>
        </is>
      </c>
      <c r="F358" s="177" t="inlineStr">
        <is>
          <t>Make every effort to minimise discomfort, illness and pain in animals.  [outside placement scope]</t>
        </is>
      </c>
      <c r="G358" s="139" t="inlineStr">
        <is>
          <t>n/a — outside scope</t>
        </is>
      </c>
    </row>
    <row r="359" ht="68.25" customHeight="1" s="128">
      <c r="D359" s="175" t="inlineStr">
        <is>
          <t>PSI clause</t>
        </is>
      </c>
      <c r="E359" s="176" t="inlineStr">
        <is>
          <t>3.3.20</t>
        </is>
      </c>
      <c r="F359" s="177" t="inlineStr">
        <is>
          <t>Use animals in classroom demonstrations only if instructional objectives cannot be achieved by other methods and the demonstration is warranted by the anticipated gain.  [outside placement scope]</t>
        </is>
      </c>
      <c r="G359" s="139" t="inlineStr">
        <is>
          <t>n/a — outside scope</t>
        </is>
      </c>
    </row>
    <row r="360" ht="15" customHeight="1" s="128">
      <c r="A360" s="179" t="n"/>
      <c r="B360" s="179" t="n"/>
      <c r="C360" s="179" t="inlineStr">
        <is>
          <t>3.4 Continuity of Care</t>
        </is>
      </c>
      <c r="D360" s="179" t="n"/>
      <c r="E360" s="179" t="n"/>
      <c r="F360" s="179" t="n"/>
      <c r="G360" s="179" t="n"/>
      <c r="H360" s="179" t="n"/>
      <c r="I360" s="179" t="n"/>
      <c r="J360" s="179" t="n"/>
      <c r="K360" s="179" t="n"/>
      <c r="L360" s="179" t="n"/>
      <c r="M360" s="179" t="n"/>
      <c r="N360" s="179" t="n"/>
      <c r="O360" s="179" t="n"/>
      <c r="P360" s="179" t="n"/>
      <c r="Q360" s="179" t="n"/>
      <c r="R360" s="179" t="n"/>
      <c r="S360" s="179" t="n"/>
      <c r="T360" s="179" t="n"/>
      <c r="U360" s="179" t="n"/>
      <c r="V360" s="179" t="n"/>
      <c r="W360" s="179" t="n"/>
      <c r="X360" s="179" t="n"/>
      <c r="Y360" s="179" t="n"/>
      <c r="Z360" s="179" t="n"/>
      <c r="AA360" s="179" t="n"/>
      <c r="AB360" s="179" t="n"/>
      <c r="AC360" s="179" t="n"/>
      <c r="AD360" s="179" t="n"/>
      <c r="AE360" s="179" t="n"/>
      <c r="AF360" s="179" t="n"/>
      <c r="AG360" s="179" t="n"/>
      <c r="AH360" s="179" t="n"/>
      <c r="AI360" s="179" t="n"/>
      <c r="AJ360" s="179" t="n"/>
      <c r="AK360" s="179" t="n"/>
    </row>
    <row r="361" ht="57" customHeight="1" s="128">
      <c r="D361" s="175" t="inlineStr">
        <is>
          <t>PSI clause</t>
        </is>
      </c>
      <c r="E361" s="176" t="inlineStr">
        <is>
          <t>3.4.1</t>
        </is>
      </c>
      <c r="F361" s="177" t="inlineStr">
        <is>
          <t>Make themselves aware of the knowledge and skills of other disciplines (for example, law, medicine) and advise the use of such knowledge where relevant to the benefit of others.</t>
        </is>
      </c>
      <c r="G361" s="139" t="inlineStr">
        <is>
          <t>Attend service team meetings</t>
        </is>
      </c>
    </row>
    <row r="362" ht="57" customHeight="1" s="128">
      <c r="D362" s="175" t="inlineStr">
        <is>
          <t>PSI clause</t>
        </is>
      </c>
      <c r="E362" s="176" t="inlineStr">
        <is>
          <t>3.4.2</t>
        </is>
      </c>
      <c r="F362" s="177" t="inlineStr">
        <is>
          <t>Strive to obtain the best possible service for those needing and seeking psychological service — including recommending professionals other than psychologists, if appropriate.</t>
        </is>
      </c>
      <c r="G362" s="139" t="inlineStr">
        <is>
          <t>Attend service team meetings</t>
        </is>
      </c>
    </row>
    <row r="363" ht="45.75" customHeight="1" s="128">
      <c r="D363" s="175" t="inlineStr">
        <is>
          <t>PSI clause</t>
        </is>
      </c>
      <c r="E363" s="176" t="inlineStr">
        <is>
          <t>3.4.3</t>
        </is>
      </c>
      <c r="F363" s="177" t="inlineStr">
        <is>
          <t>When referring a client, maintain support and responsibility for caring until contact has commenced with the agent to whom referral was made.</t>
        </is>
      </c>
      <c r="G363" s="139" t="inlineStr">
        <is>
          <t>Foundations in counselling skills · State and hold the limits of your competence</t>
        </is>
      </c>
    </row>
    <row r="364" ht="45.75" customHeight="1" s="128">
      <c r="D364" s="175" t="inlineStr">
        <is>
          <t>PSI clause</t>
        </is>
      </c>
      <c r="E364" s="176" t="inlineStr">
        <is>
          <t>3.4.4</t>
        </is>
      </c>
      <c r="F364" s="177" t="inlineStr">
        <is>
          <t>Give reasonable notice and make reasonably certain that discontinuation will cause no harm to the client, before discontinuing services.</t>
        </is>
      </c>
      <c r="G364" s="139" t="inlineStr">
        <is>
          <t>Foundations in counselling skills</t>
        </is>
      </c>
    </row>
    <row r="365" ht="68.25" customHeight="1" s="128">
      <c r="D365" s="175" t="inlineStr">
        <is>
          <t>PSI clause</t>
        </is>
      </c>
      <c r="E365" s="176" t="inlineStr">
        <is>
          <t>3.4.5</t>
        </is>
      </c>
      <c r="F365" s="177" t="inlineStr">
        <is>
          <t>Contribute where appropriate to the co-ordination of client services to avoid duplication or working at cross purposes — maintaining adequate records and communicating with other providers.</t>
        </is>
      </c>
      <c r="G365" s="139" t="inlineStr">
        <is>
          <t>Attend service team meetings · Deliver the good practice presentation · Familiarise with SET provision and allocation · Learn consultation models · Map the school's organisation of supports · Visit a range of special education settings</t>
        </is>
      </c>
    </row>
    <row r="366" ht="15" customHeight="1" s="128">
      <c r="A366" s="179" t="n"/>
      <c r="B366" s="179" t="n"/>
      <c r="C366" s="179" t="inlineStr">
        <is>
          <t>3.5 Extended Responsibility</t>
        </is>
      </c>
      <c r="D366" s="179" t="n"/>
      <c r="E366" s="179" t="n"/>
      <c r="F366" s="179" t="n"/>
      <c r="G366" s="179" t="n"/>
      <c r="H366" s="179" t="n"/>
      <c r="I366" s="179" t="n"/>
      <c r="J366" s="179" t="n"/>
      <c r="K366" s="179" t="n"/>
      <c r="L366" s="179" t="n"/>
      <c r="M366" s="179" t="n"/>
      <c r="N366" s="179" t="n"/>
      <c r="O366" s="179" t="n"/>
      <c r="P366" s="179" t="n"/>
      <c r="Q366" s="179" t="n"/>
      <c r="R366" s="179" t="n"/>
      <c r="S366" s="179" t="n"/>
      <c r="T366" s="179" t="n"/>
      <c r="U366" s="179" t="n"/>
      <c r="V366" s="179" t="n"/>
      <c r="W366" s="179" t="n"/>
      <c r="X366" s="179" t="n"/>
      <c r="Y366" s="179" t="n"/>
      <c r="Z366" s="179" t="n"/>
      <c r="AA366" s="179" t="n"/>
      <c r="AB366" s="179" t="n"/>
      <c r="AC366" s="179" t="n"/>
      <c r="AD366" s="179" t="n"/>
      <c r="AE366" s="179" t="n"/>
      <c r="AF366" s="179" t="n"/>
      <c r="AG366" s="179" t="n"/>
      <c r="AH366" s="179" t="n"/>
      <c r="AI366" s="179" t="n"/>
      <c r="AJ366" s="179" t="n"/>
      <c r="AK366" s="179" t="n"/>
    </row>
    <row r="367" ht="79.5" customHeight="1" s="128">
      <c r="D367" s="175" t="inlineStr">
        <is>
          <t>PSI clause</t>
        </is>
      </c>
      <c r="E367" s="176" t="inlineStr">
        <is>
          <t>3.5.1</t>
        </is>
      </c>
      <c r="F367" s="177" t="inlineStr">
        <is>
          <t>Assume overall ethical responsibility for the scientific and professional activities of those whose work they supervise, including monitoring subordinates’ activity and making them aware of the values and ethical prescriptions of the discipline.</t>
        </is>
      </c>
      <c r="G367" s="139" t="inlineStr">
        <is>
          <t>Be observed with a client</t>
        </is>
      </c>
    </row>
    <row r="368" ht="57" customHeight="1" s="128">
      <c r="D368" s="175" t="inlineStr">
        <is>
          <t>PSI clause</t>
        </is>
      </c>
      <c r="E368" s="176" t="inlineStr">
        <is>
          <t>3.5.2</t>
        </is>
      </c>
      <c r="F368" s="177" t="inlineStr">
        <is>
          <t>Facilitate the professional and scientific development of those whose work they supervise by arranging appropriate work experience and offering constructive feedback.</t>
        </is>
      </c>
      <c r="G368" s="139" t="inlineStr">
        <is>
          <t>Be observed with a client</t>
        </is>
      </c>
    </row>
    <row r="369" ht="34.5" customHeight="1" s="128">
      <c r="D369" s="175" t="inlineStr">
        <is>
          <t>PSI clause</t>
        </is>
      </c>
      <c r="E369" s="176" t="inlineStr">
        <is>
          <t>3.5.3</t>
        </is>
      </c>
      <c r="F369" s="177" t="inlineStr">
        <is>
          <t>Guard against misuse or misinterpretation by others of psychological data.</t>
        </is>
      </c>
      <c r="G369" s="178" t="inlineStr">
        <is>
          <t>NOT YET CITED by any skill</t>
        </is>
      </c>
    </row>
    <row r="370" ht="15" customHeight="1" s="128">
      <c r="A370" s="179" t="n"/>
      <c r="B370" s="179" t="n"/>
      <c r="C370" s="179" t="inlineStr">
        <is>
          <t>3.6 Resolving Dilemmas</t>
        </is>
      </c>
      <c r="D370" s="179" t="n"/>
      <c r="E370" s="179" t="n"/>
      <c r="F370" s="179" t="n"/>
      <c r="G370" s="179" t="n"/>
      <c r="H370" s="179" t="n"/>
      <c r="I370" s="179" t="n"/>
      <c r="J370" s="179" t="n"/>
      <c r="K370" s="179" t="n"/>
      <c r="L370" s="179" t="n"/>
      <c r="M370" s="179" t="n"/>
      <c r="N370" s="179" t="n"/>
      <c r="O370" s="179" t="n"/>
      <c r="P370" s="179" t="n"/>
      <c r="Q370" s="179" t="n"/>
      <c r="R370" s="179" t="n"/>
      <c r="S370" s="179" t="n"/>
      <c r="T370" s="179" t="n"/>
      <c r="U370" s="179" t="n"/>
      <c r="V370" s="179" t="n"/>
      <c r="W370" s="179" t="n"/>
      <c r="X370" s="179" t="n"/>
      <c r="Y370" s="179" t="n"/>
      <c r="Z370" s="179" t="n"/>
      <c r="AA370" s="179" t="n"/>
      <c r="AB370" s="179" t="n"/>
      <c r="AC370" s="179" t="n"/>
      <c r="AD370" s="179" t="n"/>
      <c r="AE370" s="179" t="n"/>
      <c r="AF370" s="179" t="n"/>
      <c r="AG370" s="179" t="n"/>
      <c r="AH370" s="179" t="n"/>
      <c r="AI370" s="179" t="n"/>
      <c r="AJ370" s="179" t="n"/>
      <c r="AK370" s="179" t="n"/>
    </row>
    <row r="371" ht="57" customHeight="1" s="128">
      <c r="D371" s="175" t="inlineStr">
        <is>
          <t>PSI clause</t>
        </is>
      </c>
      <c r="E371" s="176" t="inlineStr">
        <is>
          <t>3.6.1</t>
        </is>
      </c>
      <c r="F371" s="177" t="inlineStr">
        <is>
          <t>Use a systematic procedure for investigating ethical issues and resolving ethical dilemmas (the recommended procedure is in Appendix A of the Code).</t>
        </is>
      </c>
      <c r="G371" s="139" t="inlineStr">
        <is>
          <t>Work an ethical dilemma through a decision procedure</t>
        </is>
      </c>
    </row>
    <row r="372" ht="57" customHeight="1" s="128">
      <c r="D372" s="175" t="inlineStr">
        <is>
          <t>PSI clause</t>
        </is>
      </c>
      <c r="E372" s="176" t="inlineStr">
        <is>
          <t>3.6.2</t>
        </is>
      </c>
      <c r="F372" s="177" t="inlineStr">
        <is>
          <t>Inform all parties, if a real or potential conflict of interest arises, of the need to resolve the situation consistently with this Code, and take all reasonable steps to resolve it.</t>
        </is>
      </c>
      <c r="G372" s="139" t="inlineStr">
        <is>
          <t>Work an ethical dilemma through a decision procedure</t>
        </is>
      </c>
    </row>
    <row r="373" ht="79.5" customHeight="1" s="128">
      <c r="D373" s="175" t="inlineStr">
        <is>
          <t>PSI clause</t>
        </is>
      </c>
      <c r="E373" s="176" t="inlineStr">
        <is>
          <t>3.6.3</t>
        </is>
      </c>
      <c r="F373" s="177" t="inlineStr">
        <is>
          <t>Consult with colleagues and/or appropriate groups and committees if faced with a difficult situation or apparent conflict between the law and an ethical principle; in an emergency where there is no time to consult, make their own best professional judgment.</t>
        </is>
      </c>
      <c r="G373" s="139" t="inlineStr">
        <is>
          <t>Work an ethical dilemma through a decision procedure</t>
        </is>
      </c>
    </row>
    <row r="374" ht="15" customHeight="1" s="128">
      <c r="A374" s="174" t="n"/>
      <c r="B374" s="174" t="inlineStr">
        <is>
          <t>Principle 4 — Integrity</t>
        </is>
      </c>
      <c r="C374" s="174" t="n"/>
      <c r="D374" s="174" t="n"/>
      <c r="E374" s="174" t="inlineStr">
        <is>
          <t>29 clauses</t>
        </is>
      </c>
      <c r="F374" s="174" t="n"/>
    </row>
    <row r="375" ht="15" customHeight="1" s="128">
      <c r="A375" s="179" t="n"/>
      <c r="B375" s="179" t="n"/>
      <c r="C375" s="179" t="inlineStr">
        <is>
          <t>4.1 Recognition of Professional Limitations</t>
        </is>
      </c>
      <c r="D375" s="179" t="n"/>
      <c r="E375" s="179" t="n"/>
      <c r="F375" s="179" t="n"/>
      <c r="G375" s="179" t="n"/>
      <c r="H375" s="179" t="n"/>
      <c r="I375" s="179" t="n"/>
      <c r="J375" s="179" t="n"/>
      <c r="K375" s="179" t="n"/>
      <c r="L375" s="179" t="n"/>
      <c r="M375" s="179" t="n"/>
      <c r="N375" s="179" t="n"/>
      <c r="O375" s="179" t="n"/>
      <c r="P375" s="179" t="n"/>
      <c r="Q375" s="179" t="n"/>
      <c r="R375" s="179" t="n"/>
      <c r="S375" s="179" t="n"/>
      <c r="T375" s="179" t="n"/>
      <c r="U375" s="179" t="n"/>
      <c r="V375" s="179" t="n"/>
      <c r="W375" s="179" t="n"/>
      <c r="X375" s="179" t="n"/>
      <c r="Y375" s="179" t="n"/>
      <c r="Z375" s="179" t="n"/>
      <c r="AA375" s="179" t="n"/>
      <c r="AB375" s="179" t="n"/>
      <c r="AC375" s="179" t="n"/>
      <c r="AD375" s="179" t="n"/>
      <c r="AE375" s="179" t="n"/>
      <c r="AF375" s="179" t="n"/>
      <c r="AG375" s="179" t="n"/>
      <c r="AH375" s="179" t="n"/>
      <c r="AI375" s="179" t="n"/>
      <c r="AJ375" s="179" t="n"/>
      <c r="AK375" s="179" t="n"/>
    </row>
    <row r="376" ht="68.25" customHeight="1" s="128">
      <c r="D376" s="175" t="inlineStr">
        <is>
          <t>PSI clause</t>
        </is>
      </c>
      <c r="E376" s="176" t="inlineStr">
        <is>
          <t>4.1.1</t>
        </is>
      </c>
      <c r="F376" s="177" t="inlineStr">
        <is>
          <t>Engage in self-care activities which help to avoid conditions (for example, burnout, addictions) which could result in impaired judgement and interfere with their ability to benefit and not harm others.</t>
        </is>
      </c>
      <c r="G376" s="139" t="inlineStr">
        <is>
          <t>Write the reflective learning essay</t>
        </is>
      </c>
    </row>
    <row r="377" ht="53.25" customHeight="1" s="128">
      <c r="D377" s="175" t="inlineStr">
        <is>
          <t>PSI clause</t>
        </is>
      </c>
      <c r="E377" s="176" t="inlineStr">
        <is>
          <t>4.1.2</t>
        </is>
      </c>
      <c r="F377" s="177" t="inlineStr">
        <is>
          <t>Seek emotional support and/or supervision from colleagues when feeling stressed or vulnerable due to professional dilemmas.</t>
        </is>
      </c>
      <c r="G377" s="139" t="inlineStr">
        <is>
          <t>Be observed with a client · Complete Appendix 6 before and after · Contribute to peer and group supervision · Keep supervision session records · Manage workload and your own wellbeing · Observe your supervisor with a client · Prepare and send an agenda in advance · Raise immediate concerns out of session · Write the reflective learning essay</t>
        </is>
      </c>
    </row>
    <row r="378" ht="15" customHeight="1" s="128">
      <c r="A378" s="179" t="n"/>
      <c r="B378" s="179" t="n"/>
      <c r="C378" s="179" t="inlineStr">
        <is>
          <t>4.2 Honesty and Accuracy</t>
        </is>
      </c>
      <c r="D378" s="179" t="n"/>
      <c r="E378" s="179" t="n"/>
      <c r="F378" s="179" t="n"/>
      <c r="G378" s="179" t="n"/>
      <c r="H378" s="179" t="n"/>
      <c r="I378" s="179" t="n"/>
      <c r="J378" s="179" t="n"/>
      <c r="K378" s="179" t="n"/>
      <c r="L378" s="179" t="n"/>
      <c r="M378" s="179" t="n"/>
      <c r="N378" s="179" t="n"/>
      <c r="O378" s="179" t="n"/>
      <c r="P378" s="179" t="n"/>
      <c r="Q378" s="179" t="n"/>
      <c r="R378" s="179" t="n"/>
      <c r="S378" s="179" t="n"/>
      <c r="T378" s="179" t="n"/>
      <c r="U378" s="179" t="n"/>
      <c r="V378" s="179" t="n"/>
      <c r="W378" s="179" t="n"/>
      <c r="X378" s="179" t="n"/>
      <c r="Y378" s="179" t="n"/>
      <c r="Z378" s="179" t="n"/>
      <c r="AA378" s="179" t="n"/>
      <c r="AB378" s="179" t="n"/>
      <c r="AC378" s="179" t="n"/>
      <c r="AD378" s="179" t="n"/>
      <c r="AE378" s="179" t="n"/>
      <c r="AF378" s="179" t="n"/>
      <c r="AG378" s="179" t="n"/>
      <c r="AH378" s="179" t="n"/>
      <c r="AI378" s="179" t="n"/>
      <c r="AJ378" s="179" t="n"/>
      <c r="AK378" s="179" t="n"/>
    </row>
    <row r="379" ht="68.25" customHeight="1" s="128">
      <c r="D379" s="175" t="inlineStr">
        <is>
          <t>PSI clause</t>
        </is>
      </c>
      <c r="E379" s="176" t="inlineStr">
        <is>
          <t>4.2.1</t>
        </is>
      </c>
      <c r="F379" s="177" t="inlineStr">
        <is>
          <t>Ensure that they and others accurately represent their education, training and experience, and the effectiveness of the services they offer, in all communications; and act quickly to correct misrepresentation.</t>
        </is>
      </c>
      <c r="G379" s="139" t="inlineStr">
        <is>
          <t>Produce the psychological report to countersigning standard</t>
        </is>
      </c>
    </row>
    <row r="380" ht="68.25" customHeight="1" s="128">
      <c r="D380" s="175" t="inlineStr">
        <is>
          <t>PSI clause</t>
        </is>
      </c>
      <c r="E380" s="176" t="inlineStr">
        <is>
          <t>4.2.2</t>
        </is>
      </c>
      <c r="F380" s="177" t="inlineStr">
        <is>
          <t>Take due care to avoid misrepresentation, exaggeration, distortion or errors in reporting assessment results, research findings or service effectiveness, and act quickly to correct any such error.</t>
        </is>
      </c>
      <c r="G380" s="139" t="inlineStr">
        <is>
          <t>Adapt standardised procedure and record the adaptation · Behavioural and emotional rating scales · Cite evidence for recommendations · Search and critically appraise evidence · WIAT administration, scoring and interpretation</t>
        </is>
      </c>
    </row>
    <row r="381" ht="45.75" customHeight="1" s="128">
      <c r="D381" s="175" t="inlineStr">
        <is>
          <t>PSI clause</t>
        </is>
      </c>
      <c r="E381" s="176" t="inlineStr">
        <is>
          <t>4.2.3</t>
        </is>
      </c>
      <c r="F381" s="177" t="inlineStr">
        <is>
          <t>Make clear whether they are acting as private citizens, as members of specific organisations, or as representatives of the discipline of psychology.</t>
        </is>
      </c>
      <c r="G381" s="139" t="inlineStr">
        <is>
          <t>Deliver the good practice presentation</t>
        </is>
      </c>
    </row>
    <row r="382" ht="45.75" customHeight="1" s="128">
      <c r="D382" s="175" t="inlineStr">
        <is>
          <t>PSI clause</t>
        </is>
      </c>
      <c r="E382" s="176" t="inlineStr">
        <is>
          <t>4.2.4</t>
        </is>
      </c>
      <c r="F382" s="177" t="inlineStr">
        <is>
          <t>Ensure that families and other interested parties are aware that the psychologist's primary responsibilities are generally to the individual.</t>
        </is>
      </c>
      <c r="G382" s="178" t="inlineStr">
        <is>
          <t>NOT YET CITED by any skill</t>
        </is>
      </c>
    </row>
    <row r="383" ht="63.75" customHeight="1" s="128">
      <c r="D383" s="175" t="inlineStr">
        <is>
          <t>PSI clause</t>
        </is>
      </c>
      <c r="E383" s="176" t="inlineStr">
        <is>
          <t>4.2.5</t>
        </is>
      </c>
      <c r="F383" s="177" t="inlineStr">
        <is>
          <t>Take care in communicating their knowledge, findings and views to clearly differentiate facts, opinions, theories, hypotheses and ideas.</t>
        </is>
      </c>
      <c r="G383" s="139" t="inlineStr">
        <is>
          <t>Account for the biopsychosocial context · Analyse risk and resilience · Consider the likelihood of co-occurring conditions · Distinguish primary from secondary needs · Keep case notes to service standard · Learn the four frameworks for practice · Name and apply one framework to each substantial case · Observation in classroom, playground and clinic · Synthesise findings from multiple sources into one profile</t>
        </is>
      </c>
    </row>
    <row r="384" ht="53.25" customHeight="1" s="128">
      <c r="D384" s="175" t="inlineStr">
        <is>
          <t>PSI clause</t>
        </is>
      </c>
      <c r="E384" s="176" t="inlineStr">
        <is>
          <t>4.2.6</t>
        </is>
      </c>
      <c r="F384" s="177" t="inlineStr">
        <is>
          <t>Not suppress disconfirming evidence of their findings and views, and acknowledge alternative hypotheses and explanations.</t>
        </is>
      </c>
      <c r="G384" s="139" t="inlineStr">
        <is>
          <t>Account for the biopsychosocial context · Analyse risk and resilience · Cite evidence for recommendations · Consider the likelihood of co-occurring conditions · Distinguish primary from secondary needs · Learn the four frameworks for practice · Name and apply one framework to each substantial case · Synthesise findings from multiple sources into one profile</t>
        </is>
      </c>
    </row>
    <row r="385" ht="68.25" customHeight="1" s="128">
      <c r="D385" s="175" t="inlineStr">
        <is>
          <t>PSI clause</t>
        </is>
      </c>
      <c r="E385" s="176" t="inlineStr">
        <is>
          <t>4.2.7</t>
        </is>
      </c>
      <c r="F385" s="177" t="inlineStr">
        <is>
          <t>Conduct research in a way consistent with honest, open inquiry, and clearly communicate research aims, sponsorship, social context, personal values or financial interests that may affect it.</t>
        </is>
      </c>
      <c r="G385" s="178" t="inlineStr">
        <is>
          <t>NOT YET CITED by any skill</t>
        </is>
      </c>
    </row>
    <row r="386" ht="45.75" customHeight="1" s="128">
      <c r="D386" s="175" t="inlineStr">
        <is>
          <t>PSI clause</t>
        </is>
      </c>
      <c r="E386" s="176" t="inlineStr">
        <is>
          <t>4.2.8</t>
        </is>
      </c>
      <c r="F386" s="177" t="inlineStr">
        <is>
          <t>Compensate others justly for the use of their time, energy and intelligence, unless such compensation is refused in advance.  [outside placement scope]</t>
        </is>
      </c>
      <c r="G386" s="139" t="inlineStr">
        <is>
          <t>n/a — outside scope</t>
        </is>
      </c>
    </row>
    <row r="387" ht="68.25" customHeight="1" s="128">
      <c r="D387" s="175" t="inlineStr">
        <is>
          <t>PSI clause</t>
        </is>
      </c>
      <c r="E387" s="176" t="inlineStr">
        <is>
          <t>4.2.9</t>
        </is>
      </c>
      <c r="F387" s="177" t="inlineStr">
        <is>
          <t>Not accept or attempt to secure fees or benefits over and above those agreed contractually in advance, and not accept significant gifts where acceptance would undermine impartiality.  [outside placement scope]</t>
        </is>
      </c>
      <c r="G387" s="139" t="inlineStr">
        <is>
          <t>n/a — outside scope</t>
        </is>
      </c>
    </row>
    <row r="388" ht="34.5" customHeight="1" s="128">
      <c r="D388" s="175" t="inlineStr">
        <is>
          <t>PSI clause</t>
        </is>
      </c>
      <c r="E388" s="176" t="inlineStr">
        <is>
          <t>4.2.10</t>
        </is>
      </c>
      <c r="F388" s="177" t="inlineStr">
        <is>
          <t>Not participate in, condone, or allow themselves to be associated with dishonesty or fraud.</t>
        </is>
      </c>
      <c r="G388" s="139" t="inlineStr">
        <is>
          <t>Cite evidence for recommendations</t>
        </is>
      </c>
    </row>
    <row r="389" ht="57" customHeight="1" s="128">
      <c r="D389" s="175" t="inlineStr">
        <is>
          <t>PSI clause</t>
        </is>
      </c>
      <c r="E389" s="176" t="inlineStr">
        <is>
          <t>4.2.11</t>
        </is>
      </c>
      <c r="F389" s="177" t="inlineStr">
        <is>
          <t>Honour all promises and commitments in any written or verbal agreement unless serious and unexpected circumstances intervene — and then make a full and honest explanation.</t>
        </is>
      </c>
      <c r="G389" s="139" t="inlineStr">
        <is>
          <t>Cite evidence for recommendations</t>
        </is>
      </c>
    </row>
    <row r="390" ht="57" customHeight="1" s="128">
      <c r="D390" s="175" t="inlineStr">
        <is>
          <t>PSI clause</t>
        </is>
      </c>
      <c r="E390" s="176" t="inlineStr">
        <is>
          <t>4.2.12</t>
        </is>
      </c>
      <c r="F390" s="177" t="inlineStr">
        <is>
          <t>Be clear, when entering into contracts with third parties, about obligations under this Code, and ensure all parties are aware of their rights and responsibilities.</t>
        </is>
      </c>
      <c r="G390" s="139" t="inlineStr">
        <is>
          <t>State how a recommendation would be evaluated</t>
        </is>
      </c>
    </row>
    <row r="391" ht="34.5" customHeight="1" s="128">
      <c r="D391" s="175" t="inlineStr">
        <is>
          <t>PSI clause</t>
        </is>
      </c>
      <c r="E391" s="176" t="inlineStr">
        <is>
          <t>4.2.13</t>
        </is>
      </c>
      <c r="F391" s="177" t="inlineStr">
        <is>
          <t>Ensure that those who commission research are aware of the rights and responsibilities of all interested parties.</t>
        </is>
      </c>
      <c r="G391" s="178" t="inlineStr">
        <is>
          <t>NOT YET CITED by any skill</t>
        </is>
      </c>
    </row>
    <row r="392" ht="34.5" customHeight="1" s="128">
      <c r="D392" s="175" t="inlineStr">
        <is>
          <t>PSI clause</t>
        </is>
      </c>
      <c r="E392" s="176" t="inlineStr">
        <is>
          <t>4.2.14</t>
        </is>
      </c>
      <c r="F392" s="177" t="inlineStr">
        <is>
          <t>Clarify ownership of documentation, data and rights of publication with those who commission research.</t>
        </is>
      </c>
      <c r="G392" s="178" t="inlineStr">
        <is>
          <t>NOT YET CITED by any skill</t>
        </is>
      </c>
    </row>
    <row r="393" ht="45.75" customHeight="1" s="128">
      <c r="D393" s="175" t="inlineStr">
        <is>
          <t>PSI clause</t>
        </is>
      </c>
      <c r="E393" s="176" t="inlineStr">
        <is>
          <t>4.2.15</t>
        </is>
      </c>
      <c r="F393" s="177" t="inlineStr">
        <is>
          <t>Give publication credit to others (including students) in proportion to the professional contribution they have made.</t>
        </is>
      </c>
      <c r="G393" s="178" t="inlineStr">
        <is>
          <t>NOT YET CITED by any skill</t>
        </is>
      </c>
    </row>
    <row r="394" ht="15" customHeight="1" s="128">
      <c r="A394" s="179" t="n"/>
      <c r="B394" s="179" t="n"/>
      <c r="C394" s="179" t="inlineStr">
        <is>
          <t>4.3 Straightforwardness and Openness</t>
        </is>
      </c>
      <c r="D394" s="179" t="n"/>
      <c r="E394" s="179" t="n"/>
      <c r="F394" s="179" t="n"/>
      <c r="G394" s="179" t="n"/>
      <c r="H394" s="179" t="n"/>
      <c r="I394" s="179" t="n"/>
      <c r="J394" s="179" t="n"/>
      <c r="K394" s="179" t="n"/>
      <c r="L394" s="179" t="n"/>
      <c r="M394" s="179" t="n"/>
      <c r="N394" s="179" t="n"/>
      <c r="O394" s="179" t="n"/>
      <c r="P394" s="179" t="n"/>
      <c r="Q394" s="179" t="n"/>
      <c r="R394" s="179" t="n"/>
      <c r="S394" s="179" t="n"/>
      <c r="T394" s="179" t="n"/>
      <c r="U394" s="179" t="n"/>
      <c r="V394" s="179" t="n"/>
      <c r="W394" s="179" t="n"/>
      <c r="X394" s="179" t="n"/>
      <c r="Y394" s="179" t="n"/>
      <c r="Z394" s="179" t="n"/>
      <c r="AA394" s="179" t="n"/>
      <c r="AB394" s="179" t="n"/>
      <c r="AC394" s="179" t="n"/>
      <c r="AD394" s="179" t="n"/>
      <c r="AE394" s="179" t="n"/>
      <c r="AF394" s="179" t="n"/>
      <c r="AG394" s="179" t="n"/>
      <c r="AH394" s="179" t="n"/>
      <c r="AI394" s="179" t="n"/>
      <c r="AJ394" s="179" t="n"/>
      <c r="AK394" s="179" t="n"/>
    </row>
    <row r="395" ht="68.25" customHeight="1" s="128">
      <c r="D395" s="175" t="inlineStr">
        <is>
          <t>PSI clause</t>
        </is>
      </c>
      <c r="E395" s="176" t="inlineStr">
        <is>
          <t>4.3.1</t>
        </is>
      </c>
      <c r="F395" s="177" t="inlineStr">
        <is>
          <t>Respect the right of clients and research participants to receive an appropriate explanation of the nature, purpose and results of investigations, assessments and research findings, in language they can understand.</t>
        </is>
      </c>
      <c r="G395" s="139" t="inlineStr">
        <is>
          <t>Adapt written communication to the audience · Build rapport with a child during assessment · Communicate with school staff, SENCO and principal · Give feedback to parents on assessment findings · Keep case notes to service standard · Observe and deliver parental feedback sessions · Produce the psychological report to countersigning standard · WISC-V administration to proficiency standard</t>
        </is>
      </c>
    </row>
    <row r="396" ht="102" customHeight="1" s="128">
      <c r="D396" s="175" t="inlineStr">
        <is>
          <t>PSI clause</t>
        </is>
      </c>
      <c r="E396" s="176" t="inlineStr">
        <is>
          <t>4.3.2</t>
        </is>
      </c>
      <c r="F396" s="177" t="inlineStr">
        <is>
          <t>Be clear and straightforward about all information needed to establish informed consent or any other valid agreement — fees, mutual responsibilities, purpose and nature of the relationship, alternatives, likely experiences, possible conflicts and outcomes, and expectations for using and sharing information.</t>
        </is>
      </c>
      <c r="G396" s="139" t="inlineStr">
        <is>
          <t>Give feedback to parents on assessment findings</t>
        </is>
      </c>
    </row>
    <row r="397" ht="34.5" customHeight="1" s="128">
      <c r="D397" s="175" t="inlineStr">
        <is>
          <t>PSI clause</t>
        </is>
      </c>
      <c r="E397" s="176" t="inlineStr">
        <is>
          <t>4.3.3</t>
        </is>
      </c>
      <c r="F397" s="177" t="inlineStr">
        <is>
          <t>Fully explain reasons for their actions to persons affected by those actions, if appropriate and/or if asked.</t>
        </is>
      </c>
      <c r="G397" s="139" t="inlineStr">
        <is>
          <t>Observe and deliver parental feedback sessions</t>
        </is>
      </c>
    </row>
    <row r="398" ht="68.25" customHeight="1" s="128">
      <c r="D398" s="175" t="inlineStr">
        <is>
          <t>PSI clause</t>
        </is>
      </c>
      <c r="E398" s="176" t="inlineStr">
        <is>
          <t>4.3.4</t>
        </is>
      </c>
      <c r="F398" s="177" t="inlineStr">
        <is>
          <t>Avoid using deception (or techniques which might be interpreted as deception) in research or service activities if alternatives are available or if negative effects cannot be predicted or offset.  [outside placement scope]</t>
        </is>
      </c>
      <c r="G398" s="139" t="inlineStr">
        <is>
          <t>n/a — outside scope</t>
        </is>
      </c>
    </row>
    <row r="399" ht="68.25" customHeight="1" s="128">
      <c r="D399" s="175" t="inlineStr">
        <is>
          <t>PSI clause</t>
        </is>
      </c>
      <c r="E399" s="176" t="inlineStr">
        <is>
          <t>4.3.5</t>
        </is>
      </c>
      <c r="F399" s="177" t="inlineStr">
        <is>
          <t>Provide a debriefing for research participants following studies in which deception has occurred — clarifying the real nature and rationale, removing misconceptions and re-establishing trust.  [outside placement scope]</t>
        </is>
      </c>
      <c r="G399" s="139" t="inlineStr">
        <is>
          <t>n/a — outside scope</t>
        </is>
      </c>
    </row>
    <row r="400" ht="57" customHeight="1" s="128">
      <c r="D400" s="175" t="inlineStr">
        <is>
          <t>PSI clause</t>
        </is>
      </c>
      <c r="E400" s="176" t="inlineStr">
        <is>
          <t>4.3.6</t>
        </is>
      </c>
      <c r="F400" s="177" t="inlineStr">
        <is>
          <t>Seek independent and adequate ethical review of the risks to public or individual trust for any research using deception, before proceeding.  [outside placement scope]</t>
        </is>
      </c>
      <c r="G400" s="139" t="inlineStr">
        <is>
          <t>n/a — outside scope</t>
        </is>
      </c>
    </row>
    <row r="401" ht="15" customHeight="1" s="128">
      <c r="A401" s="179" t="n"/>
      <c r="B401" s="179" t="n"/>
      <c r="C401" s="179" t="inlineStr">
        <is>
          <t>4.4 Conflict of Interests and Exploitation</t>
        </is>
      </c>
      <c r="D401" s="179" t="n"/>
      <c r="E401" s="179" t="n"/>
      <c r="F401" s="179" t="n"/>
      <c r="G401" s="179" t="n"/>
      <c r="H401" s="179" t="n"/>
      <c r="I401" s="179" t="n"/>
      <c r="J401" s="179" t="n"/>
      <c r="K401" s="179" t="n"/>
      <c r="L401" s="179" t="n"/>
      <c r="M401" s="179" t="n"/>
      <c r="N401" s="179" t="n"/>
      <c r="O401" s="179" t="n"/>
      <c r="P401" s="179" t="n"/>
      <c r="Q401" s="179" t="n"/>
      <c r="R401" s="179" t="n"/>
      <c r="S401" s="179" t="n"/>
      <c r="T401" s="179" t="n"/>
      <c r="U401" s="179" t="n"/>
      <c r="V401" s="179" t="n"/>
      <c r="W401" s="179" t="n"/>
      <c r="X401" s="179" t="n"/>
      <c r="Y401" s="179" t="n"/>
      <c r="Z401" s="179" t="n"/>
      <c r="AA401" s="179" t="n"/>
      <c r="AB401" s="179" t="n"/>
      <c r="AC401" s="179" t="n"/>
      <c r="AD401" s="179" t="n"/>
      <c r="AE401" s="179" t="n"/>
      <c r="AF401" s="179" t="n"/>
      <c r="AG401" s="179" t="n"/>
      <c r="AH401" s="179" t="n"/>
      <c r="AI401" s="179" t="n"/>
      <c r="AJ401" s="179" t="n"/>
      <c r="AK401" s="179" t="n"/>
    </row>
    <row r="402" ht="34.5" customHeight="1" s="128">
      <c r="D402" s="175" t="inlineStr">
        <is>
          <t>PSI clause</t>
        </is>
      </c>
      <c r="E402" s="176" t="inlineStr">
        <is>
          <t>4.4.1</t>
        </is>
      </c>
      <c r="F402" s="177" t="inlineStr">
        <is>
          <t>Not exploit any professional relationship to further their own personal, political or business interests.</t>
        </is>
      </c>
      <c r="G402" s="139" t="inlineStr">
        <is>
          <t>Work an ethical dilemma through a decision procedure</t>
        </is>
      </c>
    </row>
    <row r="403" ht="45.75" customHeight="1" s="128">
      <c r="D403" s="175" t="inlineStr">
        <is>
          <t>PSI clause</t>
        </is>
      </c>
      <c r="E403" s="176" t="inlineStr">
        <is>
          <t>4.4.2</t>
        </is>
      </c>
      <c r="F403" s="177" t="inlineStr">
        <is>
          <t>Not exploit clients for gratification of sexual desires, either during the professional relationship or after its termination.</t>
        </is>
      </c>
      <c r="G403" s="139" t="inlineStr">
        <is>
          <t>Manage workload and your own wellbeing</t>
        </is>
      </c>
    </row>
    <row r="404" ht="79.5" customHeight="1" s="128">
      <c r="D404" s="175" t="inlineStr">
        <is>
          <t>PSI clause</t>
        </is>
      </c>
      <c r="E404" s="176" t="inlineStr">
        <is>
          <t>4.4.3</t>
        </is>
      </c>
      <c r="F404" s="177" t="inlineStr">
        <is>
          <t>Be acutely aware of the problematic nature of dual relationships and recognise it is not always possible to avoid them; where possible avoid such relationships, and where not, take active steps to safeguard the interests of students, employees or clients.</t>
        </is>
      </c>
      <c r="G404" s="139" t="inlineStr">
        <is>
          <t>Work an ethical dilemma through a decision procedure</t>
        </is>
      </c>
    </row>
    <row r="405" ht="45.75" customHeight="1" s="128">
      <c r="D405" s="175" t="inlineStr">
        <is>
          <t>PSI clause</t>
        </is>
      </c>
      <c r="E405" s="176" t="inlineStr">
        <is>
          <t>4.4.4</t>
        </is>
      </c>
      <c r="F405" s="177" t="inlineStr">
        <is>
          <t>Not exploit any professional position to form or attempt to form a relationship of a sexual, inappropriate emotional or exploitative nature with any person.</t>
        </is>
      </c>
      <c r="G405" s="139" t="inlineStr">
        <is>
          <t>Manage workload and your own wellbeing</t>
        </is>
      </c>
    </row>
    <row r="406" ht="15" customHeight="1" s="128">
      <c r="A406" s="179" t="n"/>
      <c r="B406" s="179" t="n"/>
      <c r="C406" s="179" t="inlineStr">
        <is>
          <t>4.5 Actions of Colleagues</t>
        </is>
      </c>
      <c r="D406" s="179" t="n"/>
      <c r="E406" s="179" t="n"/>
      <c r="F406" s="179" t="n"/>
      <c r="G406" s="179" t="n"/>
      <c r="H406" s="179" t="n"/>
      <c r="I406" s="179" t="n"/>
      <c r="J406" s="179" t="n"/>
      <c r="K406" s="179" t="n"/>
      <c r="L406" s="179" t="n"/>
      <c r="M406" s="179" t="n"/>
      <c r="N406" s="179" t="n"/>
      <c r="O406" s="179" t="n"/>
      <c r="P406" s="179" t="n"/>
      <c r="Q406" s="179" t="n"/>
      <c r="R406" s="179" t="n"/>
      <c r="S406" s="179" t="n"/>
      <c r="T406" s="179" t="n"/>
      <c r="U406" s="179" t="n"/>
      <c r="V406" s="179" t="n"/>
      <c r="W406" s="179" t="n"/>
      <c r="X406" s="179" t="n"/>
      <c r="Y406" s="179" t="n"/>
      <c r="Z406" s="179" t="n"/>
      <c r="AA406" s="179" t="n"/>
      <c r="AB406" s="179" t="n"/>
      <c r="AC406" s="179" t="n"/>
      <c r="AD406" s="179" t="n"/>
      <c r="AE406" s="179" t="n"/>
      <c r="AF406" s="179" t="n"/>
      <c r="AG406" s="179" t="n"/>
      <c r="AH406" s="179" t="n"/>
      <c r="AI406" s="179" t="n"/>
      <c r="AJ406" s="179" t="n"/>
      <c r="AK406" s="179" t="n"/>
    </row>
    <row r="407" ht="90.75" customHeight="1" s="128">
      <c r="D407" s="175" t="inlineStr">
        <is>
          <t>PSI clause</t>
        </is>
      </c>
      <c r="E407" s="176" t="inlineStr">
        <is>
          <t>4.5.1</t>
        </is>
      </c>
      <c r="F407" s="177" t="inlineStr">
        <is>
          <t>Act to stop or offset the consequences of professional activities of a colleague or member of another discipline which are clearly harmful or apparently unethical — informally where possible, but reporting to an appropriate regulatory body if the harm is serious or persists.</t>
        </is>
      </c>
      <c r="G407" s="139" t="inlineStr">
        <is>
          <t>Contribute to peer and group supervision</t>
        </is>
      </c>
    </row>
    <row r="408" ht="34.5" customHeight="1" s="128">
      <c r="D408" s="175" t="inlineStr">
        <is>
          <t>PSI clause</t>
        </is>
      </c>
      <c r="E408" s="176" t="inlineStr">
        <is>
          <t>4.5.2</t>
        </is>
      </c>
      <c r="F408" s="177" t="inlineStr">
        <is>
          <t>Offer, as appropriate, emotional support and/or supervision to colleagues who request it.</t>
        </is>
      </c>
      <c r="G408" s="139" t="inlineStr">
        <is>
          <t>Contribute to peer and group supervision</t>
        </is>
      </c>
    </row>
    <row r="410" ht="21.75" customHeight="1" s="128">
      <c r="A410" s="142" t="inlineStr">
        <is>
          <t>PART C</t>
        </is>
      </c>
      <c r="B410" s="142" t="inlineStr">
        <is>
          <t>Interactive Factors prompt</t>
        </is>
      </c>
      <c r="C410" s="142" t="n"/>
      <c r="D410" s="142" t="n"/>
      <c r="E410" s="142" t="inlineStr">
        <is>
          <t>Transcribed from the prompt sheet you uploaded. It also sits as five columns (N to R) on every referral area and every Formulation skill — scroll right.</t>
        </is>
      </c>
      <c r="F410" s="142" t="n"/>
      <c r="G410" s="142" t="n"/>
      <c r="H410" s="142" t="n"/>
      <c r="I410" s="142" t="n"/>
      <c r="J410" s="142" t="n"/>
      <c r="K410" s="142" t="n"/>
      <c r="L410" s="142" t="n"/>
      <c r="M410" s="142" t="n"/>
      <c r="N410" s="142" t="n"/>
      <c r="O410" s="142" t="n"/>
      <c r="P410" s="142" t="n"/>
      <c r="Q410" s="142" t="n"/>
      <c r="R410" s="142" t="n"/>
      <c r="S410" s="142" t="n"/>
      <c r="T410" s="142" t="n"/>
      <c r="U410" s="142" t="n"/>
      <c r="V410" s="142" t="n"/>
      <c r="W410" s="142" t="n"/>
      <c r="X410" s="142" t="n"/>
      <c r="Y410" s="142" t="n"/>
      <c r="Z410" s="142" t="n"/>
      <c r="AA410" s="142" t="n"/>
      <c r="AB410" s="142" t="n"/>
      <c r="AC410" s="142" t="n"/>
      <c r="AD410" s="142" t="n"/>
      <c r="AE410" s="142" t="n"/>
      <c r="AF410" s="142" t="n"/>
      <c r="AG410" s="142" t="n"/>
      <c r="AH410" s="142" t="n"/>
      <c r="AI410" s="142" t="n"/>
      <c r="AJ410" s="142" t="n"/>
      <c r="AK410" s="142" t="n"/>
    </row>
    <row r="411" ht="79.5" customHeight="1" s="128">
      <c r="E411" s="180" t="inlineStr">
        <is>
          <t>Source note</t>
        </is>
      </c>
      <c r="F411" s="181" t="inlineStr">
        <is>
          <t>This is a UK service document. It names CEC, SGO, YOT, CSE, Prevent, Virtual School, SENAT, Portage and Early Help, none of which exist in Irish practice. The Irish mapping below is mine, not part of the sheet.</t>
        </is>
      </c>
    </row>
    <row r="412" ht="15" customHeight="1" s="128">
      <c r="A412" s="179" t="n"/>
      <c r="B412" s="179" t="n"/>
      <c r="C412" s="179" t="n"/>
      <c r="D412" s="179" t="inlineStr">
        <is>
          <t>IFF domain</t>
        </is>
      </c>
      <c r="E412" s="179" t="inlineStr">
        <is>
          <t>Environmental Factors — Family, School, Community</t>
        </is>
      </c>
      <c r="F412" s="179" t="n"/>
      <c r="G412" s="179" t="n"/>
      <c r="H412" s="179" t="n"/>
      <c r="I412" s="179" t="n"/>
      <c r="J412" s="179" t="n"/>
      <c r="K412" s="179" t="n"/>
      <c r="L412" s="179" t="n"/>
      <c r="M412" s="179" t="n"/>
      <c r="N412" s="179" t="n"/>
      <c r="O412" s="179" t="n"/>
      <c r="P412" s="179" t="n"/>
      <c r="Q412" s="179" t="n"/>
      <c r="R412" s="179" t="n"/>
      <c r="S412" s="179" t="n"/>
      <c r="T412" s="179" t="n"/>
      <c r="U412" s="179" t="n"/>
      <c r="V412" s="179" t="n"/>
      <c r="W412" s="179" t="n"/>
      <c r="X412" s="179" t="n"/>
      <c r="Y412" s="179" t="n"/>
      <c r="Z412" s="179" t="n"/>
      <c r="AA412" s="179" t="n"/>
      <c r="AB412" s="179" t="n"/>
      <c r="AC412" s="179" t="n"/>
      <c r="AD412" s="179" t="n"/>
      <c r="AE412" s="179" t="n"/>
      <c r="AF412" s="179" t="n"/>
      <c r="AG412" s="179" t="n"/>
      <c r="AH412" s="179" t="n"/>
      <c r="AI412" s="179" t="n"/>
      <c r="AJ412" s="179" t="n"/>
      <c r="AK412" s="179" t="n"/>
    </row>
    <row r="413" outlineLevel="2" ht="23.25" customHeight="1" s="128">
      <c r="D413" s="139" t="inlineStr">
        <is>
          <t>Prompt</t>
        </is>
      </c>
      <c r="F413" s="177" t="inlineStr">
        <is>
          <t>Family dynamics (including CEC, adopted and CYP with SGOs)</t>
        </is>
      </c>
    </row>
    <row r="414" outlineLevel="2" ht="23.25" customHeight="1" s="128">
      <c r="D414" s="139" t="inlineStr">
        <is>
          <t>Prompt</t>
        </is>
      </c>
      <c r="F414" s="177" t="inlineStr">
        <is>
          <t>Siblings, extended family, links and relationship to school and education</t>
        </is>
      </c>
    </row>
    <row r="415" outlineLevel="2" ht="15" customHeight="1" s="128">
      <c r="D415" s="139" t="inlineStr">
        <is>
          <t>Prompt</t>
        </is>
      </c>
      <c r="F415" s="177" t="inlineStr">
        <is>
          <t>Family stressors</t>
        </is>
      </c>
    </row>
    <row r="416" outlineLevel="2" ht="15" customHeight="1" s="128">
      <c r="D416" s="139" t="inlineStr">
        <is>
          <t>Prompt</t>
        </is>
      </c>
      <c r="F416" s="177" t="inlineStr">
        <is>
          <t>Financial stress</t>
        </is>
      </c>
    </row>
    <row r="417" outlineLevel="2" ht="15" customHeight="1" s="128">
      <c r="D417" s="139" t="inlineStr">
        <is>
          <t>Prompt</t>
        </is>
      </c>
      <c r="F417" s="177" t="inlineStr">
        <is>
          <t>Housing</t>
        </is>
      </c>
    </row>
    <row r="418" outlineLevel="2" ht="15" customHeight="1" s="128">
      <c r="D418" s="139" t="inlineStr">
        <is>
          <t>Prompt</t>
        </is>
      </c>
      <c r="F418" s="177" t="inlineStr">
        <is>
          <t>Home learning environment</t>
        </is>
      </c>
    </row>
    <row r="419" outlineLevel="2" ht="15" customHeight="1" s="128">
      <c r="D419" s="139" t="inlineStr">
        <is>
          <t>Prompt</t>
        </is>
      </c>
      <c r="F419" s="177" t="inlineStr">
        <is>
          <t>Parental attitude to school/education</t>
        </is>
      </c>
    </row>
    <row r="420" outlineLevel="2" ht="15" customHeight="1" s="128">
      <c r="D420" s="139" t="inlineStr">
        <is>
          <t>Prompt</t>
        </is>
      </c>
      <c r="F420" s="177" t="inlineStr">
        <is>
          <t>Trauma/significant life events</t>
        </is>
      </c>
    </row>
    <row r="421" outlineLevel="2" ht="15" customHeight="1" s="128">
      <c r="D421" s="139" t="inlineStr">
        <is>
          <t>Prompt</t>
        </is>
      </c>
      <c r="F421" s="177" t="inlineStr">
        <is>
          <t>Adverse childhood events</t>
        </is>
      </c>
    </row>
    <row r="422" outlineLevel="2" ht="15" customHeight="1" s="128">
      <c r="D422" s="139" t="inlineStr">
        <is>
          <t>Prompt</t>
        </is>
      </c>
      <c r="F422" s="177" t="inlineStr">
        <is>
          <t>Family views</t>
        </is>
      </c>
    </row>
    <row r="423" outlineLevel="2" ht="15" customHeight="1" s="128">
      <c r="D423" s="139" t="inlineStr">
        <is>
          <t>Prompt</t>
        </is>
      </c>
      <c r="F423" s="177" t="inlineStr">
        <is>
          <t>Bereavements/relational losses</t>
        </is>
      </c>
    </row>
    <row r="424" outlineLevel="2" ht="45.75" customHeight="1" s="128">
      <c r="D424" s="139" t="inlineStr">
        <is>
          <t>Prompt</t>
        </is>
      </c>
      <c r="F424" s="177" t="inlineStr">
        <is>
          <t>Key adults / members of staff (significant relationships both positive and negative in and out of school) and level of school commitment to child</t>
        </is>
      </c>
    </row>
    <row r="425" outlineLevel="2" ht="15" customHeight="1" s="128">
      <c r="D425" s="139" t="inlineStr">
        <is>
          <t>Prompt</t>
        </is>
      </c>
      <c r="F425" s="177" t="inlineStr">
        <is>
          <t>Travel distance to school</t>
        </is>
      </c>
    </row>
    <row r="426" outlineLevel="2" ht="15" customHeight="1" s="128">
      <c r="D426" s="139" t="inlineStr">
        <is>
          <t>Prompt</t>
        </is>
      </c>
      <c r="F426" s="177" t="inlineStr">
        <is>
          <t>School attendance</t>
        </is>
      </c>
    </row>
    <row r="427" outlineLevel="2" ht="15" customHeight="1" s="128">
      <c r="D427" s="139" t="inlineStr">
        <is>
          <t>Prompt</t>
        </is>
      </c>
      <c r="F427" s="177" t="inlineStr">
        <is>
          <t>Child's views/preferences</t>
        </is>
      </c>
    </row>
    <row r="428" outlineLevel="2" ht="15" customHeight="1" s="128">
      <c r="D428" s="139" t="inlineStr">
        <is>
          <t>Prompt</t>
        </is>
      </c>
      <c r="F428" s="177" t="inlineStr">
        <is>
          <t>School-parent relationship</t>
        </is>
      </c>
    </row>
    <row r="429" outlineLevel="2" ht="15" customHeight="1" s="128">
      <c r="D429" s="139" t="inlineStr">
        <is>
          <t>Prompt</t>
        </is>
      </c>
      <c r="F429" s="177" t="inlineStr">
        <is>
          <t>Peer group dynamics</t>
        </is>
      </c>
    </row>
    <row r="430" outlineLevel="2" ht="15" customHeight="1" s="128">
      <c r="D430" s="139" t="inlineStr">
        <is>
          <t>Prompt</t>
        </is>
      </c>
      <c r="F430" s="177" t="inlineStr">
        <is>
          <t>School learning environment</t>
        </is>
      </c>
    </row>
    <row r="431" outlineLevel="2" ht="15" customHeight="1" s="128">
      <c r="D431" s="139" t="inlineStr">
        <is>
          <t>Prompt</t>
        </is>
      </c>
      <c r="F431" s="177" t="inlineStr">
        <is>
          <t>Access to interventions and support</t>
        </is>
      </c>
    </row>
    <row r="432" outlineLevel="2" ht="15" customHeight="1" s="128">
      <c r="D432" s="139" t="inlineStr">
        <is>
          <t>Prompt</t>
        </is>
      </c>
      <c r="F432" s="177" t="inlineStr">
        <is>
          <t>Curriculum/exam boards</t>
        </is>
      </c>
    </row>
    <row r="433" outlineLevel="2" ht="15" customHeight="1" s="128">
      <c r="D433" s="139" t="inlineStr">
        <is>
          <t>Prompt</t>
        </is>
      </c>
      <c r="F433" s="177" t="inlineStr">
        <is>
          <t>Teacher expectations</t>
        </is>
      </c>
    </row>
    <row r="434" outlineLevel="2" ht="23.25" customHeight="1" s="128">
      <c r="D434" s="139" t="inlineStr">
        <is>
          <t>Prompt</t>
        </is>
      </c>
      <c r="F434" s="177" t="inlineStr">
        <is>
          <t>Teacher/staff understanding/knowledge</t>
        </is>
      </c>
    </row>
    <row r="435" outlineLevel="2" ht="15" customHeight="1" s="128">
      <c r="D435" s="139" t="inlineStr">
        <is>
          <t>Prompt</t>
        </is>
      </c>
      <c r="F435" s="177" t="inlineStr">
        <is>
          <t>Attainment-based grouping</t>
        </is>
      </c>
    </row>
    <row r="436" outlineLevel="2" ht="23.25" customHeight="1" s="128">
      <c r="D436" s="139" t="inlineStr">
        <is>
          <t>Prompt</t>
        </is>
      </c>
      <c r="F436" s="177" t="inlineStr">
        <is>
          <t>Influences in school and the local community</t>
        </is>
      </c>
    </row>
    <row r="437" outlineLevel="2" ht="90.75" customHeight="1" s="128">
      <c r="D437" s="139" t="inlineStr">
        <is>
          <t>Prompt</t>
        </is>
      </c>
      <c r="F437" s="177" t="inlineStr">
        <is>
          <t>Other agency involvement — Police, YOT, CAMHS, Speech and Language Service, Fair Access, SENAT, Virtual School, SGO Advisor, Intensive Planning Team, Prevent, CSE, Early Years, School Nurse, Portage, Early Help, Social and Caring Services Health Services</t>
        </is>
      </c>
    </row>
    <row r="438" ht="15" customHeight="1" s="128">
      <c r="A438" s="179" t="n"/>
      <c r="B438" s="179" t="n"/>
      <c r="C438" s="179" t="n"/>
      <c r="D438" s="179" t="inlineStr">
        <is>
          <t>IFF domain</t>
        </is>
      </c>
      <c r="E438" s="179" t="inlineStr">
        <is>
          <t>Within-Child — Biological Factors</t>
        </is>
      </c>
      <c r="F438" s="179" t="n"/>
      <c r="G438" s="179" t="n"/>
      <c r="H438" s="179" t="n"/>
      <c r="I438" s="179" t="n"/>
      <c r="J438" s="179" t="n"/>
      <c r="K438" s="179" t="n"/>
      <c r="L438" s="179" t="n"/>
      <c r="M438" s="179" t="n"/>
      <c r="N438" s="179" t="n"/>
      <c r="O438" s="179" t="n"/>
      <c r="P438" s="179" t="n"/>
      <c r="Q438" s="179" t="n"/>
      <c r="R438" s="179" t="n"/>
      <c r="S438" s="179" t="n"/>
      <c r="T438" s="179" t="n"/>
      <c r="U438" s="179" t="n"/>
      <c r="V438" s="179" t="n"/>
      <c r="W438" s="179" t="n"/>
      <c r="X438" s="179" t="n"/>
      <c r="Y438" s="179" t="n"/>
      <c r="Z438" s="179" t="n"/>
      <c r="AA438" s="179" t="n"/>
      <c r="AB438" s="179" t="n"/>
      <c r="AC438" s="179" t="n"/>
      <c r="AD438" s="179" t="n"/>
      <c r="AE438" s="179" t="n"/>
      <c r="AF438" s="179" t="n"/>
      <c r="AG438" s="179" t="n"/>
      <c r="AH438" s="179" t="n"/>
      <c r="AI438" s="179" t="n"/>
      <c r="AJ438" s="179" t="n"/>
      <c r="AK438" s="179" t="n"/>
    </row>
    <row r="439" outlineLevel="2" ht="45.75" customHeight="1" s="128">
      <c r="D439" s="139" t="inlineStr">
        <is>
          <t>Prompt</t>
        </is>
      </c>
      <c r="F439" s="177" t="inlineStr">
        <is>
          <t>Family history including early development, physical development, medical conditions and diagnoses/difficulties</t>
        </is>
      </c>
    </row>
    <row r="440" outlineLevel="2" ht="15" customHeight="1" s="128">
      <c r="D440" s="139" t="inlineStr">
        <is>
          <t>Prompt</t>
        </is>
      </c>
      <c r="F440" s="177" t="inlineStr">
        <is>
          <t>General health</t>
        </is>
      </c>
    </row>
    <row r="441" outlineLevel="2" ht="15" customHeight="1" s="128">
      <c r="D441" s="139" t="inlineStr">
        <is>
          <t>Prompt</t>
        </is>
      </c>
      <c r="F441" s="177" t="inlineStr">
        <is>
          <t>Medication</t>
        </is>
      </c>
    </row>
    <row r="442" outlineLevel="2" ht="15" customHeight="1" s="128">
      <c r="D442" s="139" t="inlineStr">
        <is>
          <t>Prompt</t>
        </is>
      </c>
      <c r="F442" s="177" t="inlineStr">
        <is>
          <t>Dietary needs</t>
        </is>
      </c>
    </row>
    <row r="443" outlineLevel="2" ht="15" customHeight="1" s="128">
      <c r="D443" s="139" t="inlineStr">
        <is>
          <t>Prompt</t>
        </is>
      </c>
      <c r="F443" s="177" t="inlineStr">
        <is>
          <t>Sensory needs</t>
        </is>
      </c>
    </row>
    <row r="444" outlineLevel="2" ht="15" customHeight="1" s="128">
      <c r="D444" s="139" t="inlineStr">
        <is>
          <t>Prompt</t>
        </is>
      </c>
      <c r="F444" s="177" t="inlineStr">
        <is>
          <t>Addictions e.g. smoking, drink, drugs</t>
        </is>
      </c>
    </row>
    <row r="445" ht="15" customHeight="1" s="128">
      <c r="A445" s="179" t="n"/>
      <c r="B445" s="179" t="n"/>
      <c r="C445" s="179" t="n"/>
      <c r="D445" s="179" t="inlineStr">
        <is>
          <t>IFF domain</t>
        </is>
      </c>
      <c r="E445" s="179" t="inlineStr">
        <is>
          <t>Within-Child — Cognitive Factors</t>
        </is>
      </c>
      <c r="F445" s="179" t="n"/>
      <c r="G445" s="179" t="n"/>
      <c r="H445" s="179" t="n"/>
      <c r="I445" s="179" t="n"/>
      <c r="J445" s="179" t="n"/>
      <c r="K445" s="179" t="n"/>
      <c r="L445" s="179" t="n"/>
      <c r="M445" s="179" t="n"/>
      <c r="N445" s="179" t="n"/>
      <c r="O445" s="179" t="n"/>
      <c r="P445" s="179" t="n"/>
      <c r="Q445" s="179" t="n"/>
      <c r="R445" s="179" t="n"/>
      <c r="S445" s="179" t="n"/>
      <c r="T445" s="179" t="n"/>
      <c r="U445" s="179" t="n"/>
      <c r="V445" s="179" t="n"/>
      <c r="W445" s="179" t="n"/>
      <c r="X445" s="179" t="n"/>
      <c r="Y445" s="179" t="n"/>
      <c r="Z445" s="179" t="n"/>
      <c r="AA445" s="179" t="n"/>
      <c r="AB445" s="179" t="n"/>
      <c r="AC445" s="179" t="n"/>
      <c r="AD445" s="179" t="n"/>
      <c r="AE445" s="179" t="n"/>
      <c r="AF445" s="179" t="n"/>
      <c r="AG445" s="179" t="n"/>
      <c r="AH445" s="179" t="n"/>
      <c r="AI445" s="179" t="n"/>
      <c r="AJ445" s="179" t="n"/>
      <c r="AK445" s="179" t="n"/>
    </row>
    <row r="446" outlineLevel="2" ht="15" customHeight="1" s="128">
      <c r="D446" s="139" t="inlineStr">
        <is>
          <t>Assessable factors</t>
        </is>
      </c>
      <c r="F446" s="177" t="inlineStr">
        <is>
          <t>Memory</t>
        </is>
      </c>
    </row>
    <row r="447" outlineLevel="2" ht="15" customHeight="1" s="128">
      <c r="D447" s="139" t="inlineStr">
        <is>
          <t>Assessable factors</t>
        </is>
      </c>
      <c r="F447" s="177" t="inlineStr">
        <is>
          <t>Language</t>
        </is>
      </c>
    </row>
    <row r="448" outlineLevel="2" ht="34.5" customHeight="1" s="128">
      <c r="D448" s="139" t="inlineStr">
        <is>
          <t>Assessable factors</t>
        </is>
      </c>
      <c r="F448" s="177" t="inlineStr">
        <is>
          <t>Executive functioning: including emotional and behavioural regulation/development</t>
        </is>
      </c>
    </row>
    <row r="449" outlineLevel="2" ht="15" customHeight="1" s="128">
      <c r="D449" s="139" t="inlineStr">
        <is>
          <t>Assessable factors</t>
        </is>
      </c>
      <c r="F449" s="177" t="inlineStr">
        <is>
          <t>Attention and concentration</t>
        </is>
      </c>
    </row>
    <row r="450" outlineLevel="2" ht="15" customHeight="1" s="128">
      <c r="D450" s="139" t="inlineStr">
        <is>
          <t>Assessable factors</t>
        </is>
      </c>
      <c r="F450" s="177" t="inlineStr">
        <is>
          <t>Visual spatial ability</t>
        </is>
      </c>
    </row>
    <row r="451" outlineLevel="2" ht="15" customHeight="1" s="128">
      <c r="D451" s="139" t="inlineStr">
        <is>
          <t>Assessable factors</t>
        </is>
      </c>
      <c r="F451" s="177" t="inlineStr">
        <is>
          <t>Phonological processing</t>
        </is>
      </c>
    </row>
    <row r="452" outlineLevel="2" ht="15" customHeight="1" s="128">
      <c r="D452" s="139" t="inlineStr">
        <is>
          <t>Assessable factors</t>
        </is>
      </c>
      <c r="F452" s="177" t="inlineStr">
        <is>
          <t>Processing speed</t>
        </is>
      </c>
    </row>
    <row r="453" outlineLevel="2" ht="15" customHeight="1" s="128">
      <c r="D453" s="139" t="inlineStr">
        <is>
          <t>Assessable factors</t>
        </is>
      </c>
      <c r="F453" s="177" t="inlineStr">
        <is>
          <t>Non-verbal reasoning</t>
        </is>
      </c>
    </row>
    <row r="454" outlineLevel="2" ht="23.25" customHeight="1" s="128">
      <c r="D454" s="139" t="inlineStr">
        <is>
          <t>Assessable factors</t>
        </is>
      </c>
      <c r="F454" s="177" t="inlineStr">
        <is>
          <t>Verbal ability (e.g. word problems, verbal presentation)</t>
        </is>
      </c>
    </row>
    <row r="455" outlineLevel="2" ht="15" customHeight="1" s="128">
      <c r="D455" s="139" t="inlineStr">
        <is>
          <t>Assessable factors</t>
        </is>
      </c>
      <c r="F455" s="177" t="inlineStr">
        <is>
          <t>Logical reasoning ability</t>
        </is>
      </c>
    </row>
    <row r="456" outlineLevel="2" ht="15" customHeight="1" s="128">
      <c r="D456" s="139" t="inlineStr">
        <is>
          <t>Assessable factors</t>
        </is>
      </c>
      <c r="F456" s="177" t="inlineStr">
        <is>
          <t>Literacy skills</t>
        </is>
      </c>
    </row>
    <row r="457" outlineLevel="2" ht="15" customHeight="1" s="128">
      <c r="D457" s="139" t="inlineStr">
        <is>
          <t>Assessable factors</t>
        </is>
      </c>
      <c r="F457" s="177" t="inlineStr">
        <is>
          <t>Attainment</t>
        </is>
      </c>
    </row>
    <row r="458" outlineLevel="2" ht="34.5" customHeight="1" s="128">
      <c r="D458" s="139" t="inlineStr">
        <is>
          <t>Identified through observation and consultation</t>
        </is>
      </c>
      <c r="F458" s="177" t="inlineStr">
        <is>
          <t>Signs of developmental trauma impacting on ability to participate in learning</t>
        </is>
      </c>
    </row>
    <row r="459" outlineLevel="2" ht="21.75" customHeight="1" s="128">
      <c r="D459" s="139" t="inlineStr">
        <is>
          <t>Identified through observation and consultation</t>
        </is>
      </c>
      <c r="F459" s="177" t="inlineStr">
        <is>
          <t>Ability to problem-solve</t>
        </is>
      </c>
    </row>
    <row r="460" outlineLevel="2" ht="21.75" customHeight="1" s="128">
      <c r="D460" s="139" t="inlineStr">
        <is>
          <t>Identified through observation and consultation</t>
        </is>
      </c>
      <c r="F460" s="177" t="inlineStr">
        <is>
          <t>Flexibility of thought and action</t>
        </is>
      </c>
    </row>
    <row r="461" outlineLevel="2" ht="21.75" customHeight="1" s="128">
      <c r="D461" s="139" t="inlineStr">
        <is>
          <t>Identified through observation and consultation</t>
        </is>
      </c>
      <c r="F461" s="177" t="inlineStr">
        <is>
          <t>Self-awareness</t>
        </is>
      </c>
    </row>
    <row r="462" ht="15" customHeight="1" s="128">
      <c r="A462" s="179" t="n"/>
      <c r="B462" s="179" t="n"/>
      <c r="C462" s="179" t="n"/>
      <c r="D462" s="179" t="inlineStr">
        <is>
          <t>IFF domain</t>
        </is>
      </c>
      <c r="E462" s="179" t="inlineStr">
        <is>
          <t>Within-Child — Affective Factors</t>
        </is>
      </c>
      <c r="F462" s="179" t="n"/>
      <c r="G462" s="179" t="n"/>
      <c r="H462" s="179" t="n"/>
      <c r="I462" s="179" t="n"/>
      <c r="J462" s="179" t="n"/>
      <c r="K462" s="179" t="n"/>
      <c r="L462" s="179" t="n"/>
      <c r="M462" s="179" t="n"/>
      <c r="N462" s="179" t="n"/>
      <c r="O462" s="179" t="n"/>
      <c r="P462" s="179" t="n"/>
      <c r="Q462" s="179" t="n"/>
      <c r="R462" s="179" t="n"/>
      <c r="S462" s="179" t="n"/>
      <c r="T462" s="179" t="n"/>
      <c r="U462" s="179" t="n"/>
      <c r="V462" s="179" t="n"/>
      <c r="W462" s="179" t="n"/>
      <c r="X462" s="179" t="n"/>
      <c r="Y462" s="179" t="n"/>
      <c r="Z462" s="179" t="n"/>
      <c r="AA462" s="179" t="n"/>
      <c r="AB462" s="179" t="n"/>
      <c r="AC462" s="179" t="n"/>
      <c r="AD462" s="179" t="n"/>
      <c r="AE462" s="179" t="n"/>
      <c r="AF462" s="179" t="n"/>
      <c r="AG462" s="179" t="n"/>
      <c r="AH462" s="179" t="n"/>
      <c r="AI462" s="179" t="n"/>
      <c r="AJ462" s="179" t="n"/>
      <c r="AK462" s="179" t="n"/>
    </row>
    <row r="463" outlineLevel="2" ht="15" customHeight="1" s="128">
      <c r="D463" s="139" t="inlineStr">
        <is>
          <t>Prompt</t>
        </is>
      </c>
      <c r="F463" s="177" t="inlineStr">
        <is>
          <t>Experience of developmental trauma</t>
        </is>
      </c>
    </row>
    <row r="464" outlineLevel="2" ht="15" customHeight="1" s="128">
      <c r="D464" s="139" t="inlineStr">
        <is>
          <t>Prompt</t>
        </is>
      </c>
      <c r="F464" s="177" t="inlineStr">
        <is>
          <t>Confidence</t>
        </is>
      </c>
    </row>
    <row r="465" outlineLevel="2" ht="15" customHeight="1" s="128">
      <c r="D465" s="139" t="inlineStr">
        <is>
          <t>Prompt</t>
        </is>
      </c>
      <c r="F465" s="177" t="inlineStr">
        <is>
          <t>Self-esteem</t>
        </is>
      </c>
    </row>
    <row r="466" outlineLevel="2" ht="23.25" customHeight="1" s="128">
      <c r="D466" s="139" t="inlineStr">
        <is>
          <t>Prompt</t>
        </is>
      </c>
      <c r="F466" s="177" t="inlineStr">
        <is>
          <t>Emotional understanding and expression</t>
        </is>
      </c>
    </row>
    <row r="467" outlineLevel="2" ht="15" customHeight="1" s="128">
      <c r="D467" s="139" t="inlineStr">
        <is>
          <t>Prompt</t>
        </is>
      </c>
      <c r="F467" s="177" t="inlineStr">
        <is>
          <t>Sense of enablement</t>
        </is>
      </c>
    </row>
    <row r="468" outlineLevel="2" ht="15" customHeight="1" s="128">
      <c r="D468" s="139" t="inlineStr">
        <is>
          <t>Prompt</t>
        </is>
      </c>
      <c r="F468" s="177" t="inlineStr">
        <is>
          <t>Sense of self</t>
        </is>
      </c>
    </row>
    <row r="469" outlineLevel="2" ht="15" customHeight="1" s="128">
      <c r="D469" s="139" t="inlineStr">
        <is>
          <t>Prompt</t>
        </is>
      </c>
      <c r="F469" s="177" t="inlineStr">
        <is>
          <t>Sense of belonging</t>
        </is>
      </c>
    </row>
    <row r="470" outlineLevel="2" ht="15" customHeight="1" s="128">
      <c r="D470" s="139" t="inlineStr">
        <is>
          <t>Prompt</t>
        </is>
      </c>
      <c r="F470" s="177" t="inlineStr">
        <is>
          <t>Motivation (intrinsic or extrinsic)</t>
        </is>
      </c>
    </row>
    <row r="471" outlineLevel="2" ht="15" customHeight="1" s="128">
      <c r="D471" s="139" t="inlineStr">
        <is>
          <t>Prompt</t>
        </is>
      </c>
      <c r="F471" s="177" t="inlineStr">
        <is>
          <t>Resiliency</t>
        </is>
      </c>
    </row>
    <row r="472" outlineLevel="2" ht="15" customHeight="1" s="128">
      <c r="D472" s="139" t="inlineStr">
        <is>
          <t>Prompt</t>
        </is>
      </c>
      <c r="F472" s="177" t="inlineStr">
        <is>
          <t>Mood</t>
        </is>
      </c>
    </row>
    <row r="473" outlineLevel="2" ht="15" customHeight="1" s="128">
      <c r="D473" s="139" t="inlineStr">
        <is>
          <t>Prompt</t>
        </is>
      </c>
      <c r="F473" s="177" t="inlineStr">
        <is>
          <t>Anxiety</t>
        </is>
      </c>
    </row>
    <row r="474" outlineLevel="2" ht="15" customHeight="1" s="128">
      <c r="D474" s="139" t="inlineStr">
        <is>
          <t>Prompt</t>
        </is>
      </c>
      <c r="F474" s="177" t="inlineStr">
        <is>
          <t>Aspirations</t>
        </is>
      </c>
    </row>
    <row r="475" outlineLevel="2" ht="15" customHeight="1" s="128">
      <c r="D475" s="139" t="inlineStr">
        <is>
          <t>Prompt</t>
        </is>
      </c>
      <c r="F475" s="177" t="inlineStr">
        <is>
          <t>Perseverance / determination</t>
        </is>
      </c>
    </row>
    <row r="476" outlineLevel="2" ht="15" customHeight="1" s="128">
      <c r="D476" s="139" t="inlineStr">
        <is>
          <t>Prompt</t>
        </is>
      </c>
      <c r="F476" s="177" t="inlineStr">
        <is>
          <t>Sense of humour</t>
        </is>
      </c>
    </row>
    <row r="477" outlineLevel="2" ht="15" customHeight="1" s="128">
      <c r="D477" s="139" t="inlineStr">
        <is>
          <t>Prompt</t>
        </is>
      </c>
      <c r="F477" s="177" t="inlineStr">
        <is>
          <t>Self-control</t>
        </is>
      </c>
    </row>
    <row r="478" outlineLevel="2" ht="15" customHeight="1" s="128">
      <c r="D478" s="139" t="inlineStr">
        <is>
          <t>Prompt</t>
        </is>
      </c>
      <c r="F478" s="177" t="inlineStr">
        <is>
          <t>Social skills</t>
        </is>
      </c>
    </row>
    <row r="479" outlineLevel="2" ht="15" customHeight="1" s="128">
      <c r="D479" s="139" t="inlineStr">
        <is>
          <t>Prompt</t>
        </is>
      </c>
      <c r="F479" s="177" t="inlineStr">
        <is>
          <t>Empathy</t>
        </is>
      </c>
    </row>
    <row r="480" ht="15" customHeight="1" s="128">
      <c r="A480" s="179" t="n"/>
      <c r="B480" s="179" t="n"/>
      <c r="C480" s="179" t="n"/>
      <c r="D480" s="179" t="inlineStr">
        <is>
          <t>IFF domain</t>
        </is>
      </c>
      <c r="E480" s="179" t="inlineStr">
        <is>
          <t>Within-Child — Behavioural Factors</t>
        </is>
      </c>
      <c r="F480" s="179" t="n"/>
      <c r="G480" s="179" t="n"/>
      <c r="H480" s="179" t="n"/>
      <c r="I480" s="179" t="n"/>
      <c r="J480" s="179" t="n"/>
      <c r="K480" s="179" t="n"/>
      <c r="L480" s="179" t="n"/>
      <c r="M480" s="179" t="n"/>
      <c r="N480" s="179" t="n"/>
      <c r="O480" s="179" t="n"/>
      <c r="P480" s="179" t="n"/>
      <c r="Q480" s="179" t="n"/>
      <c r="R480" s="179" t="n"/>
      <c r="S480" s="179" t="n"/>
      <c r="T480" s="179" t="n"/>
      <c r="U480" s="179" t="n"/>
      <c r="V480" s="179" t="n"/>
      <c r="W480" s="179" t="n"/>
      <c r="X480" s="179" t="n"/>
      <c r="Y480" s="179" t="n"/>
      <c r="Z480" s="179" t="n"/>
      <c r="AA480" s="179" t="n"/>
      <c r="AB480" s="179" t="n"/>
      <c r="AC480" s="179" t="n"/>
      <c r="AD480" s="179" t="n"/>
      <c r="AE480" s="179" t="n"/>
      <c r="AF480" s="179" t="n"/>
      <c r="AG480" s="179" t="n"/>
      <c r="AH480" s="179" t="n"/>
      <c r="AI480" s="179" t="n"/>
      <c r="AJ480" s="179" t="n"/>
      <c r="AK480" s="179" t="n"/>
    </row>
    <row r="481" outlineLevel="2" ht="23.25" customHeight="1" s="128">
      <c r="D481" s="139" t="inlineStr">
        <is>
          <t>Prompt</t>
        </is>
      </c>
      <c r="F481" s="177" t="inlineStr">
        <is>
          <t>Ability to develop and maintain friendships and relationships</t>
        </is>
      </c>
    </row>
    <row r="482" outlineLevel="2" ht="15" customHeight="1" s="128">
      <c r="D482" s="139" t="inlineStr">
        <is>
          <t>Prompt</t>
        </is>
      </c>
      <c r="F482" s="177" t="inlineStr">
        <is>
          <t>Positive achievements</t>
        </is>
      </c>
    </row>
    <row r="483" outlineLevel="2" ht="23.25" customHeight="1" s="128">
      <c r="D483" s="139" t="inlineStr">
        <is>
          <t>Prompt</t>
        </is>
      </c>
      <c r="F483" s="177" t="inlineStr">
        <is>
          <t>Care/concern for others, volunteering, helping</t>
        </is>
      </c>
    </row>
    <row r="484" outlineLevel="2" ht="15" customHeight="1" s="128">
      <c r="D484" s="139" t="inlineStr">
        <is>
          <t>Prompt</t>
        </is>
      </c>
      <c r="F484" s="177" t="inlineStr">
        <is>
          <t>Dangerous or risk-taking behaviour</t>
        </is>
      </c>
    </row>
    <row r="485" outlineLevel="2" ht="15" customHeight="1" s="128">
      <c r="D485" s="139" t="inlineStr">
        <is>
          <t>Prompt</t>
        </is>
      </c>
      <c r="F485" s="177" t="inlineStr">
        <is>
          <t>Verbal / physical abuse</t>
        </is>
      </c>
    </row>
    <row r="486" outlineLevel="2" ht="15" customHeight="1" s="128">
      <c r="D486" s="139" t="inlineStr">
        <is>
          <t>Prompt</t>
        </is>
      </c>
      <c r="F486" s="177" t="inlineStr">
        <is>
          <t>Self-harm</t>
        </is>
      </c>
    </row>
    <row r="487" outlineLevel="2" ht="15" customHeight="1" s="128">
      <c r="D487" s="139" t="inlineStr">
        <is>
          <t>Prompt</t>
        </is>
      </c>
      <c r="F487" s="177" t="inlineStr">
        <is>
          <t>Bullying</t>
        </is>
      </c>
    </row>
    <row r="488" outlineLevel="2" ht="15" customHeight="1" s="128">
      <c r="D488" s="139" t="inlineStr">
        <is>
          <t>Prompt</t>
        </is>
      </c>
      <c r="F488" s="177" t="inlineStr">
        <is>
          <t>Truancy</t>
        </is>
      </c>
    </row>
    <row r="489" ht="15" customHeight="1" s="128">
      <c r="A489" s="179" t="n"/>
      <c r="B489" s="179" t="n"/>
      <c r="C489" s="179" t="n"/>
      <c r="D489" s="179" t="inlineStr">
        <is>
          <t>Irish equivalents</t>
        </is>
      </c>
      <c r="E489" s="179" t="inlineStr">
        <is>
          <t>UK term on the sheet</t>
        </is>
      </c>
      <c r="F489" s="179" t="inlineStr">
        <is>
          <t>What it maps to in Irish practice</t>
        </is>
      </c>
      <c r="G489" s="179" t="n"/>
      <c r="H489" s="179" t="n"/>
      <c r="I489" s="179" t="n"/>
      <c r="J489" s="179" t="n"/>
      <c r="K489" s="179" t="n"/>
      <c r="L489" s="179" t="n"/>
      <c r="M489" s="179" t="n"/>
      <c r="N489" s="179" t="n"/>
      <c r="O489" s="179" t="n"/>
      <c r="P489" s="179" t="n"/>
      <c r="Q489" s="179" t="n"/>
      <c r="R489" s="179" t="n"/>
      <c r="S489" s="179" t="n"/>
      <c r="T489" s="179" t="n"/>
      <c r="U489" s="179" t="n"/>
      <c r="V489" s="179" t="n"/>
      <c r="W489" s="179" t="n"/>
      <c r="X489" s="179" t="n"/>
      <c r="Y489" s="179" t="n"/>
      <c r="Z489" s="179" t="n"/>
      <c r="AA489" s="179" t="n"/>
      <c r="AB489" s="179" t="n"/>
      <c r="AC489" s="179" t="n"/>
      <c r="AD489" s="179" t="n"/>
      <c r="AE489" s="179" t="n"/>
      <c r="AF489" s="179" t="n"/>
      <c r="AG489" s="179" t="n"/>
      <c r="AH489" s="179" t="n"/>
      <c r="AI489" s="179" t="n"/>
      <c r="AJ489" s="179" t="n"/>
      <c r="AK489" s="179" t="n"/>
    </row>
    <row r="490" outlineLevel="2" ht="34.5" customHeight="1" s="128">
      <c r="E490" s="182" t="inlineStr">
        <is>
          <t>CEC (Children in the care of the Local Authority)</t>
        </is>
      </c>
      <c r="F490" s="177" t="inlineStr">
        <is>
          <t>Children in the care of Tusla; care-experienced children</t>
        </is>
      </c>
    </row>
    <row r="491" outlineLevel="2" ht="34.5" customHeight="1" s="128">
      <c r="E491" s="182" t="inlineStr">
        <is>
          <t>SGO (Special Guardianship Order)</t>
        </is>
      </c>
      <c r="F491" s="177" t="inlineStr">
        <is>
          <t>No direct equivalent — relative foster care or guardianship arrangements under Tusla</t>
        </is>
      </c>
    </row>
    <row r="492" outlineLevel="2" ht="34.5" customHeight="1" s="128">
      <c r="E492" s="182" t="inlineStr">
        <is>
          <t>Virtual School</t>
        </is>
      </c>
      <c r="F492" s="177" t="inlineStr">
        <is>
          <t>No equivalent — Tusla Educational Welfare Service holds the nearest function</t>
        </is>
      </c>
    </row>
    <row r="493" outlineLevel="2" ht="23.25" customHeight="1" s="128">
      <c r="E493" s="182" t="inlineStr">
        <is>
          <t>YOT (Youth Offending Team)</t>
        </is>
      </c>
      <c r="F493" s="177" t="inlineStr">
        <is>
          <t>Garda Youth Diversion Programme; Probation Service</t>
        </is>
      </c>
    </row>
    <row r="494" outlineLevel="2" ht="23.25" customHeight="1" s="128">
      <c r="E494" s="182" t="inlineStr">
        <is>
          <t>SENAT (SEN Assessment Team)</t>
        </is>
      </c>
      <c r="F494" s="177" t="inlineStr">
        <is>
          <t>SENO / NCSE</t>
        </is>
      </c>
    </row>
    <row r="495" outlineLevel="2" ht="23.25" customHeight="1" s="128">
      <c r="E495" s="182" t="inlineStr">
        <is>
          <t>Fair Access</t>
        </is>
      </c>
      <c r="F495" s="177" t="inlineStr">
        <is>
          <t>Section 29 appeals; Tusla Educational Welfare Service</t>
        </is>
      </c>
    </row>
    <row r="496" outlineLevel="2" ht="23.25" customHeight="1" s="128">
      <c r="E496" s="182" t="inlineStr">
        <is>
          <t>Early Help</t>
        </is>
      </c>
      <c r="F496" s="177" t="inlineStr">
        <is>
          <t>Tusla Prevention, Partnership and Family Support; Meitheal</t>
        </is>
      </c>
    </row>
    <row r="497" outlineLevel="2" ht="23.25" customHeight="1" s="128">
      <c r="E497" s="182" t="inlineStr">
        <is>
          <t>Portage</t>
        </is>
      </c>
      <c r="F497" s="177" t="inlineStr">
        <is>
          <t>Early Intervention Team / CDNT under Progressing Disability Services</t>
        </is>
      </c>
    </row>
    <row r="498" outlineLevel="2" ht="15" customHeight="1" s="128">
      <c r="E498" s="182" t="inlineStr">
        <is>
          <t>School Nurse</t>
        </is>
      </c>
      <c r="F498" s="177" t="inlineStr">
        <is>
          <t>Public Health Nurse</t>
        </is>
      </c>
    </row>
    <row r="499" outlineLevel="2" ht="23.25" customHeight="1" s="128">
      <c r="E499" s="182" t="inlineStr">
        <is>
          <t>CSE (Child Sexual Exploitation team)</t>
        </is>
      </c>
      <c r="F499" s="177" t="inlineStr">
        <is>
          <t>Tusla child protection and welfare; Garda Protective Services Bureau</t>
        </is>
      </c>
    </row>
    <row r="500" outlineLevel="2" ht="15" customHeight="1" s="128">
      <c r="E500" s="182" t="inlineStr">
        <is>
          <t>Prevent</t>
        </is>
      </c>
      <c r="F500" s="177" t="inlineStr">
        <is>
          <t>No equivalent in Irish education policy</t>
        </is>
      </c>
    </row>
    <row r="501" outlineLevel="2" ht="23.25" customHeight="1" s="128">
      <c r="E501" s="182" t="inlineStr">
        <is>
          <t>Speech and Language Service</t>
        </is>
      </c>
      <c r="F501" s="177" t="inlineStr">
        <is>
          <t>HSE Primary Care SLT / CDNT</t>
        </is>
      </c>
    </row>
    <row r="502" outlineLevel="2" ht="15" customHeight="1" s="128">
      <c r="E502" s="182" t="inlineStr">
        <is>
          <t>CAMHS</t>
        </is>
      </c>
      <c r="F502" s="177" t="inlineStr">
        <is>
          <t>CAMHS — same name, HSE-operated</t>
        </is>
      </c>
    </row>
    <row r="503" outlineLevel="2" ht="23.25" customHeight="1" s="128">
      <c r="E503" s="182" t="inlineStr">
        <is>
          <t>Social and Caring Services</t>
        </is>
      </c>
      <c r="F503" s="177" t="inlineStr">
        <is>
          <t>Tusla; HSE Disability Services</t>
        </is>
      </c>
    </row>
    <row r="504" outlineLevel="2" ht="23.25" customHeight="1" s="128">
      <c r="E504" s="182" t="inlineStr">
        <is>
          <t>Intensive Planning Team</t>
        </is>
      </c>
      <c r="F504" s="177" t="inlineStr">
        <is>
          <t>Nearest equivalent is a Meitheal or a multi-disciplinary team around the child</t>
        </is>
      </c>
    </row>
    <row r="506" ht="21.75" customHeight="1" s="128">
      <c r="A506" s="142" t="inlineStr">
        <is>
          <t>PART D</t>
        </is>
      </c>
      <c r="B506" s="142" t="inlineStr">
        <is>
          <t>BY AGE BAND — WHAT PRESENTS AND WHAT YOU ASSESS</t>
        </is>
      </c>
      <c r="C506" s="142" t="n"/>
      <c r="D506" s="142" t="n"/>
      <c r="E506" s="142" t="inlineStr">
        <is>
          <t>Age band first. Then the NEPS referral form category. Then the area. Then four rows: what is diagnosed, what presents with no diagnosis, who they are referred to, and what you would actually assess at that age.</t>
        </is>
      </c>
      <c r="F506" s="142" t="n"/>
      <c r="G506" s="142" t="n"/>
      <c r="H506" s="142" t="n"/>
      <c r="I506" s="142" t="n"/>
      <c r="J506" s="142" t="n"/>
      <c r="K506" s="142" t="n"/>
      <c r="L506" s="142" t="n"/>
      <c r="M506" s="142" t="n"/>
      <c r="N506" s="142" t="n"/>
      <c r="O506" s="142" t="n"/>
      <c r="P506" s="142" t="n"/>
      <c r="Q506" s="142" t="n"/>
      <c r="R506" s="142" t="n"/>
      <c r="S506" s="142" t="n"/>
      <c r="T506" s="142" t="n"/>
      <c r="U506" s="142" t="n"/>
      <c r="V506" s="142" t="n"/>
      <c r="W506" s="142" t="n"/>
      <c r="X506" s="142" t="n"/>
      <c r="Y506" s="142" t="n"/>
      <c r="Z506" s="142" t="n"/>
      <c r="AA506" s="142" t="n"/>
      <c r="AB506" s="142" t="n"/>
      <c r="AC506" s="142" t="n"/>
      <c r="AD506" s="142" t="n"/>
      <c r="AE506" s="142" t="n"/>
      <c r="AF506" s="142" t="n"/>
      <c r="AG506" s="142" t="n"/>
      <c r="AH506" s="142" t="n"/>
      <c r="AI506" s="142" t="n"/>
      <c r="AJ506" s="142" t="n"/>
      <c r="AK506" s="142" t="n"/>
    </row>
    <row r="507" ht="19.5" customHeight="1" s="128">
      <c r="A507" s="147" t="inlineStr">
        <is>
          <t>BAND</t>
        </is>
      </c>
      <c r="B507" s="147" t="inlineStr">
        <is>
          <t>Early Years / Pre-School  (0–5 years)</t>
        </is>
      </c>
      <c r="C507" s="147" t="n"/>
      <c r="D507" s="147" t="n"/>
      <c r="E507" s="147" t="inlineStr">
        <is>
          <t>Everything below is what this age looks like</t>
        </is>
      </c>
      <c r="F507" s="147" t="n"/>
      <c r="G507" s="147" t="n"/>
      <c r="H507" s="147" t="n"/>
      <c r="I507" s="147" t="n"/>
      <c r="J507" s="147" t="n"/>
      <c r="K507" s="147" t="n"/>
      <c r="L507" s="147" t="n"/>
      <c r="M507" s="147" t="n"/>
      <c r="N507" s="147" t="n"/>
      <c r="O507" s="147" t="n"/>
      <c r="P507" s="147" t="n"/>
      <c r="Q507" s="147" t="n"/>
      <c r="R507" s="147" t="n"/>
      <c r="S507" s="147" t="n"/>
      <c r="T507" s="147" t="n"/>
      <c r="U507" s="147" t="n"/>
      <c r="V507" s="147" t="n"/>
      <c r="W507" s="147" t="n"/>
      <c r="X507" s="147" t="n"/>
      <c r="Y507" s="147" t="n"/>
      <c r="Z507" s="147" t="n"/>
      <c r="AA507" s="147" t="n"/>
      <c r="AB507" s="147" t="n"/>
      <c r="AC507" s="147" t="n"/>
      <c r="AD507" s="147" t="n"/>
      <c r="AE507" s="147" t="n"/>
      <c r="AF507" s="147" t="n"/>
      <c r="AG507" s="147" t="n"/>
      <c r="AH507" s="147" t="n"/>
      <c r="AI507" s="147" t="n"/>
      <c r="AJ507" s="147" t="n"/>
      <c r="AK507" s="147" t="n"/>
    </row>
    <row r="508" outlineLevel="2" ht="15" customHeight="1" s="128">
      <c r="A508" s="183" t="inlineStr">
        <is>
          <t>CAT</t>
        </is>
      </c>
      <c r="B508" s="183" t="inlineStr">
        <is>
          <t>Early Years / Pre-School  (0–5 years)</t>
        </is>
      </c>
      <c r="C508" s="183" t="inlineStr">
        <is>
          <t>1. LEARNING</t>
        </is>
      </c>
      <c r="D508" s="183" t="n"/>
      <c r="E508" s="183" t="inlineStr">
        <is>
          <t>6 areas present at this age</t>
        </is>
      </c>
      <c r="F508" s="183" t="n"/>
      <c r="G508" s="183" t="n"/>
      <c r="H508" s="183" t="n"/>
      <c r="I508" s="183" t="n"/>
      <c r="J508" s="183" t="n"/>
      <c r="K508" s="183" t="n"/>
      <c r="L508" s="183" t="n"/>
    </row>
    <row r="509" outlineLevel="2" ht="408.75" customHeight="1" s="128">
      <c r="A509" s="148" t="n"/>
      <c r="B509" s="149" t="inlineStr">
        <is>
          <t>Early Years / Pre-School  (0–5 years)</t>
        </is>
      </c>
      <c r="C509" s="149" t="inlineStr">
        <is>
          <t>1. LEARNING</t>
        </is>
      </c>
      <c r="D509" s="148" t="inlineStr">
        <is>
          <t>Everything for this area at this age</t>
        </is>
      </c>
      <c r="E509" s="184" t="inlineStr">
        <is>
          <t>5 dx · 15 pres · 0 tools</t>
        </is>
      </c>
      <c r="F509" s="164" t="inlineStr">
        <is>
          <t>1.1 Attention, concentration and work skills</t>
        </is>
      </c>
      <c r="G509" s="133" t="n"/>
      <c r="H509" s="148" t="n"/>
      <c r="I509" s="148" t="n"/>
      <c r="J509" s="148" t="n"/>
      <c r="K509" s="148" t="n"/>
      <c r="L509" s="148" t="n"/>
      <c r="M509" s="164" t="inlineStr">
        <is>
          <t>1 · DIAGNOSED — what it could be
ADHD — combined presentation — DSM-5-TR / ICD-11 6A05
ADHD — predominantly inattentive presentation — DSM-5-TR / ICD-11 6A05
ADHD — predominantly hyperactive/impulsive presentation — DSM-5-TR / ICD-11 6A05
Other specified ADHD — DSM-5-TR / ICD-11 6A05
Unspecified ADHD — DSM-5-TR / ICD-11 6A05</t>
        </is>
      </c>
      <c r="N509" s="164" t="inlineStr">
        <is>
          <t>2 · NOT DIAGNOSED — descriptive presentations
Working memory difficulty — Executive function profile, not a diagnosis
Inhibition difficulty — Executive function profile
Cognitive flexibility difficulty — Executive function profile
Planning and organisation difficulty — Executive function profile
Task initiation difficulty — Executive function profile
Self-monitoring difficulty — Executive function profile
Motivation and engagement with work — Added — not in the conditions index
Work rate and pace of output — Added
Homework completion and follow-through — Added
Organisation of materials, books and equipment — Added
Sustained attention in whole-class vs one-to-one — Added
Note-taking and recording from the board — Added
Study skills and revision strategy — Added
Help-seeking — knowing when and how to ask — Added
Fatigue, sleep and time-of-day effects on attention — Added</t>
        </is>
      </c>
      <c r="O509" s="164" t="inlineStr">
        <is>
          <t>3 · WHO THEY ARE REFERRED TO
CAMHS (complex or medication)
Primary Care
CAMHS
NEPS
GP if persistent</t>
        </is>
      </c>
      <c r="P509" s="164" t="inlineStr">
        <is>
          <t>4 · WHAT YOU WOULD DO AT THIS AGE
Structured play observation · developmental history with parent · Preschool/AIM staff consultation · Conners EC (3–6) · no standardised cognitive attention measure at this age — describe, do not score.</t>
        </is>
      </c>
    </row>
    <row r="510" outlineLevel="2" ht="408.75" customHeight="1" s="128">
      <c r="A510" s="148" t="n"/>
      <c r="B510" s="149" t="inlineStr">
        <is>
          <t>Early Years / Pre-School  (0–5 years)</t>
        </is>
      </c>
      <c r="C510" s="149" t="inlineStr">
        <is>
          <t>1. LEARNING</t>
        </is>
      </c>
      <c r="D510" s="148" t="inlineStr">
        <is>
          <t>Everything for this area at this age</t>
        </is>
      </c>
      <c r="E510" s="184" t="inlineStr">
        <is>
          <t>5 dx · 9 pres · 3 tools</t>
        </is>
      </c>
      <c r="F510" s="164" t="inlineStr">
        <is>
          <t>1.2 Language skills</t>
        </is>
      </c>
      <c r="G510" s="133" t="n"/>
      <c r="H510" s="148" t="n"/>
      <c r="I510" s="148" t="n"/>
      <c r="J510" s="148" t="n"/>
      <c r="K510" s="148" t="n"/>
      <c r="L510" s="148" t="n"/>
      <c r="M510" s="164" t="inlineStr">
        <is>
          <t>1 · DIAGNOSED — what it could be
Language Disorder (expressive / receptive / mixed) — DLD — DSM-5-TR / ICD-11 6A01
Speech Sound Disorder — DSM-5-TR / ICD-11 6A01
Childhood-Onset Fluency Disorder (stuttering) — DSM-5-TR / ICD-11 6A01
Unspecified Communication Disorder — DSM-5-TR / ICD-11 6A01
Selective mutism — DSM-5-TR anxiety / ICD-11 6B00–6B0Z</t>
        </is>
      </c>
      <c r="N510" s="164" t="inlineStr">
        <is>
          <t>2 · NOT DIAGNOSED — descriptive presentations
AAC and communication access — Not a DSM diagnosis
English as an Additional Language (EAL) — Not a disorder — can mimic language disorder, rule out
Bilingual language development — Not a disorder
Vocabulary gap from limited exposure — Added
Participation in oral work and classroom talk — Added — Form 2 wording
Following multi-step verbal instructions — Added
Narrative and sequencing in spoken account — Added
Word-finding difficulty — Added
Interpreter need and how it changes the assessment — Added</t>
        </is>
      </c>
      <c r="O510" s="164" t="inlineStr">
        <is>
          <t>3 · WHO THEY ARE REFERRED TO
NEPS with SLT
NCSE speech and language class
Primary Care (mild–moderate)
CAMHS (severe) — also under 3.2
SLT
CDNT
NEPS
NEPS interpreter request form</t>
        </is>
      </c>
      <c r="P510" s="164" t="inlineStr">
        <is>
          <t>4 · WHAT YOU WOULD DO AT THIS AGE
Preschool SLT report if any · parent developmental history (first words, phrases) · play-based language sample · Preschool Language Scales · always establish home language exposure before interpreting.</t>
        </is>
      </c>
      <c r="Q510" s="164" t="inlineStr">
        <is>
          <t>Preschool Language Scales-5 (PLS-5)
AGE: birth–7:11
MEASURES: Auditory comprehension and expressive communication.
CANNOT TELL YOU: Whether a difficulty is a disorder or a difference — establish home language exposure first.
TIME: 45–60 min
LANDS IN: SLT report · consultation</t>
        </is>
      </c>
      <c r="R510" s="164" t="inlineStr">
        <is>
          <t>Ages &amp; Stages Questionnaires (ASQ-3)
AGE: 1–66 months
MEASURES: Parent-completed developmental screen across five domains.
CANNOT TELL YOU: It is a screen, not an assessment. Specificity is strong but evidence varies by language version and context (Velikonja et al., 2017).
TIME: 10–15 min parent
LANDS IN: Screening record · Appendix 5</t>
        </is>
      </c>
      <c r="S510" s="164" t="inlineStr">
        <is>
          <t>Schedule of Growing Skills II
AGE: 0–5
MEASURES: Developmental profile across nine skill areas.
CANNOT TELL YOU: Cause. It tells you where a child is, not why.
TIME: 20–30 min
LANDS IN: Developmental profile · consultation</t>
        </is>
      </c>
    </row>
    <row r="511" outlineLevel="2" ht="408.75" customHeight="1" s="128">
      <c r="A511" s="148" t="n"/>
      <c r="B511" s="149" t="inlineStr">
        <is>
          <t>Early Years / Pre-School  (0–5 years)</t>
        </is>
      </c>
      <c r="C511" s="149" t="inlineStr">
        <is>
          <t>1. LEARNING</t>
        </is>
      </c>
      <c r="D511" s="148" t="inlineStr">
        <is>
          <t>Everything for this area at this age</t>
        </is>
      </c>
      <c r="E511" s="184" t="inlineStr">
        <is>
          <t>8 dx · 7 pres · 4 tools</t>
        </is>
      </c>
      <c r="F511" s="164" t="inlineStr">
        <is>
          <t>1.3 Comprehension and general ability</t>
        </is>
      </c>
      <c r="G511" s="133" t="n"/>
      <c r="H511" s="148" t="n"/>
      <c r="I511" s="148" t="n"/>
      <c r="J511" s="148" t="n"/>
      <c r="K511" s="148" t="n"/>
      <c r="L511" s="148" t="n"/>
      <c r="M511" s="164" t="inlineStr">
        <is>
          <t>1 · DIAGNOSED — what it could be
Intellectual Disability — mild — DSM-5-TR / ICD-11 6A00
Intellectual Disability — moderate — DSM-5-TR / ICD-11 6A00
Intellectual Disability — severe — DSM-5-TR / ICD-11 6A00
Intellectual Disability — profound — DSM-5-TR / ICD-11 6A00
Unspecified Intellectual Disability — DSM-5-TR / ICD-11 6A00
Global Developmental Delay — DSM-5-TR / ICD-11 6A00
Borderline Intellectual Functioning (FSIQ approx. 70–79) — DSM-5-TR V-code
Other specified / unspecified neurodevelopmental disorder — DSM-5-TR / ICD-11 6A0Z</t>
        </is>
      </c>
      <c r="N511" s="164" t="inlineStr">
        <is>
          <t>2 · NOT DIAGNOSED — descriptive presentations
Cognitive profile differences (verbal, fluid, working memory, processing speed) — Not a DSM diagnosis
Underachievement not meeting SLD criteria — Not a DSM diagnosis
Giftedness / exceptional ability — Not a DSM diagnosis
Twice exceptional (high ability plus SLD, ADHD or ASD) — Not a DSM diagnosis
Understanding and responding to adult direction — Added — Form 2 wording
Curriculum access at the current level — Added
Interrupted or missed schooling — Added</t>
        </is>
      </c>
      <c r="O511" s="164" t="inlineStr">
        <is>
          <t>3 · WHO THEY ARE REFERRED TO
CDNT
NEPS — below GLD threshold, significant school impact
NEPS
Educational Welfare</t>
        </is>
      </c>
      <c r="P511" s="164" t="inlineStr">
        <is>
          <t>4 · WHAT YOU WOULD DO AT THIS AGE
WPPSI-IV (2:6–7:7) · Vineland-3 or ABAS-3 adaptive · developmental history · caution: large index gaps are less stable at this age than at school age.</t>
        </is>
      </c>
      <c r="Q511" s="164" t="inlineStr">
        <is>
          <t>WPPSI-IV UK
AGE: 2:6–7:7
MEASURES: Verbal comprehension, visual spatial, fluid reasoning, working memory, processing speed. Full Scale IQ from 4:0.
CANNOT TELL YOU: Nothing about why a young child performed as they did. Index scatter is far less stable at this age than at school age — do not build a profile argument on it.
TIME: 60–75 min
LANDS IN: Psychological report · Appendix 5 · Table 3 Early Years</t>
        </is>
      </c>
      <c r="R511" s="164" t="inlineStr">
        <is>
          <t>Griffiths III
AGE: 0–6
MEASURES: Foundations of learning, language and communication, eye and hand co-ordination, personal-social-emotional, gross motor.
CANNOT TELL YOU: Not a cognitive test in the IQ sense and not a diagnosis. Usually administered by the CDNT, not by NEPS.
TIME: 60–90 min
LANDS IN: Report · consultation record</t>
        </is>
      </c>
      <c r="S511" s="164" t="inlineStr">
        <is>
          <t>Bayley-4
AGE: 16 days–42 months
MEASURES: Cognitive, language, motor, social-emotional, adaptive behaviour.
CANNOT TELL YOU: Poor long-range prediction of later IQ. A low score at 18 months is a description of now, not a forecast.
TIME: 30–90 min
LANDS IN: CDNT report — rarely trainee-administered</t>
        </is>
      </c>
      <c r="T511" s="164" t="inlineStr">
        <is>
          <t>Leiter-3
AGE: 3:0–75:11
MEASURES: Non-verbal cognitive ability with no spoken instruction required.
CANNOT TELL YOU: Verbal reasoning, which for many children is the area of concern. Use alongside, not instead of.
TIME: 45 min
LANDS IN: Report — the option where language or EAL confounds a verbal battery</t>
        </is>
      </c>
    </row>
    <row r="512" outlineLevel="2" ht="408.75" customHeight="1" s="128">
      <c r="A512" s="148" t="n"/>
      <c r="B512" s="149" t="inlineStr">
        <is>
          <t>Early Years / Pre-School  (0–5 years)</t>
        </is>
      </c>
      <c r="C512" s="149" t="inlineStr">
        <is>
          <t>1. LEARNING</t>
        </is>
      </c>
      <c r="D512" s="148" t="inlineStr">
        <is>
          <t>Everything for this area at this age</t>
        </is>
      </c>
      <c r="E512" s="184" t="inlineStr">
        <is>
          <t>2 dx · 7 pres · 0 tools</t>
        </is>
      </c>
      <c r="F512" s="164" t="inlineStr">
        <is>
          <t>1.4 Literacy — reading (fluency / comprehension), writing and spelling</t>
        </is>
      </c>
      <c r="G512" s="133" t="n"/>
      <c r="H512" s="148" t="n"/>
      <c r="I512" s="148" t="n"/>
      <c r="J512" s="148" t="n"/>
      <c r="K512" s="148" t="n"/>
      <c r="L512" s="148" t="n"/>
      <c r="M512" s="164" t="inlineStr">
        <is>
          <t>1 · DIAGNOSED — what it could be
Specific Learning Disorder with impairment in reading (dyslexia) — DSM-5-TR
Specific Learning Disorder with impairment in written expression (dysgraphia) — DSM-5-TR</t>
        </is>
      </c>
      <c r="N512" s="164" t="inlineStr">
        <is>
          <t>2 · NOT DIAGNOSED — descriptive presentations
Auditory processing concerns — Not a DSM diagnosis
Literacy difficulty not meeting SLD criteria — Added
Reading stamina and avoidance of reading aloud — Added
Handwriting speed and legibility under time pressure — Added
Spelling as a barrier to written output — Added
Assistive technology not yet trialled — Added
Instruction history — what has actually been taught — Added — rule out before concluding disorder</t>
        </is>
      </c>
      <c r="O512" s="164" t="inlineStr">
        <is>
          <t>3 · WHO THEY ARE REFERRED TO
NEPS
Audiology
SLT
OT if motor
SENO</t>
        </is>
      </c>
      <c r="P512" s="164" t="inlineStr">
        <is>
          <t>4 · WHAT YOU WOULD DO AT THIS AGE
Pre-literacy only: phonological awareness, rhyme, alliteration, letter-sound knowledge · print awareness · do not assess for dyslexia at this age — describe the precursors.</t>
        </is>
      </c>
    </row>
    <row r="513" outlineLevel="2" ht="408.75" customHeight="1" s="128">
      <c r="A513" s="148" t="n"/>
      <c r="B513" s="149" t="inlineStr">
        <is>
          <t>Early Years / Pre-School  (0–5 years)</t>
        </is>
      </c>
      <c r="C513" s="149" t="inlineStr">
        <is>
          <t>1. LEARNING</t>
        </is>
      </c>
      <c r="D513" s="148" t="inlineStr">
        <is>
          <t>Everything for this area at this age</t>
        </is>
      </c>
      <c r="E513" s="184" t="inlineStr">
        <is>
          <t>1 dx · 6 pres · 0 tools</t>
        </is>
      </c>
      <c r="F513" s="164" t="inlineStr">
        <is>
          <t>1.5 Maths skills — concepts and computation</t>
        </is>
      </c>
      <c r="G513" s="133" t="n"/>
      <c r="H513" s="148" t="n"/>
      <c r="I513" s="148" t="n"/>
      <c r="J513" s="148" t="n"/>
      <c r="K513" s="148" t="n"/>
      <c r="L513" s="148" t="n"/>
      <c r="M513" s="164" t="inlineStr">
        <is>
          <t>1 · DIAGNOSED — what it could be
Specific Learning Disorder with impairment in mathematics (dyscalculia) — DSM-5-TR</t>
        </is>
      </c>
      <c r="N513" s="164" t="inlineStr">
        <is>
          <t>2 · NOT DIAGNOSED — descriptive presentations
Numeracy difficulty not meeting SLD criteria — Added
Maths anxiety — Added
Number sense and estimation — Added
Recall of number facts vs procedural method — Added
Word problems — reading as the barrier, not the maths — Added
Working memory load in multi-step calculation — Added</t>
        </is>
      </c>
      <c r="O513" s="164" t="inlineStr">
        <is>
          <t>3 · WHO THEY ARE REFERRED TO
NEPS</t>
        </is>
      </c>
      <c r="P513" s="164" t="inlineStr">
        <is>
          <t>4 · WHAT YOU WOULD DO AT THIS AGE
Early number concepts: counting, one-to-one correspondence, subitising, comparison · observation during play · no standardised maths measure.</t>
        </is>
      </c>
    </row>
    <row r="514" outlineLevel="2" ht="408.75" customHeight="1" s="128">
      <c r="A514" s="148" t="n"/>
      <c r="B514" s="149" t="inlineStr">
        <is>
          <t>Early Years / Pre-School  (0–5 years)</t>
        </is>
      </c>
      <c r="C514" s="149" t="inlineStr">
        <is>
          <t>1. LEARNING</t>
        </is>
      </c>
      <c r="D514" s="148" t="inlineStr">
        <is>
          <t>Everything for this area at this age</t>
        </is>
      </c>
      <c r="E514" s="184" t="inlineStr">
        <is>
          <t>7 dx · 7 pres · 2 tools</t>
        </is>
      </c>
      <c r="F514" s="164" t="inlineStr">
        <is>
          <t>1.6 Co-ordination — fine motor / handwriting, gross motor / PE skills</t>
        </is>
      </c>
      <c r="G514" s="133" t="n"/>
      <c r="H514" s="148" t="n"/>
      <c r="I514" s="148" t="n"/>
      <c r="J514" s="148" t="n"/>
      <c r="K514" s="148" t="n"/>
      <c r="L514" s="148" t="n"/>
      <c r="M514" s="164" t="inlineStr">
        <is>
          <t>1 · DIAGNOSED — what it could be
Developmental Coordination Disorder (dyspraxia) — DSM-5-TR / ICD-11 6A04
Stereotypic Movement Disorder — DSM-5-TR / ICD-11 6A04
Tourette's Disorder — DSM-5-TR / ICD-11 Ch.08
Persistent (chronic) motor or vocal tic disorder — DSM-5-TR / ICD-11 Ch.08
Provisional tic disorder — DSM-5-TR / ICD-11 Ch.08
Other specified / unspecified tic disorder — DSM-5-TR / ICD-11 Ch.08
Hypermobility spectrum disorder — Medical</t>
        </is>
      </c>
      <c r="N514" s="164" t="inlineStr">
        <is>
          <t>2 · NOT DIAGNOSED — descriptive presentations
Fine motor difficulty (handwriting, pencil grip) — Not a DSM diagnosis
Gross motor difficulty (PE, balance, ball skills) — Not a DSM diagnosis
Sensory modulation difficulties (over- or under-responsive) — Not a DSM diagnosis
Sensory discrimination difficulties — Not a DSM diagnosis
Motor-based sensory difficulties — Not a DSM diagnosis
Presentation and care of written work — Added — Form 2 wording
Self-care and independence skills at school — Added</t>
        </is>
      </c>
      <c r="O514" s="164" t="inlineStr">
        <is>
          <t>3 · WHO THEY ARE REFERRED TO
CDNT / Occupational Therapy
CDNT / OT
CAMHS
GP
Paediatrics
Occupational Therapy
OT
Physiotherapy
NEPS</t>
        </is>
      </c>
      <c r="P514" s="164" t="inlineStr">
        <is>
          <t>4 · WHAT YOU WOULD DO AT THIS AGE
Movement ABC-2 (3+) · parent report on dressing, feeding, stairs · preschool observation · OT referral is usually the pathway, not NEPS assessment.</t>
        </is>
      </c>
      <c r="Q514" s="164" t="inlineStr">
        <is>
          <t>Movement ABC-2
AGE: 3:0–16:11
MEASURES: Manual dexterity, aiming and catching, balance.
CANNOT TELL YOU: Whether the difficulty is DCD — that is an OT/CDNT diagnosis, not yours.
TIME: 20–40 min
LANDS IN: OT referral · report
*** FULL TEACHING — PART G ***</t>
        </is>
      </c>
      <c r="R514" s="164" t="inlineStr">
        <is>
          <t>Beery VMI
AGE: 2:0–100
MEASURES: Visual-motor integration, plus visual perception and motor co-ordination supplements.
CANNOT TELL YOU: Whether the breakdown is visual, motor or integrative — you need the two supplements for that.
TIME: 10–15 min
LANDS IN: Report · OT referral</t>
        </is>
      </c>
    </row>
    <row r="515" outlineLevel="2" ht="15" customHeight="1" s="128">
      <c r="A515" s="183" t="inlineStr">
        <is>
          <t>CAT</t>
        </is>
      </c>
      <c r="B515" s="183" t="inlineStr">
        <is>
          <t>Early Years / Pre-School  (0–5 years)</t>
        </is>
      </c>
      <c r="C515" s="183" t="inlineStr">
        <is>
          <t>2. BEHAVIOUR</t>
        </is>
      </c>
      <c r="D515" s="183" t="n"/>
      <c r="E515" s="183" t="inlineStr">
        <is>
          <t>2 areas present at this age</t>
        </is>
      </c>
      <c r="F515" s="183" t="n"/>
      <c r="G515" s="183" t="n"/>
      <c r="H515" s="183" t="n"/>
      <c r="I515" s="183" t="n"/>
      <c r="J515" s="183" t="n"/>
      <c r="K515" s="183" t="n"/>
      <c r="L515" s="183" t="n"/>
    </row>
    <row r="516" outlineLevel="2" ht="408.75" customHeight="1" s="128">
      <c r="A516" s="148" t="n"/>
      <c r="B516" s="149" t="inlineStr">
        <is>
          <t>Early Years / Pre-School  (0–5 years)</t>
        </is>
      </c>
      <c r="C516" s="149" t="inlineStr">
        <is>
          <t>2. BEHAVIOUR</t>
        </is>
      </c>
      <c r="D516" s="148" t="inlineStr">
        <is>
          <t>Everything for this area at this age</t>
        </is>
      </c>
      <c r="E516" s="184" t="inlineStr">
        <is>
          <t>5 dx · 8 pres · 2 tools</t>
        </is>
      </c>
      <c r="F516" s="164" t="inlineStr">
        <is>
          <t>2.1 Behaviour in class</t>
        </is>
      </c>
      <c r="G516" s="133" t="n"/>
      <c r="H516" s="148" t="n"/>
      <c r="I516" s="148" t="n"/>
      <c r="J516" s="148" t="n"/>
      <c r="K516" s="148" t="n"/>
      <c r="L516" s="148" t="n"/>
      <c r="M516" s="164" t="inlineStr">
        <is>
          <t>1 · DIAGNOSED — what it could be
Oppositional Defiant Disorder — mild — DSM-5-TR / ICD-11 6C90–6C9Z
Oppositional Defiant Disorder — moderate — DSM-5-TR / ICD-11 6C90–6C9Z
Oppositional Defiant Disorder — severe — DSM-5-TR / ICD-11 6C90–6C9Z
Intermittent Explosive Disorder — DSM-5-TR / ICD-11 6C70–6C7Z
Disruptive Mood Dysregulation Disorder — DSM-5-TR / ICD-11 6A70–6A7Z</t>
        </is>
      </c>
      <c r="N516" s="164" t="inlineStr">
        <is>
          <t>2 · NOT DIAGNOSED — descriptive presentations
Behaviour that challenges — Not a DSM diagnosis
Behaviour function (ABC analysis, trigger-behaviour-consequence) — Formulation approach, not a diagnosis
Emotion regulation in the classroom — Added
Response to correction and repair after an incident — Added
Transitions between activities and between classes — Added
Behaviour system fit — is the system working for this pupil — Added
Escalation and de-escalation pattern — Added
Behaviour as communication of an unmet learning need — Added — always test this hypothesis</t>
        </is>
      </c>
      <c r="O516" s="164" t="inlineStr">
        <is>
          <t>3 · WHO THEY ARE REFERRED TO
NEPS (school behaviour)
CAMHS
NEPS
CAMHS (mod–severe)
Primary Care (mild–mod)</t>
        </is>
      </c>
      <c r="P516" s="164" t="inlineStr">
        <is>
          <t>4 · WHAT YOU WOULD DO AT THIS AGE
ABC recording by preschool staff · structured observation · parent report on home/setting difference · SDQ (2–4 version) · behaviour at this age is usually developmental — frame it that way.</t>
        </is>
      </c>
      <c r="Q516" s="164" t="inlineStr">
        <is>
          <t>SDQ (2–4 version)
AGE: 2–4
MEASURES: Parent and preschool-staff report on emotional, conduct, hyperactivity, peer and prosocial scales.
CANNOT TELL YOU: Anything clinical. It is a screen and it is brief.
TIME: 5–10 min
LANDS IN: Screening record · consultation</t>
        </is>
      </c>
      <c r="R516" s="164" t="inlineStr">
        <is>
          <t>Conners EC
AGE: 2:0–6:0
MEASURES: Early childhood behaviour, including attention and social functioning.
CANNOT TELL YOU: ADHD. Diagnosis at this age is rare and is not yours to make.
TIME: 10–20 min per rater
LANDS IN: Screening record · referral</t>
        </is>
      </c>
    </row>
    <row r="517" outlineLevel="2" ht="408.75" customHeight="1" s="128">
      <c r="A517" s="148" t="n"/>
      <c r="B517" s="149" t="inlineStr">
        <is>
          <t>Early Years / Pre-School  (0–5 years)</t>
        </is>
      </c>
      <c r="C517" s="149" t="inlineStr">
        <is>
          <t>2. BEHAVIOUR</t>
        </is>
      </c>
      <c r="D517" s="148" t="inlineStr">
        <is>
          <t>Everything for this area at this age</t>
        </is>
      </c>
      <c r="E517" s="184" t="inlineStr">
        <is>
          <t>9 dx · 6 pres · 2 tools</t>
        </is>
      </c>
      <c r="F517" s="164" t="inlineStr">
        <is>
          <t>2.2 Behaviour during break times and around the school</t>
        </is>
      </c>
      <c r="G517" s="133" t="n"/>
      <c r="H517" s="148" t="n"/>
      <c r="I517" s="148" t="n"/>
      <c r="J517" s="148" t="n"/>
      <c r="K517" s="148" t="n"/>
      <c r="L517" s="148" t="n"/>
      <c r="M517" s="164" t="inlineStr">
        <is>
          <t>1 · DIAGNOSED — what it could be
Conduct Disorder — childhood-onset type — DSM-5-TR / ICD-11 6C90–6C9Z
Conduct Disorder — adolescent-onset type — DSM-5-TR / ICD-11 6C90–6C9Z
Conduct Disorder — unspecified onset — DSM-5-TR / ICD-11 6C90–6C9Z
Pyromania — DSM-5-TR / ICD-11 6C70–6C7Z
Kleptomania — DSM-5-TR / ICD-11 6C70–6C7Z
Other specified / unspecified disruptive, impulse-control and conduct disorder — DSM-5-TR
Substance use disorders (alcohol, cannabis, opioid, stimulant, tobacco, inhalant, sedative, hallucinogen) — DSM-5-TR / ICD-11 6C40–6C4Z
Gambling Disorder — DSM-5-TR / ICD-11 6C50–6C5Z
Gaming Disorder / Internet Gaming Disorder — ICD-11 6C51</t>
        </is>
      </c>
      <c r="N517" s="164" t="inlineStr">
        <is>
          <t>2 · NOT DIAGNOSED — descriptive presentations
Harmful or sexualised behaviour in children — Not a DSM diagnosis
Adolescent substance misuse / dual diagnosis — Not a standalone diagnosis
Unstructured time — yard and corridor as the difficulty — Added
Supervision ratio and yard layout — Added
Group dynamics and peer influence — Added
Risk-taking without a diagnosis attached — Added</t>
        </is>
      </c>
      <c r="O517" s="164" t="inlineStr">
        <is>
          <t>3 · WHO THEY ARE REFERRED TO
NEPS
CAMHS
Addiction services
Tusla</t>
        </is>
      </c>
      <c r="P517" s="164" t="inlineStr">
        <is>
          <t>4 · WHAT YOU WOULD DO AT THIS AGE
Yard observation · staff report · developmentally, most of this is not yet meaningful — describe rather than classify.</t>
        </is>
      </c>
      <c r="Q517" s="164" t="inlineStr">
        <is>
          <t>SDQ (2–4 version)
AGE: 2–4
MEASURES: Parent and preschool-staff report on emotional, conduct, hyperactivity, peer and prosocial scales.
CANNOT TELL YOU: Anything clinical. It is a screen and it is brief.
TIME: 5–10 min
LANDS IN: Screening record · consultation</t>
        </is>
      </c>
      <c r="R517" s="164" t="inlineStr">
        <is>
          <t>Conners EC
AGE: 2:0–6:0
MEASURES: Early childhood behaviour, including attention and social functioning.
CANNOT TELL YOU: ADHD. Diagnosis at this age is rare and is not yours to make.
TIME: 10–20 min per rater
LANDS IN: Screening record · referral</t>
        </is>
      </c>
    </row>
    <row r="518" outlineLevel="2" ht="15" customHeight="1" s="128">
      <c r="A518" s="183" t="inlineStr">
        <is>
          <t>CAT</t>
        </is>
      </c>
      <c r="B518" s="183" t="inlineStr">
        <is>
          <t>Early Years / Pre-School  (0–5 years)</t>
        </is>
      </c>
      <c r="C518" s="183" t="inlineStr">
        <is>
          <t>3. EMOTIONAL</t>
        </is>
      </c>
      <c r="D518" s="183" t="n"/>
      <c r="E518" s="183" t="inlineStr">
        <is>
          <t>7 areas present at this age</t>
        </is>
      </c>
      <c r="F518" s="183" t="n"/>
      <c r="G518" s="183" t="n"/>
      <c r="H518" s="183" t="n"/>
      <c r="I518" s="183" t="n"/>
      <c r="J518" s="183" t="n"/>
      <c r="K518" s="183" t="n"/>
      <c r="L518" s="183" t="n"/>
    </row>
    <row r="519" outlineLevel="2" ht="408.75" customHeight="1" s="128">
      <c r="A519" s="148" t="n"/>
      <c r="B519" s="149" t="inlineStr">
        <is>
          <t>Early Years / Pre-School  (0–5 years)</t>
        </is>
      </c>
      <c r="C519" s="149" t="inlineStr">
        <is>
          <t>3. EMOTIONAL</t>
        </is>
      </c>
      <c r="D519" s="148" t="inlineStr">
        <is>
          <t>Everything for this area at this age</t>
        </is>
      </c>
      <c r="E519" s="184" t="inlineStr">
        <is>
          <t>0 dx · 7 pres · 2 tools</t>
        </is>
      </c>
      <c r="F519" s="164" t="inlineStr">
        <is>
          <t>3.1 Confidence and self-esteem</t>
        </is>
      </c>
      <c r="G519" s="133" t="n"/>
      <c r="H519" s="148" t="n"/>
      <c r="I519" s="148" t="n"/>
      <c r="J519" s="148" t="n"/>
      <c r="K519" s="148" t="n"/>
      <c r="L519" s="148" t="n"/>
      <c r="M519" s="164" t="inlineStr">
        <is>
          <t>1 · DIAGNOSED
None. Everything here is a presentation.</t>
        </is>
      </c>
      <c r="N519" s="164" t="inlineStr">
        <is>
          <t>2 · NOT DIAGNOSED — descriptive presentations
Low confidence and self-esteem — Not a DSM diagnosis
Learned helplessness — Not a DSM diagnosis
Academic self-concept vs global self-esteem — Added
Attribution style — effort vs ability — Added
Response to failure and setback — Added — Form 2 survey wording
Perfectionism and fear of getting it wrong — Added
Self-esteem as a consequence of unidentified SLD — Added — check the sequence</t>
        </is>
      </c>
      <c r="O519" s="164" t="inlineStr">
        <is>
          <t>3 · WHO THEY ARE REFERRED TO
NEPS</t>
        </is>
      </c>
      <c r="P519" s="164" t="inlineStr">
        <is>
          <t>4 · WHAT YOU WOULD DO AT THIS AGE
Adult report only · structured play and comment · no self-report measure is valid at this age.</t>
        </is>
      </c>
      <c r="Q519" s="164" t="inlineStr">
        <is>
          <t>SDQ (2–4 version)
AGE: 2–4
MEASURES: Parent and preschool-staff report on emotional, conduct, hyperactivity, peer and prosocial scales.
CANNOT TELL YOU: Anything clinical. It is a screen and it is brief.
TIME: 5–10 min
LANDS IN: Screening record · consultation</t>
        </is>
      </c>
      <c r="R519" s="164" t="inlineStr">
        <is>
          <t>Conners EC
AGE: 2:0–6:0
MEASURES: Early childhood behaviour, including attention and social functioning.
CANNOT TELL YOU: ADHD. Diagnosis at this age is rare and is not yours to make.
TIME: 10–20 min per rater
LANDS IN: Screening record · referral</t>
        </is>
      </c>
    </row>
    <row r="520" outlineLevel="2" ht="408.75" customHeight="1" s="128">
      <c r="A520" s="148" t="n"/>
      <c r="B520" s="149" t="inlineStr">
        <is>
          <t>Early Years / Pre-School  (0–5 years)</t>
        </is>
      </c>
      <c r="C520" s="149" t="inlineStr">
        <is>
          <t>3. EMOTIONAL</t>
        </is>
      </c>
      <c r="D520" s="148" t="inlineStr">
        <is>
          <t>Everything for this area at this age</t>
        </is>
      </c>
      <c r="E520" s="184" t="inlineStr">
        <is>
          <t>8 dx · 6 pres · 2 tools</t>
        </is>
      </c>
      <c r="F520" s="164" t="inlineStr">
        <is>
          <t>3.2 Anxiety</t>
        </is>
      </c>
      <c r="G520" s="133" t="n"/>
      <c r="H520" s="148" t="n"/>
      <c r="I520" s="148" t="n"/>
      <c r="J520" s="148" t="n"/>
      <c r="K520" s="148" t="n"/>
      <c r="L520" s="148" t="n"/>
      <c r="M520" s="164" t="inlineStr">
        <is>
          <t>1 · DIAGNOSED — what it could be
Separation Anxiety Disorder — DSM-5-TR / ICD-11 6B00–6B0Z
Social Anxiety Disorder (social phobia) — DSM-5-TR / ICD-11 6B00–6B0Z
Generalised Anxiety Disorder — DSM-5-TR / ICD-11 6B00–6B0Z
Specific Phobia — DSM-5-TR / ICD-11 6B00–6B0Z
Panic Disorder — DSM-5-TR / ICD-11 6B00–6B0Z
Agoraphobia — DSM-5-TR / ICD-11 6B00–6B0Z
Selective mutism — DSM-5-TR anxiety
Other specified / unspecified anxiety disorder — DSM-5-TR</t>
        </is>
      </c>
      <c r="N520" s="164" t="inlineStr">
        <is>
          <t>2 · NOT DIAGNOSED — descriptive presentations
School anxiety presentations (not a standalone diagnosis) — Not a DSM diagnosis
Test and exam anxiety — Added
Performance anxiety in oral work — Added
Anticipatory anxiety about transitions — Added
Somatic complaints presenting at school (tummy aches, headaches) — Added
Anxiety secondary to an unmet learning need — Added</t>
        </is>
      </c>
      <c r="O520" s="164" t="inlineStr">
        <is>
          <t>3 · WHO THEY ARE REFERRED TO
Primary Care (mild–mod)
CAMHS (severe)
Primary Care
CAMHS
CAMHS — also under 1.2
NEPS
GP to rule out</t>
        </is>
      </c>
      <c r="P520" s="164" t="inlineStr">
        <is>
          <t>4 · WHAT YOU WOULD DO AT THIS AGE
Parent and staff report · separation at drop-off is the common presentation · no self-report measure · Primary Care rather than NEPS for clinical anxiety.</t>
        </is>
      </c>
      <c r="Q520" s="164" t="inlineStr">
        <is>
          <t>SDQ (2–4 version)
AGE: 2–4
MEASURES: Parent and preschool-staff report on emotional, conduct, hyperactivity, peer and prosocial scales.
CANNOT TELL YOU: Anything clinical. It is a screen and it is brief.
TIME: 5–10 min
LANDS IN: Screening record · consultation</t>
        </is>
      </c>
      <c r="R520" s="164" t="inlineStr">
        <is>
          <t>Conners EC
AGE: 2:0–6:0
MEASURES: Early childhood behaviour, including attention and social functioning.
CANNOT TELL YOU: ADHD. Diagnosis at this age is rare and is not yours to make.
TIME: 10–20 min per rater
LANDS IN: Screening record · referral</t>
        </is>
      </c>
    </row>
    <row r="521" outlineLevel="2" ht="408.75" customHeight="1" s="128">
      <c r="A521" s="148" t="n"/>
      <c r="B521" s="149" t="inlineStr">
        <is>
          <t>Early Years / Pre-School  (0–5 years)</t>
        </is>
      </c>
      <c r="C521" s="149" t="inlineStr">
        <is>
          <t>3. EMOTIONAL</t>
        </is>
      </c>
      <c r="D521" s="148" t="inlineStr">
        <is>
          <t>Everything for this area at this age</t>
        </is>
      </c>
      <c r="E521" s="184" t="inlineStr">
        <is>
          <t>5 dx · 3 pres · 2 tools</t>
        </is>
      </c>
      <c r="F521" s="164" t="inlineStr">
        <is>
          <t>3.3 Obsessive-compulsive and related</t>
        </is>
      </c>
      <c r="G521" s="133" t="n"/>
      <c r="H521" s="148" t="n"/>
      <c r="I521" s="148" t="n"/>
      <c r="J521" s="148" t="n"/>
      <c r="K521" s="148" t="n"/>
      <c r="L521" s="148" t="n"/>
      <c r="M521" s="164" t="inlineStr">
        <is>
          <t>1 · DIAGNOSED — what it could be
Obsessive-Compulsive Disorder — DSM-5-TR / ICD-11 6B20–6B2Z
Body Dysmorphic Disorder — DSM-5-TR / ICD-11 6B20–6B2Z
Hoarding Disorder — DSM-5-TR / ICD-11 6B20–6B2Z
Trichotillomania (hair-pulling) — DSM-5-TR / ICD-11 6B20–6B2Z
Excoriation (skin-picking) Disorder — DSM-5-TR / ICD-11 6B20–6B2Z</t>
        </is>
      </c>
      <c r="N521" s="164" t="inlineStr">
        <is>
          <t>2 · NOT DIAGNOSED — descriptive presentations
Rigidity and routine that is not OCD — Added — check autism first
Repeated checking of work — Added
Ritual at transitions — Added</t>
        </is>
      </c>
      <c r="O521" s="164" t="inlineStr">
        <is>
          <t>3 · WHO THEY ARE REFERRED TO
Primary Care
CAMHS (severe)
CAMHS
NEPS</t>
        </is>
      </c>
      <c r="P521" s="164" t="inlineStr">
        <is>
          <t>4 · WHAT YOU WOULD DO AT THIS AGE
Rarely identified at this age · parent report · routines are developmentally normal here.</t>
        </is>
      </c>
      <c r="Q521" s="164" t="inlineStr">
        <is>
          <t>SDQ (2–4 version)
AGE: 2–4
MEASURES: Parent and preschool-staff report on emotional, conduct, hyperactivity, peer and prosocial scales.
CANNOT TELL YOU: Anything clinical. It is a screen and it is brief.
TIME: 5–10 min
LANDS IN: Screening record · consultation</t>
        </is>
      </c>
      <c r="R521" s="164" t="inlineStr">
        <is>
          <t>Conners EC
AGE: 2:0–6:0
MEASURES: Early childhood behaviour, including attention and social functioning.
CANNOT TELL YOU: ADHD. Diagnosis at this age is rare and is not yours to make.
TIME: 10–20 min per rater
LANDS IN: Screening record · referral</t>
        </is>
      </c>
    </row>
    <row r="522" outlineLevel="2" ht="408.75" customHeight="1" s="128">
      <c r="A522" s="148" t="n"/>
      <c r="B522" s="149" t="inlineStr">
        <is>
          <t>Early Years / Pre-School  (0–5 years)</t>
        </is>
      </c>
      <c r="C522" s="149" t="inlineStr">
        <is>
          <t>3. EMOTIONAL</t>
        </is>
      </c>
      <c r="D522" s="148" t="inlineStr">
        <is>
          <t>Everything for this area at this age</t>
        </is>
      </c>
      <c r="E522" s="184" t="inlineStr">
        <is>
          <t>5 dx · 4 pres · 2 tools</t>
        </is>
      </c>
      <c r="F522" s="164" t="inlineStr">
        <is>
          <t>3.4 Mood</t>
        </is>
      </c>
      <c r="G522" s="133" t="n"/>
      <c r="H522" s="148" t="n"/>
      <c r="I522" s="148" t="n"/>
      <c r="J522" s="148" t="n"/>
      <c r="K522" s="148" t="n"/>
      <c r="L522" s="148" t="n"/>
      <c r="M522" s="164" t="inlineStr">
        <is>
          <t>1 · DIAGNOSED — what it could be
Major Depressive Disorder — single episode — DSM-5-TR / ICD-11 6A70–6A7Z
Major Depressive Disorder — recurrent episode — DSM-5-TR / ICD-11 6A70–6A7Z
Persistent Depressive Disorder (dysthymia) — DSM-5-TR / ICD-11 6A70–6A7Z
Premenstrual Dysphoric Disorder — DSM-5-TR / ICD-11 6A70–6A7Z
Other specified / unspecified depressive disorder — DSM-5-TR</t>
        </is>
      </c>
      <c r="N522" s="164" t="inlineStr">
        <is>
          <t>2 · NOT DIAGNOSED — descriptive presentations
Low mood without diagnostic threshold — Added
Loss of interest in school activities previously enjoyed — Added
Withdrawal from peers — Added
Irritability as the presentation of low mood in young people — Added</t>
        </is>
      </c>
      <c r="O522" s="164" t="inlineStr">
        <is>
          <t>3 · WHO THEY ARE REFERRED TO
CAMHS (mod–severe)
Primary Care (mild–mod)
CAMHS
Primary Care
NEPS</t>
        </is>
      </c>
      <c r="P522" s="164" t="inlineStr">
        <is>
          <t>4 · WHAT YOU WOULD DO AT THIS AGE
Not assessed at this age · parent report on mood and play · refer.</t>
        </is>
      </c>
      <c r="Q522" s="164" t="inlineStr">
        <is>
          <t>SDQ (2–4 version)
AGE: 2–4
MEASURES: Parent and preschool-staff report on emotional, conduct, hyperactivity, peer and prosocial scales.
CANNOT TELL YOU: Anything clinical. It is a screen and it is brief.
TIME: 5–10 min
LANDS IN: Screening record · consultation</t>
        </is>
      </c>
      <c r="R522" s="164" t="inlineStr">
        <is>
          <t>Conners EC
AGE: 2:0–6:0
MEASURES: Early childhood behaviour, including attention and social functioning.
CANNOT TELL YOU: ADHD. Diagnosis at this age is rare and is not yours to make.
TIME: 10–20 min per rater
LANDS IN: Screening record · referral</t>
        </is>
      </c>
    </row>
    <row r="523" outlineLevel="2" ht="408.75" customHeight="1" s="128">
      <c r="A523" s="148" t="n"/>
      <c r="B523" s="149" t="inlineStr">
        <is>
          <t>Early Years / Pre-School  (0–5 years)</t>
        </is>
      </c>
      <c r="C523" s="149" t="inlineStr">
        <is>
          <t>3. EMOTIONAL</t>
        </is>
      </c>
      <c r="D523" s="148" t="inlineStr">
        <is>
          <t>Everything for this area at this age</t>
        </is>
      </c>
      <c r="E523" s="184" t="inlineStr">
        <is>
          <t>8 dx · 5 pres · 2 tools</t>
        </is>
      </c>
      <c r="F523" s="164" t="inlineStr">
        <is>
          <t>3.5 Trauma, attachment and loss</t>
        </is>
      </c>
      <c r="G523" s="133" t="n"/>
      <c r="H523" s="148" t="n"/>
      <c r="I523" s="148" t="n"/>
      <c r="J523" s="148" t="n"/>
      <c r="K523" s="148" t="n"/>
      <c r="L523" s="148" t="n"/>
      <c r="M523" s="164" t="inlineStr">
        <is>
          <t>1 · DIAGNOSED — what it could be
Reactive Attachment Disorder — DSM-5-TR / ICD-11 6B40–6B4Z
Disinhibited Social Engagement Disorder — DSM-5-TR / ICD-11 6B45
Posttraumatic Stress Disorder — DSM-5-TR / ICD-11 6B40
PTSD — preschool subtype (6 years and under) — DSM-5-TR
Complex PTSD — ICD-11 6B41
Acute Stress Disorder — DSM-5-TR / ICD-11 6B40–6B4Z
Adjustment Disorder (with depressed mood / anxiety / mixed / conduct / unspecified) — DSM-5-TR / ICD-11 6B40–6B4Z
Prolonged Grief Disorder — DSM-5-TR / ICD-11 6B42</t>
        </is>
      </c>
      <c r="N523" s="164" t="inlineStr">
        <is>
          <t>2 · NOT DIAGNOSED — descriptive presentations
Complex or developmental trauma — Not a DSM diagnosis
Adverse Childhood Experiences (ACEs) — Not a DSM diagnosis
Bereavement reaction — Not a DSM diagnosis
Displacement, asylum and resettlement — Added
Trauma-informed classroom practice — Added — the systemic response</t>
        </is>
      </c>
      <c r="O523" s="164" t="inlineStr">
        <is>
          <t>3 · WHO THEY ARE REFERRED TO
Primary Care
CAMHS (severe)
CAMHS
Primary Care (milder)
NEPS critical incident response
NEPS
community services</t>
        </is>
      </c>
      <c r="P523" s="164" t="inlineStr">
        <is>
          <t>4 · WHAT YOU WOULD DO AT THIS AGE
Parent and setting report only · attachment behaviour observed in the room · do not screen a preschooler for trauma — refer.</t>
        </is>
      </c>
      <c r="Q523" s="164" t="inlineStr">
        <is>
          <t>SDQ (2–4 version)
AGE: 2–4
MEASURES: Parent and preschool-staff report on emotional, conduct, hyperactivity, peer and prosocial scales.
CANNOT TELL YOU: Anything clinical. It is a screen and it is brief.
TIME: 5–10 min
LANDS IN: Screening record · consultation</t>
        </is>
      </c>
      <c r="R523" s="164" t="inlineStr">
        <is>
          <t>Conners EC
AGE: 2:0–6:0
MEASURES: Early childhood behaviour, including attention and social functioning.
CANNOT TELL YOU: ADHD. Diagnosis at this age is rare and is not yours to make.
TIME: 10–20 min per rater
LANDS IN: Screening record · referral</t>
        </is>
      </c>
    </row>
    <row r="524" outlineLevel="2" ht="408.75" customHeight="1" s="128">
      <c r="A524" s="148" t="n"/>
      <c r="B524" s="149" t="inlineStr">
        <is>
          <t>Early Years / Pre-School  (0–5 years)</t>
        </is>
      </c>
      <c r="C524" s="149" t="inlineStr">
        <is>
          <t>3. EMOTIONAL</t>
        </is>
      </c>
      <c r="D524" s="148" t="inlineStr">
        <is>
          <t>Everything for this area at this age</t>
        </is>
      </c>
      <c r="E524" s="184" t="inlineStr">
        <is>
          <t>0 dx · 6 pres · 2 tools</t>
        </is>
      </c>
      <c r="F524" s="164" t="inlineStr">
        <is>
          <t>3.6 School attendance</t>
        </is>
      </c>
      <c r="G524" s="133" t="n"/>
      <c r="H524" s="148" t="n"/>
      <c r="I524" s="148" t="n"/>
      <c r="J524" s="148" t="n"/>
      <c r="K524" s="148" t="n"/>
      <c r="L524" s="148" t="n"/>
      <c r="M524" s="164" t="inlineStr">
        <is>
          <t>1 · DIAGNOSED
None. Everything here is a presentation.</t>
        </is>
      </c>
      <c r="N524" s="164" t="inlineStr">
        <is>
          <t>2 · NOT DIAGNOSED — descriptive presentations
Emotionally Based School Avoidance (school refusal) — Not a DSM diagnosis
Truancy distinguished from EBSA — Added — different formulation, different response
Parentally condoned absence — Added
Absence due to chronic illness — Added
Late arrival and partial attendance — Added
Return-to-school planning after extended absence — Added</t>
        </is>
      </c>
      <c r="O524" s="164" t="inlineStr">
        <is>
          <t>3 · WHO THEY ARE REFERRED TO
NEPS
Primary Care
Educational Welfare (Tusla)
Paediatrics
NEPS for school supports</t>
        </is>
      </c>
      <c r="P524" s="164" t="inlineStr">
        <is>
          <t>4 · WHAT YOU WOULD DO AT THIS AGE
Preschool attendance is not compulsory — frame accordingly · parent report.</t>
        </is>
      </c>
      <c r="Q524" s="164" t="inlineStr">
        <is>
          <t>SDQ (2–4 version)
AGE: 2–4
MEASURES: Parent and preschool-staff report on emotional, conduct, hyperactivity, peer and prosocial scales.
CANNOT TELL YOU: Anything clinical. It is a screen and it is brief.
TIME: 5–10 min
LANDS IN: Screening record · consultation</t>
        </is>
      </c>
      <c r="R524" s="164" t="inlineStr">
        <is>
          <t>Conners EC
AGE: 2:0–6:0
MEASURES: Early childhood behaviour, including attention and social functioning.
CANNOT TELL YOU: ADHD. Diagnosis at this age is rare and is not yours to make.
TIME: 10–20 min per rater
LANDS IN: Screening record · referral</t>
        </is>
      </c>
    </row>
    <row r="525" outlineLevel="2" ht="79.5" customHeight="1" s="128">
      <c r="A525" s="185" t="n"/>
      <c r="B525" s="186" t="inlineStr">
        <is>
          <t>Early Years / Pre-School  (0–5 years)</t>
        </is>
      </c>
      <c r="C525" s="186" t="inlineStr">
        <is>
          <t>3. EMOTIONAL</t>
        </is>
      </c>
      <c r="D525" s="185" t="inlineStr">
        <is>
          <t>STOP — not an assessment area</t>
        </is>
      </c>
      <c r="E525" s="187" t="inlineStr">
        <is>
          <t>Do not assess</t>
        </is>
      </c>
      <c r="F525" s="186" t="inlineStr">
        <is>
          <t>3.7 Risk and safeguarding</t>
        </is>
      </c>
      <c r="G525" s="185" t="n"/>
      <c r="H525" s="185" t="n"/>
      <c r="I525" s="185" t="n"/>
      <c r="J525" s="185" t="n"/>
      <c r="K525" s="185" t="n"/>
      <c r="L525" s="185" t="n"/>
      <c r="M525" s="186" t="inlineStr">
        <is>
          <t>This area is not an assessment area. If risk or a safeguarding concern arises, you stop, you tell your supervisor the same day, and you follow Children First and the school DLP route. UCD Handbook §6.2 requires you to raise crises immediately. Know the pathway before the day you need it.</t>
        </is>
      </c>
    </row>
    <row r="526" outlineLevel="2" ht="15" customHeight="1" s="128">
      <c r="A526" s="183" t="inlineStr">
        <is>
          <t>CAT</t>
        </is>
      </c>
      <c r="B526" s="183" t="inlineStr">
        <is>
          <t>Early Years / Pre-School  (0–5 years)</t>
        </is>
      </c>
      <c r="C526" s="183" t="inlineStr">
        <is>
          <t>4. SOCIAL</t>
        </is>
      </c>
      <c r="D526" s="183" t="n"/>
      <c r="E526" s="183" t="inlineStr">
        <is>
          <t>2 areas present at this age</t>
        </is>
      </c>
      <c r="F526" s="183" t="n"/>
      <c r="G526" s="183" t="n"/>
      <c r="H526" s="183" t="n"/>
      <c r="I526" s="183" t="n"/>
      <c r="J526" s="183" t="n"/>
      <c r="K526" s="183" t="n"/>
      <c r="L526" s="183" t="n"/>
    </row>
    <row r="527" outlineLevel="2" ht="408.75" customHeight="1" s="128">
      <c r="A527" s="148" t="n"/>
      <c r="B527" s="149" t="inlineStr">
        <is>
          <t>Early Years / Pre-School  (0–5 years)</t>
        </is>
      </c>
      <c r="C527" s="149" t="inlineStr">
        <is>
          <t>4. SOCIAL</t>
        </is>
      </c>
      <c r="D527" s="148" t="inlineStr">
        <is>
          <t>Everything for this area at this age</t>
        </is>
      </c>
      <c r="E527" s="184" t="inlineStr">
        <is>
          <t>6 dx · 9 pres · 2 tools</t>
        </is>
      </c>
      <c r="F527" s="164" t="inlineStr">
        <is>
          <t>4.1 Friendships and social skills</t>
        </is>
      </c>
      <c r="G527" s="133" t="n"/>
      <c r="H527" s="148" t="n"/>
      <c r="I527" s="148" t="n"/>
      <c r="J527" s="148" t="n"/>
      <c r="K527" s="148" t="n"/>
      <c r="L527" s="148" t="n"/>
      <c r="M527" s="164" t="inlineStr">
        <is>
          <t>1 · DIAGNOSED — what it could be
Autism Spectrum Disorder — level 1, requiring support — DSM-5-TR / ICD-11 6A02
Autism Spectrum Disorder — level 2, requiring substantial support — DSM-5-TR / ICD-11 6A02
Autism Spectrum Disorder — level 3, requiring very substantial support — DSM-5-TR / ICD-11 6A02
ASD with accompanying intellectual impairment — DSM-5-TR specifier
ASD with accompanying language impairment — DSM-5-TR specifier
Social (Pragmatic) Communication Disorder — DSM-5-TR / ICD-11 6A01</t>
        </is>
      </c>
      <c r="N527" s="164" t="inlineStr">
        <is>
          <t>2 · NOT DIAGNOSED — descriptive presentations
Pathological Demand Avoidance (PDA) profile — Not a DSM diagnosis
Peer relationship difficulties and social isolation — Not a DSM diagnosis
Bullying — Not a DSM diagnosis
Social adaptive skills — Not a DSM diagnosis
Co-operation with peers in group work — Added — Form 2 survey wording
Turn-taking and shared play — Added
Reading social cues and repair after conflict — Added
Masking and the cost of it — Added
Loneliness without observable difficulty — Added — the quiet ones get missed</t>
        </is>
      </c>
      <c r="O527" s="164" t="inlineStr">
        <is>
          <t>3 · WHO THEY ARE REFERRED TO
CDNT
NEPS for school supports
NEPS
NEPS with SLT
whole-school policy support</t>
        </is>
      </c>
      <c r="P527" s="164" t="inlineStr">
        <is>
          <t>4 · WHAT YOU WOULD DO AT THIS AGE
Play observation · ADOS-2 Toddler/Module 1 via CDNT · parent developmental history · SCQ · AIM and preschool staff consultation.</t>
        </is>
      </c>
      <c r="Q527" s="164" t="inlineStr">
        <is>
          <t>ADOS-2 Toddler / Module 1
AGE: 12 months+
MEASURES: Standardised observation of social affect and restricted/repetitive behaviour.
CANNOT TELL YOU: It is not a diagnosis on its own. Requires training and is team-administered.
TIME: 40–60 min
LANDS IN: CDNT diagnostic report</t>
        </is>
      </c>
      <c r="R527" s="164" t="inlineStr">
        <is>
          <t>SCQ (Social Communication Questionnaire)
AGE: 4:0+, mental age 2+
MEASURES: Parent-report screen for autism-related behaviours.
CANNOT TELL YOU: Diagnosis. A negative screen does not rule out autism in a verbally able child.
TIME: 10 min parent
LANDS IN: Screening record · referral</t>
        </is>
      </c>
    </row>
    <row r="528" outlineLevel="2" ht="408.75" customHeight="1" s="128">
      <c r="A528" s="148" t="n"/>
      <c r="B528" s="149" t="inlineStr">
        <is>
          <t>Early Years / Pre-School  (0–5 years)</t>
        </is>
      </c>
      <c r="C528" s="149" t="inlineStr">
        <is>
          <t>4. SOCIAL</t>
        </is>
      </c>
      <c r="D528" s="148" t="inlineStr">
        <is>
          <t>Everything for this area at this age</t>
        </is>
      </c>
      <c r="E528" s="184" t="inlineStr">
        <is>
          <t>3 dx · 8 pres · 2 tools</t>
        </is>
      </c>
      <c r="F528" s="164" t="inlineStr">
        <is>
          <t>4.2 Relationships with adults</t>
        </is>
      </c>
      <c r="G528" s="133" t="n"/>
      <c r="H528" s="148" t="n"/>
      <c r="I528" s="148" t="n"/>
      <c r="J528" s="148" t="n"/>
      <c r="K528" s="148" t="n"/>
      <c r="L528" s="148" t="n"/>
      <c r="M528" s="164" t="inlineStr">
        <is>
          <t>1 · DIAGNOSED — what it could be
Relational problems (parent-child, sibling, upbringing away from parents) — DSM-5-TR Z-codes / ICD-11 Ch.24
Gender Dysphoria in children — DSM-5-TR / ICD-11 Ch.17
Gender Dysphoria in adolescents — DSM-5-TR / ICD-11 Ch.17</t>
        </is>
      </c>
      <c r="N528" s="164" t="inlineStr">
        <is>
          <t>2 · NOT DIAGNOSED — descriptive presentations
Self-advocacy — Not a DSM diagnosis
LGBTQ+ identity support — Not a disorder
Cultural and linguistic identity — Not a disorder
Attitude towards staff — Added — Form 2 survey wording
Trust and the effect of one key adult — Added
Response to authority and to being corrected — Added
Relationship with the SNA and dependence on adult proximity — Added
Help-seeking from adults — Added</t>
        </is>
      </c>
      <c r="O528" s="164" t="inlineStr">
        <is>
          <t>3 · WHO THEY ARE REFERRED TO
Primary Care
CDNT
CAMHS
Specialist services
NEPS
school supports</t>
        </is>
      </c>
      <c r="P528" s="164" t="inlineStr">
        <is>
          <t>4 · WHAT YOU WOULD DO AT THIS AGE
Key-worker relationship in the setting · attachment behaviour at separation and reunion · parent report.</t>
        </is>
      </c>
      <c r="Q528" s="164" t="inlineStr">
        <is>
          <t>ADOS-2 Toddler / Module 1
AGE: 12 months+
MEASURES: Standardised observation of social affect and restricted/repetitive behaviour.
CANNOT TELL YOU: It is not a diagnosis on its own. Requires training and is team-administered.
TIME: 40–60 min
LANDS IN: CDNT diagnostic report</t>
        </is>
      </c>
      <c r="R528" s="164" t="inlineStr">
        <is>
          <t>SCQ (Social Communication Questionnaire)
AGE: 4:0+, mental age 2+
MEASURES: Parent-report screen for autism-related behaviours.
CANNOT TELL YOU: Diagnosis. A negative screen does not rule out autism in a verbally able child.
TIME: 10 min parent
LANDS IN: Screening record · referral</t>
        </is>
      </c>
    </row>
    <row r="529" outlineLevel="2" ht="15" customHeight="1" s="128">
      <c r="A529" s="183" t="inlineStr">
        <is>
          <t>CAT</t>
        </is>
      </c>
      <c r="B529" s="183" t="inlineStr">
        <is>
          <t>Early Years / Pre-School  (0–5 years)</t>
        </is>
      </c>
      <c r="C529" s="183" t="inlineStr">
        <is>
          <t>5. OTHER</t>
        </is>
      </c>
      <c r="D529" s="183" t="n"/>
      <c r="E529" s="183" t="inlineStr">
        <is>
          <t>6 areas present at this age</t>
        </is>
      </c>
      <c r="F529" s="183" t="n"/>
      <c r="G529" s="183" t="n"/>
      <c r="H529" s="183" t="n"/>
      <c r="I529" s="183" t="n"/>
      <c r="J529" s="183" t="n"/>
      <c r="K529" s="183" t="n"/>
      <c r="L529" s="183" t="n"/>
    </row>
    <row r="530" outlineLevel="2" ht="408.75" customHeight="1" s="128">
      <c r="A530" s="148" t="n"/>
      <c r="B530" s="149" t="inlineStr">
        <is>
          <t>Early Years / Pre-School  (0–5 years)</t>
        </is>
      </c>
      <c r="C530" s="149" t="inlineStr">
        <is>
          <t>5. OTHER</t>
        </is>
      </c>
      <c r="D530" s="148" t="inlineStr">
        <is>
          <t>Everything for this area at this age</t>
        </is>
      </c>
      <c r="E530" s="184" t="inlineStr">
        <is>
          <t>1 dx · 3 pres · 0 tools</t>
        </is>
      </c>
      <c r="F530" s="164" t="inlineStr">
        <is>
          <t>5.1 Vision</t>
        </is>
      </c>
      <c r="G530" s="133" t="n"/>
      <c r="H530" s="148" t="n"/>
      <c r="I530" s="148" t="n"/>
      <c r="J530" s="148" t="n"/>
      <c r="K530" s="148" t="n"/>
      <c r="L530" s="148" t="n"/>
      <c r="M530" s="164" t="inlineStr">
        <is>
          <t>1 · DIAGNOSED — what it could be
Visual impairment — Medical</t>
        </is>
      </c>
      <c r="N530" s="164" t="inlineStr">
        <is>
          <t>2 · NOT DIAGNOSED — descriptive presentations
Uncorrected refractive error — Added — rule out before assessing literacy
Visual fatigue in extended reading — Added
Access to print — font, size, contrast, position in room — Added</t>
        </is>
      </c>
      <c r="O530" s="164" t="inlineStr">
        <is>
          <t>3 · WHO THEY ARE REFERRED TO
Ophthalmology
Visiting Teacher service
CDNT
GP
Optometry
NEPS
Visiting Teacher</t>
        </is>
      </c>
      <c r="P530" s="164" t="inlineStr">
        <is>
          <t>4 · WHAT YOU WOULD DO AT THIS AGE
Vision screening history · Public Health Nurse records · never assess visually loaded tasks before vision is ruled out.</t>
        </is>
      </c>
    </row>
    <row r="531" outlineLevel="2" ht="408.75" customHeight="1" s="128">
      <c r="A531" s="148" t="n"/>
      <c r="B531" s="149" t="inlineStr">
        <is>
          <t>Early Years / Pre-School  (0–5 years)</t>
        </is>
      </c>
      <c r="C531" s="149" t="inlineStr">
        <is>
          <t>5. OTHER</t>
        </is>
      </c>
      <c r="D531" s="148" t="inlineStr">
        <is>
          <t>Everything for this area at this age</t>
        </is>
      </c>
      <c r="E531" s="184" t="inlineStr">
        <is>
          <t>2 dx · 3 pres · 0 tools</t>
        </is>
      </c>
      <c r="F531" s="164" t="inlineStr">
        <is>
          <t>5.2 Hearing</t>
        </is>
      </c>
      <c r="G531" s="133" t="n"/>
      <c r="H531" s="148" t="n"/>
      <c r="I531" s="148" t="n"/>
      <c r="J531" s="148" t="n"/>
      <c r="K531" s="148" t="n"/>
      <c r="L531" s="148" t="n"/>
      <c r="M531" s="164" t="inlineStr">
        <is>
          <t>1 · DIAGNOSED — what it could be
Hearing impairment (mild, moderate, severe, profound; unilateral or bilateral) — Medical
Recurrent otitis media with effusion (glue ear) — Medical</t>
        </is>
      </c>
      <c r="N531" s="164" t="inlineStr">
        <is>
          <t>2 · NOT DIAGNOSED — descriptive presentations
Listening in noise vs listening one-to-one — Added
Classroom acoustics and seating — Added
Hearing history during the years phonics was taught — Added — glue ear at 5 shows up at 8</t>
        </is>
      </c>
      <c r="O531" s="164" t="inlineStr">
        <is>
          <t>3 · WHO THEY ARE REFERRED TO
Audiology
Visiting Teacher service
CDNT
GP
Audiology — common contributor to literacy difficulty
NEPS
Visiting Teacher</t>
        </is>
      </c>
      <c r="P531" s="164" t="inlineStr">
        <is>
          <t>4 · WHAT YOU WOULD DO AT THIS AGE
Newborn screening and PHN records · glue ear history · always establish before any language conclusion.</t>
        </is>
      </c>
    </row>
    <row r="532" outlineLevel="2" ht="408.75" customHeight="1" s="128">
      <c r="A532" s="148" t="n"/>
      <c r="B532" s="149" t="inlineStr">
        <is>
          <t>Early Years / Pre-School  (0–5 years)</t>
        </is>
      </c>
      <c r="C532" s="149" t="inlineStr">
        <is>
          <t>5. OTHER</t>
        </is>
      </c>
      <c r="D532" s="148" t="inlineStr">
        <is>
          <t>Everything for this area at this age</t>
        </is>
      </c>
      <c r="E532" s="184" t="inlineStr">
        <is>
          <t>11 dx · 7 pres · 2 tools</t>
        </is>
      </c>
      <c r="F532" s="164" t="inlineStr">
        <is>
          <t>5.3 Medical condition or other diagnosis</t>
        </is>
      </c>
      <c r="G532" s="133" t="n"/>
      <c r="H532" s="148" t="n"/>
      <c r="I532" s="148" t="n"/>
      <c r="J532" s="148" t="n"/>
      <c r="K532" s="148" t="n"/>
      <c r="L532" s="148" t="n"/>
      <c r="M532" s="164" t="inlineStr">
        <is>
          <t>1 · DIAGNOSED — what it could be
Epilepsy and its educational impact — Medical / ICD-11 Ch.08
Cerebral palsy (spastic / dyskinetic / ataxic / mixed) — Medical / ICD-11 Ch.08
Spina bifida — Medical / ICD-11 Ch.08
Muscular dystrophy — Medical / ICD-11 Ch.08
Acquired brain injury — Medical / ICD-11 Ch.08
Foetal Alcohol Spectrum Disorder — Prenatal exposure
Genetic syndromes (Down, Fragile X, 22q11.2, Williams, Prader-Willi, Angelman, Rett) — ICD-11 Ch.20
Sleep disorders (insomnia, hypersomnolence, narcolepsy, breathing-related, circadian, RLS, NREM arousal, nightmare, REM behaviour) — DSM-5-TR / ICD-11 Ch.07
Feeding and eating disorders (Pica, Rumination, ARFID, Anorexia, Bulimia, Binge-Eating) — DSM-5-TR / ICD-11 6B80–6B8Z
Elimination disorders (Enuresis, Encopresis) — DSM-5-TR / ICD-11 6C00–6C0Z
Somatic Symptom Disorder / Illness Anxiety / Conversion Disorder — DSM-5-TR / ICD-11 6C20–6C2Z</t>
        </is>
      </c>
      <c r="N532" s="164" t="inlineStr">
        <is>
          <t>2 · NOT DIAGNOSED — descriptive presentations
Physical disability (non-cerebral palsy) — Medical
Multiple disabilities — Medical
Chronic illness affecting school — Medical
Fatigue and stamina needs — Medical
Medication effects on attention and learning — Added
Missed curriculum from hospital admissions — Added
Re-entry to school after illness — Added</t>
        </is>
      </c>
      <c r="O532" s="164" t="inlineStr">
        <is>
          <t>3 · WHO THEY ARE REFERRED TO
Paediatric neurology
CDNT
OT
Physio
Paediatrics
GP
CAMHS pathway
Primary Care
paediatric liaison
NEPS for school supports
NEPS
CAMHS
home tuition</t>
        </is>
      </c>
      <c r="P532" s="164" t="inlineStr">
        <is>
          <t>4 · WHAT YOU WOULD DO AT THIS AGE
Medical history from parent and PHN · developmental milestones · CDNT is usually the lead, not NEPS.</t>
        </is>
      </c>
      <c r="Q532" s="164" t="inlineStr">
        <is>
          <t>Vineland-3
AGE: birth–90
MEASURES: Communication, daily living skills, socialisation, motor.
CANNOT TELL YOU: Ability. Adaptive score and cognitive score answer different questions and often diverge.
TIME: 20–60 min
LANDS IN: Report · CDNT · Table 3 Early Years</t>
        </is>
      </c>
      <c r="R532" s="164" t="inlineStr">
        <is>
          <t>ABAS-3
AGE: birth–89
MEASURES: Conceptual, social and practical adaptive domains.
CANNOT TELL YOU: What the child can do in a structured one-to-one setting — it measures typical performance, not capacity.
TIME: 15–20 min per rater
LANDS IN: Report · Appendix 5
*** FULL TEACHING — PART G ***</t>
        </is>
      </c>
    </row>
    <row r="533" outlineLevel="2" ht="408.75" customHeight="1" s="128">
      <c r="A533" s="148" t="n"/>
      <c r="B533" s="149" t="inlineStr">
        <is>
          <t>Early Years / Pre-School  (0–5 years)</t>
        </is>
      </c>
      <c r="C533" s="149" t="inlineStr">
        <is>
          <t>5. OTHER</t>
        </is>
      </c>
      <c r="D533" s="148" t="inlineStr">
        <is>
          <t>Everything for this area at this age</t>
        </is>
      </c>
      <c r="E533" s="184" t="inlineStr">
        <is>
          <t>0 dx · 5 pres · 4 tools</t>
        </is>
      </c>
      <c r="F533" s="164" t="inlineStr">
        <is>
          <t>5.4 Concerns about early development</t>
        </is>
      </c>
      <c r="G533" s="133" t="n"/>
      <c r="H533" s="148" t="n"/>
      <c r="I533" s="148" t="n"/>
      <c r="J533" s="148" t="n"/>
      <c r="K533" s="148" t="n"/>
      <c r="L533" s="148" t="n"/>
      <c r="M533" s="164" t="inlineStr">
        <is>
          <t>1 · DIAGNOSED
None. Everything here is a presentation.</t>
        </is>
      </c>
      <c r="N533" s="164" t="inlineStr">
        <is>
          <t>2 · NOT DIAGNOSED — descriptive presentations
Parent-infant mental health / 0–3 attachment work — Not a DSM diagnosis
Early Intervention Team caseload (0–6, pre-diagnostic) — Not a DSM diagnosis
Delayed developmental milestones — Not a DSM diagnosis
AIM level and preschool support already in place — Added
Transition from preschool to primary — Added</t>
        </is>
      </c>
      <c r="O533" s="164" t="inlineStr">
        <is>
          <t>3 · WHO THEY ARE REFERRED TO
CDNT 0–6 teams
Primary Care
CDNT
Public Health Nurse
Paediatrics
AIM
NEPS
SENO</t>
        </is>
      </c>
      <c r="P533" s="164" t="inlineStr">
        <is>
          <t>4 · WHAT YOU WOULD DO AT THIS AGE
This is the band. Developmental history · PHN records · Schedule of Growing Skills · Griffiths III via CDNT · AIM and preschool staff consultation · NEPS involvement here is usually consultation, not assessment. This is your hardest band to cover on placement — plan it deliberately.</t>
        </is>
      </c>
      <c r="Q533" s="164" t="inlineStr">
        <is>
          <t>WPPSI-IV UK
AGE: 2:6–7:7
MEASURES: Verbal comprehension, visual spatial, fluid reasoning, working memory, processing speed. Full Scale IQ from 4:0.
CANNOT TELL YOU: Nothing about why a young child performed as they did. Index scatter is far less stable at this age than at school age — do not build a profile argument on it.
TIME: 60–75 min
LANDS IN: Psychological report · Appendix 5 · Table 3 Early Years</t>
        </is>
      </c>
      <c r="R533" s="164" t="inlineStr">
        <is>
          <t>Griffiths III
AGE: 0–6
MEASURES: Foundations of learning, language and communication, eye and hand co-ordination, personal-social-emotional, gross motor.
CANNOT TELL YOU: Not a cognitive test in the IQ sense and not a diagnosis. Usually administered by the CDNT, not by NEPS.
TIME: 60–90 min
LANDS IN: Report · consultation record</t>
        </is>
      </c>
      <c r="S533" s="164" t="inlineStr">
        <is>
          <t>Bayley-4
AGE: 16 days–42 months
MEASURES: Cognitive, language, motor, social-emotional, adaptive behaviour.
CANNOT TELL YOU: Poor long-range prediction of later IQ. A low score at 18 months is a description of now, not a forecast.
TIME: 30–90 min
LANDS IN: CDNT report — rarely trainee-administered</t>
        </is>
      </c>
      <c r="T533" s="164" t="inlineStr">
        <is>
          <t>Leiter-3
AGE: 3:0–75:11
MEASURES: Non-verbal cognitive ability with no spoken instruction required.
CANNOT TELL YOU: Verbal reasoning, which for many children is the area of concern. Use alongside, not instead of.
TIME: 45 min
LANDS IN: Report — the option where language or EAL confounds a verbal battery</t>
        </is>
      </c>
    </row>
    <row r="534" outlineLevel="2" ht="408.75" customHeight="1" s="128">
      <c r="A534" s="148" t="n"/>
      <c r="B534" s="149" t="inlineStr">
        <is>
          <t>Early Years / Pre-School  (0–5 years)</t>
        </is>
      </c>
      <c r="C534" s="149" t="inlineStr">
        <is>
          <t>5. OTHER</t>
        </is>
      </c>
      <c r="D534" s="148" t="inlineStr">
        <is>
          <t>Everything for this area at this age</t>
        </is>
      </c>
      <c r="E534" s="184" t="inlineStr">
        <is>
          <t>5 dx · 10 pres · 0 tools</t>
        </is>
      </c>
      <c r="F534" s="164" t="inlineStr">
        <is>
          <t>5.5 Involvement of other services</t>
        </is>
      </c>
      <c r="G534" s="133" t="n"/>
      <c r="H534" s="148" t="n"/>
      <c r="I534" s="148" t="n"/>
      <c r="J534" s="148" t="n"/>
      <c r="K534" s="148" t="n"/>
      <c r="L534" s="148" t="n"/>
      <c r="M534" s="164" t="inlineStr">
        <is>
          <t>1 · DIAGNOSED — what it could be
Psychotic disorders (Delusional, Brief Psychotic, Schizophreniform, Schizophrenia, Schizoaffective) — DSM-5-TR / ICD-11 6A20–6A2Z
Bipolar and related disorders (Bipolar I, Bipolar II, Cyclothymic) — DSM-5-TR / ICD-11 6A60–6A6Z
Dissociative disorders (DID, Dissociative Amnesia, Depersonalisation/Derealisation) — DSM-5-TR / ICD-11 6B60–6B6Z
Personality disorders — Clusters A, B, C — DSM-5-TR / ICD-11 6D10–6D11
Catatonia — DSM-5-TR / ICD-11 6A40–6A4Z</t>
        </is>
      </c>
      <c r="N534" s="164" t="inlineStr">
        <is>
          <t>2 · NOT DIAGNOSED — descriptive presentations
Care-experienced children (foster, kinship, residential, aftercare) — Not a DSM diagnosis
Child protection and welfare concerns — Not a DSM diagnosis
Domestic violence exposure — Not a DSM diagnosis
Parenting capacity concerns — Not a DSM diagnosis
Family functioning difficulties — Not a DSM diagnosis
Housing and economic problems — DSM-5-TR Z-codes
Social exclusion, discrimination, acculturation difficulty — DSM-5-TR Z-codes
Knowing which service does what, and the referral route — Added — your named development area
Multi-disciplinary meetings and your role in them — Added
Professional and service boundaries — what is not yours to do — Added — your named development area</t>
        </is>
      </c>
      <c r="O534" s="164" t="inlineStr">
        <is>
          <t>3 · WHO THEY ARE REFERRED TO
CAMHS
Late adolescence and adult services
CAMHS transition
Tusla
Primary Care
Tusla — Children First
community services
NEPS
supervisor</t>
        </is>
      </c>
      <c r="P534" s="164" t="inlineStr">
        <is>
          <t>4 · WHAT YOU WOULD DO AT THIS AGE
Who is already involved, from Form 2 section 2 · do not duplicate an assessment another service has done.</t>
        </is>
      </c>
    </row>
    <row r="535" outlineLevel="2" ht="408.75" customHeight="1" s="128">
      <c r="A535" s="148" t="n"/>
      <c r="B535" s="149" t="inlineStr">
        <is>
          <t>Early Years / Pre-School  (0–5 years)</t>
        </is>
      </c>
      <c r="C535" s="149" t="inlineStr">
        <is>
          <t>5. OTHER</t>
        </is>
      </c>
      <c r="D535" s="148" t="inlineStr">
        <is>
          <t>Everything for this area at this age</t>
        </is>
      </c>
      <c r="E535" s="184" t="inlineStr">
        <is>
          <t>0 dx · 14 pres · 0 tools</t>
        </is>
      </c>
      <c r="F535" s="164" t="inlineStr">
        <is>
          <t>5.6 School and access factors</t>
        </is>
      </c>
      <c r="G535" s="133" t="n"/>
      <c r="H535" s="148" t="n"/>
      <c r="I535" s="148" t="n"/>
      <c r="J535" s="148" t="n"/>
      <c r="K535" s="148" t="n"/>
      <c r="L535" s="148" t="n"/>
      <c r="M535" s="164" t="inlineStr">
        <is>
          <t>1 · DIAGNOSED
None. Everything here is a presentation.</t>
        </is>
      </c>
      <c r="N535" s="164" t="inlineStr">
        <is>
          <t>2 · NOT DIAGNOSED — descriptive presentations
Classroom environment — Context, not a diagnosis
Teaching match — Context, not a diagnosis
Curriculum demands — Context, not a diagnosis
Behaviour system fit — Context, not a diagnosis
Attendance and transitions — Context, not a diagnosis
Transition planning (early years to primary, primary to post-primary, school leaver) — Not a diagnosis
Assistive technology — Not a diagnosis
Reasonable Accommodations in State Examinations (RACE) — Not a diagnosis
SNA and resource teaching allocation — Not a diagnosis
Home learning environment — Context, not a diagnosis
Community context — Context, not a diagnosis
Continuum of Support level and whether it was actually implemented — Added
Whole-school policy and practice — Added — your systemic change development area
Staff training need identified through casework — Added</t>
        </is>
      </c>
      <c r="O535" s="164" t="inlineStr">
        <is>
          <t>3 · WHO THEY ARE REFERRED TO
NEPS
Educational Welfare (Tusla)
SENO
State Examinations Commission
NCSE
Primary Care
community services</t>
        </is>
      </c>
      <c r="P535" s="164" t="inlineStr">
        <is>
          <t>4 · WHAT YOU WOULD DO AT THIS AGE
Preschool room organisation · AIM supports · staff:child ratio.</t>
        </is>
      </c>
    </row>
    <row r="536" ht="19.5" customHeight="1" s="128">
      <c r="A536" s="147" t="inlineStr">
        <is>
          <t>BAND</t>
        </is>
      </c>
      <c r="B536" s="147" t="inlineStr">
        <is>
          <t>School Age  (6–12 years)</t>
        </is>
      </c>
      <c r="C536" s="147" t="n"/>
      <c r="D536" s="147" t="n"/>
      <c r="E536" s="147" t="inlineStr">
        <is>
          <t>Everything below is what this age looks like</t>
        </is>
      </c>
      <c r="F536" s="147" t="n"/>
      <c r="G536" s="147" t="n"/>
      <c r="H536" s="147" t="n"/>
      <c r="I536" s="147" t="n"/>
      <c r="J536" s="147" t="n"/>
      <c r="K536" s="147" t="n"/>
      <c r="L536" s="147" t="n"/>
      <c r="M536" s="147" t="n"/>
      <c r="N536" s="147" t="n"/>
      <c r="O536" s="147" t="n"/>
      <c r="P536" s="147" t="n"/>
      <c r="Q536" s="147" t="n"/>
      <c r="R536" s="147" t="n"/>
      <c r="S536" s="147" t="n"/>
      <c r="T536" s="147" t="n"/>
      <c r="U536" s="147" t="n"/>
      <c r="V536" s="147" t="n"/>
      <c r="W536" s="147" t="n"/>
      <c r="X536" s="147" t="n"/>
      <c r="Y536" s="147" t="n"/>
      <c r="Z536" s="147" t="n"/>
      <c r="AA536" s="147" t="n"/>
      <c r="AB536" s="147" t="n"/>
      <c r="AC536" s="147" t="n"/>
      <c r="AD536" s="147" t="n"/>
      <c r="AE536" s="147" t="n"/>
      <c r="AF536" s="147" t="n"/>
      <c r="AG536" s="147" t="n"/>
      <c r="AH536" s="147" t="n"/>
      <c r="AI536" s="147" t="n"/>
      <c r="AJ536" s="147" t="n"/>
      <c r="AK536" s="147" t="n"/>
    </row>
    <row r="537" outlineLevel="2" ht="15" customHeight="1" s="128">
      <c r="A537" s="183" t="inlineStr">
        <is>
          <t>CAT</t>
        </is>
      </c>
      <c r="B537" s="183" t="inlineStr">
        <is>
          <t>School Age  (6–12 years)</t>
        </is>
      </c>
      <c r="C537" s="183" t="inlineStr">
        <is>
          <t>1. LEARNING</t>
        </is>
      </c>
      <c r="D537" s="183" t="n"/>
      <c r="E537" s="183" t="inlineStr">
        <is>
          <t>6 areas present at this age</t>
        </is>
      </c>
      <c r="F537" s="183" t="n"/>
      <c r="G537" s="183" t="n"/>
      <c r="H537" s="183" t="n"/>
      <c r="I537" s="183" t="n"/>
      <c r="J537" s="183" t="n"/>
      <c r="K537" s="183" t="n"/>
      <c r="L537" s="183" t="n"/>
    </row>
    <row r="538" outlineLevel="2" ht="408.75" customHeight="1" s="128">
      <c r="A538" s="148" t="n"/>
      <c r="B538" s="149" t="inlineStr">
        <is>
          <t>School Age  (6–12 years)</t>
        </is>
      </c>
      <c r="C538" s="149" t="inlineStr">
        <is>
          <t>1. LEARNING</t>
        </is>
      </c>
      <c r="D538" s="148" t="inlineStr">
        <is>
          <t>Everything for this area at this age</t>
        </is>
      </c>
      <c r="E538" s="184" t="inlineStr">
        <is>
          <t>5 dx · 15 pres · 3 tools</t>
        </is>
      </c>
      <c r="F538" s="164" t="inlineStr">
        <is>
          <t>1.1 Attention, concentration and work skills</t>
        </is>
      </c>
      <c r="G538" s="133" t="n"/>
      <c r="H538" s="148" t="n"/>
      <c r="I538" s="148" t="n"/>
      <c r="J538" s="148" t="n"/>
      <c r="K538" s="148" t="n"/>
      <c r="L538" s="148" t="n"/>
      <c r="M538" s="164" t="inlineStr">
        <is>
          <t>1 · DIAGNOSED — what it could be
ADHD — combined presentation — DSM-5-TR / ICD-11 6A05
ADHD — predominantly inattentive presentation — DSM-5-TR / ICD-11 6A05
ADHD — predominantly hyperactive/impulsive presentation — DSM-5-TR / ICD-11 6A05
Other specified ADHD — DSM-5-TR / ICD-11 6A05
Unspecified ADHD — DSM-5-TR / ICD-11 6A05</t>
        </is>
      </c>
      <c r="N538" s="164" t="inlineStr">
        <is>
          <t>2 · NOT DIAGNOSED — descriptive presentations
Working memory difficulty — Executive function profile, not a diagnosis
Inhibition difficulty — Executive function profile
Cognitive flexibility difficulty — Executive function profile
Planning and organisation difficulty — Executive function profile
Task initiation difficulty — Executive function profile
Self-monitoring difficulty — Executive function profile
Motivation and engagement with work — Added — not in the conditions index
Work rate and pace of output — Added
Homework completion and follow-through — Added
Organisation of materials, books and equipment — Added
Sustained attention in whole-class vs one-to-one — Added
Note-taking and recording from the board — Added
Study skills and revision strategy — Added
Help-seeking — knowing when and how to ask — Added
Fatigue, sleep and time-of-day effects on attention — Added</t>
        </is>
      </c>
      <c r="O538" s="164" t="inlineStr">
        <is>
          <t>3 · WHO THEY ARE REFERRED TO
CAMHS (complex or medication)
Primary Care
CAMHS
NEPS
GP if persistent</t>
        </is>
      </c>
      <c r="P538" s="164" t="inlineStr">
        <is>
          <t>4 · WHAT YOU WOULD DO AT THIS AGE
Classroom observation (momentary time sampling with a comparison peer) · Conners-4 parent and teacher · BRIEF-2 parent and teacher · WISC-V Working Memory and Processing Speed indices · TEA-Ch2 · work-sample analysis.</t>
        </is>
      </c>
      <c r="Q538" s="164" t="inlineStr">
        <is>
          <t>Conners-4
AGE: 6:0–18:11 (self-report 8+)
MEASURES: ADHD-related behaviour across parent, teacher and self-report.
CANNOT TELL YOU: Diagnosis. Rating scales are informant perception, and parent–teacher disagreement is itself a finding.
TIME: 10–20 min per rater
LANDS IN: Screening record · referral to CAMHS or Primary Care</t>
        </is>
      </c>
      <c r="R538" s="164" t="inlineStr">
        <is>
          <t>BRIEF-2
AGE: 5:0–18:0
MEASURES: Everyday executive function: inhibit, shift, emotional control, initiate, working memory, plan/organise, monitor.
CANNOT TELL YOU: Performance-based executive function. BRIEF-2 and a performance task can disagree and both be valid.
TIME: 10–15 min per rater
LANDS IN: Report · intervention plan</t>
        </is>
      </c>
      <c r="S538" s="164" t="inlineStr">
        <is>
          <t>TEA-Ch2
AGE: 5:0–15:11
MEASURES: Sustained, selective and switching attention, performance-based.
CANNOT TELL YOU: Everyday functioning — pair with BRIEF-2 or Conners.
TIME: 30–60 min
LANDS IN: Report</t>
        </is>
      </c>
    </row>
    <row r="539" outlineLevel="2" ht="408.75" customHeight="1" s="128">
      <c r="A539" s="148" t="n"/>
      <c r="B539" s="149" t="inlineStr">
        <is>
          <t>School Age  (6–12 years)</t>
        </is>
      </c>
      <c r="C539" s="149" t="inlineStr">
        <is>
          <t>1. LEARNING</t>
        </is>
      </c>
      <c r="D539" s="148" t="inlineStr">
        <is>
          <t>Everything for this area at this age</t>
        </is>
      </c>
      <c r="E539" s="184" t="inlineStr">
        <is>
          <t>5 dx · 9 pres · 3 tools</t>
        </is>
      </c>
      <c r="F539" s="164" t="inlineStr">
        <is>
          <t>1.2 Language skills</t>
        </is>
      </c>
      <c r="G539" s="133" t="n"/>
      <c r="H539" s="148" t="n"/>
      <c r="I539" s="148" t="n"/>
      <c r="J539" s="148" t="n"/>
      <c r="K539" s="148" t="n"/>
      <c r="L539" s="148" t="n"/>
      <c r="M539" s="164" t="inlineStr">
        <is>
          <t>1 · DIAGNOSED — what it could be
Language Disorder (expressive / receptive / mixed) — DLD — DSM-5-TR / ICD-11 6A01
Speech Sound Disorder — DSM-5-TR / ICD-11 6A01
Childhood-Onset Fluency Disorder (stuttering) — DSM-5-TR / ICD-11 6A01
Unspecified Communication Disorder — DSM-5-TR / ICD-11 6A01
Selective mutism — DSM-5-TR anxiety / ICD-11 6B00–6B0Z</t>
        </is>
      </c>
      <c r="N539" s="164" t="inlineStr">
        <is>
          <t>2 · NOT DIAGNOSED — descriptive presentations
AAC and communication access — Not a DSM diagnosis
English as an Additional Language (EAL) — Not a disorder — can mimic language disorder, rule out
Bilingual language development — Not a disorder
Vocabulary gap from limited exposure — Added
Participation in oral work and classroom talk — Added — Form 2 wording
Following multi-step verbal instructions — Added
Narrative and sequencing in spoken account — Added
Word-finding difficulty — Added
Interpreter need and how it changes the assessment — Added</t>
        </is>
      </c>
      <c r="O539" s="164" t="inlineStr">
        <is>
          <t>3 · WHO THEY ARE REFERRED TO
NEPS with SLT
NCSE speech and language class
Primary Care (mild–moderate)
CAMHS (severe) — also under 3.2
SLT
CDNT
NEPS
NEPS interpreter request form</t>
        </is>
      </c>
      <c r="P539" s="164" t="inlineStr">
        <is>
          <t>4 · WHAT YOU WOULD DO AT THIS AGE
BPVS-3 receptive vocabulary · EVT-3 expressive · CELF-5 via SLT · WISC-V Verbal Comprehension Index · classroom observation of oral participation · teacher report on instruction-following.</t>
        </is>
      </c>
      <c r="Q539" s="164" t="inlineStr">
        <is>
          <t>CELF-5 UK
AGE: 5:0–21:11
MEASURES: Receptive and expressive language, language content and structure.
CANNOT TELL YOU: Pragmatic language in context — use observation and the pragmatics checklist.
TIME: 45–60 min
LANDS IN: SLT report</t>
        </is>
      </c>
      <c r="R539" s="164" t="inlineStr">
        <is>
          <t>BPVS-3
AGE: 3:0–16:11
MEASURES: Receptive vocabulary.
CANNOT TELL YOU: Expressive language, grammar or comprehension of connected speech. Heavily exposure-dependent.
TIME: 10 min
LANDS IN: Report</t>
        </is>
      </c>
      <c r="S539" s="164" t="inlineStr">
        <is>
          <t>Renfrew Action Picture Test
AGE: 3:0–8:11
MEASURES: Information and grammar in spoken narrative.
CANNOT TELL YOU: Receptive language.
TIME: 10 min
LANDS IN: SLT consultation</t>
        </is>
      </c>
    </row>
    <row r="540" outlineLevel="2" ht="408.75" customHeight="1" s="128">
      <c r="A540" s="148" t="n"/>
      <c r="B540" s="149" t="inlineStr">
        <is>
          <t>School Age  (6–12 years)</t>
        </is>
      </c>
      <c r="C540" s="149" t="inlineStr">
        <is>
          <t>1. LEARNING</t>
        </is>
      </c>
      <c r="D540" s="148" t="inlineStr">
        <is>
          <t>Everything for this area at this age</t>
        </is>
      </c>
      <c r="E540" s="184" t="inlineStr">
        <is>
          <t>8 dx · 7 pres · 3 tools</t>
        </is>
      </c>
      <c r="F540" s="164" t="inlineStr">
        <is>
          <t>1.3 Comprehension and general ability</t>
        </is>
      </c>
      <c r="G540" s="133" t="n"/>
      <c r="H540" s="148" t="n"/>
      <c r="I540" s="148" t="n"/>
      <c r="J540" s="148" t="n"/>
      <c r="K540" s="148" t="n"/>
      <c r="L540" s="148" t="n"/>
      <c r="M540" s="164" t="inlineStr">
        <is>
          <t>1 · DIAGNOSED — what it could be
Intellectual Disability — mild — DSM-5-TR / ICD-11 6A00
Intellectual Disability — moderate — DSM-5-TR / ICD-11 6A00
Intellectual Disability — severe — DSM-5-TR / ICD-11 6A00
Intellectual Disability — profound — DSM-5-TR / ICD-11 6A00
Unspecified Intellectual Disability — DSM-5-TR / ICD-11 6A00
Global Developmental Delay — DSM-5-TR / ICD-11 6A00
Borderline Intellectual Functioning (FSIQ approx. 70–79) — DSM-5-TR V-code
Other specified / unspecified neurodevelopmental disorder — DSM-5-TR / ICD-11 6A0Z</t>
        </is>
      </c>
      <c r="N540" s="164" t="inlineStr">
        <is>
          <t>2 · NOT DIAGNOSED — descriptive presentations
Cognitive profile differences (verbal, fluid, working memory, processing speed) — Not a DSM diagnosis
Underachievement not meeting SLD criteria — Not a DSM diagnosis
Giftedness / exceptional ability — Not a DSM diagnosis
Twice exceptional (high ability plus SLD, ADHD or ASD) — Not a DSM diagnosis
Understanding and responding to adult direction — Added — Form 2 wording
Curriculum access at the current level — Added
Interrupted or missed schooling — Added</t>
        </is>
      </c>
      <c r="O540" s="164" t="inlineStr">
        <is>
          <t>3 · WHO THEY ARE REFERRED TO
CDNT
NEPS — below GLD threshold, significant school impact
NEPS
Educational Welfare</t>
        </is>
      </c>
      <c r="P540" s="164" t="inlineStr">
        <is>
          <t>4 · WHAT YOU WOULD DO AT THIS AGE
WISC-V (6:0–16:11) · WIAT-III for attainment comparison · ABAS-3 or Vineland-3 where ID is in question · GAI instead of FSIQ where index scatter exceeds 23 points.</t>
        </is>
      </c>
      <c r="Q540" s="164" t="inlineStr">
        <is>
          <t>WISC-V UK
AGE: 6:0–16:11
MEASURES: Verbal comprehension, visual spatial, fluid reasoning, working memory, processing speed; FSIQ and GAI.
CANNOT TELL YOU: Why the profile looks as it does, whether the child was taught the content, and anything about a child assessed in a second language without caution. Where index scatter exceeds 23 points, report GAI rather than FSIQ and say why.
TIME: 65–80 min
LANDS IN: Psychological report · Appendix 5 · Appendix 7</t>
        </is>
      </c>
      <c r="R540" s="164" t="inlineStr">
        <is>
          <t>WNV (Wechsler Non-Verbal)
AGE: 4:0–21:11
MEASURES: Non-verbal cognitive ability with minimal language demand.
CANNOT TELL YOU: Verbal reasoning. Useful where EAL or a language disorder would invalidate a verbal battery.
TIME: 20–45 min
LANDS IN: Report — state why a non-verbal measure was chosen</t>
        </is>
      </c>
      <c r="S540" s="164" t="inlineStr">
        <is>
          <t>BAS-3
AGE: 3:0–17:11
MEASURES: Cognitive ability and achievement, UK-normed.
CANNOT TELL YOU: Same limits as any cognitive battery. Check which edition and norms your service holds.
TIME: 45–90 min
LANDS IN: Report · Appendix 5</t>
        </is>
      </c>
    </row>
    <row r="541" outlineLevel="2" ht="408.75" customHeight="1" s="128">
      <c r="A541" s="148" t="n"/>
      <c r="B541" s="149" t="inlineStr">
        <is>
          <t>School Age  (6–12 years)</t>
        </is>
      </c>
      <c r="C541" s="149" t="inlineStr">
        <is>
          <t>1. LEARNING</t>
        </is>
      </c>
      <c r="D541" s="148" t="inlineStr">
        <is>
          <t>Everything for this area at this age</t>
        </is>
      </c>
      <c r="E541" s="184" t="inlineStr">
        <is>
          <t>2 dx · 7 pres · 5 tools</t>
        </is>
      </c>
      <c r="F541" s="164" t="inlineStr">
        <is>
          <t>1.4 Literacy — reading (fluency / comprehension), writing and spelling</t>
        </is>
      </c>
      <c r="G541" s="133" t="n"/>
      <c r="H541" s="148" t="n"/>
      <c r="I541" s="148" t="n"/>
      <c r="J541" s="148" t="n"/>
      <c r="K541" s="148" t="n"/>
      <c r="L541" s="148" t="n"/>
      <c r="M541" s="164" t="inlineStr">
        <is>
          <t>1 · DIAGNOSED — what it could be
Specific Learning Disorder with impairment in reading (dyslexia) — DSM-5-TR
Specific Learning Disorder with impairment in written expression (dysgraphia) — DSM-5-TR</t>
        </is>
      </c>
      <c r="N541" s="164" t="inlineStr">
        <is>
          <t>2 · NOT DIAGNOSED — descriptive presentations
Auditory processing concerns — Not a DSM diagnosis
Literacy difficulty not meeting SLD criteria — Added
Reading stamina and avoidance of reading aloud — Added
Handwriting speed and legibility under time pressure — Added
Spelling as a barrier to written output — Added
Assistive technology not yet trialled — Added
Instruction history — what has actually been taught — Added — rule out before concluding disorder</t>
        </is>
      </c>
      <c r="O541" s="164" t="inlineStr">
        <is>
          <t>3 · WHO THEY ARE REFERRED TO
NEPS
Audiology
SLT
OT if motor
SENO</t>
        </is>
      </c>
      <c r="P541" s="164" t="inlineStr">
        <is>
          <t>4 · WHAT YOU WOULD DO AT THIS AGE
WIAT-III (Word Reading, Reading Comprehension, Spelling, Written Expression) · Neale Analysis · YARC · school Micra-T/Drumcondra · phonological processing · compare against WISC-V and against instruction received.</t>
        </is>
      </c>
      <c r="Q541" s="164" t="inlineStr">
        <is>
          <t>WIAT-III UK
AGE: 4:0–25:11
MEASURES: Word reading, reading comprehension, spelling, written expression, numerical operations, maths problem solving.
CANNOT TELL YOU: Whether the difficulty is instructional or constitutional. Always ask what has actually been taught before concluding disorder.
TIME: 60–90 min
LANDS IN: Report · Appendix 5 · Appendix 7
*** FULL TEACHING — PART G ***</t>
        </is>
      </c>
      <c r="R541" s="164" t="inlineStr">
        <is>
          <t>YARC (York Assessment of Reading for Comprehension)
AGE: 4:0–16:0
MEASURES: Reading accuracy, rate and comprehension from passages.
CANNOT TELL YOU: Underlying phonological processing — pair with a phonological measure.
TIME: 20–30 min
LANDS IN: Report · intervention plan</t>
        </is>
      </c>
      <c r="S541" s="164" t="inlineStr">
        <is>
          <t>Neale Analysis of Reading Ability
AGE: 6:0–12:11
MEASURES: Accuracy, comprehension, rate from graded passages.
CANNOT TELL YOU: Spelling or written expression.
TIME: 20–30 min
LANDS IN: Report</t>
        </is>
      </c>
      <c r="T541" s="164" t="inlineStr">
        <is>
          <t>DASH
AGE: 9:0–16:11
MEASURES: Handwriting speed across five tasks.
CANNOT TELL YOU: Legibility or the reason for slowness — motor, orthographic or planning.
TIME: 20–25 min
LANDS IN: Report · RACE evidence · OT referral
*** FULL TEACHING — PART G ***</t>
        </is>
      </c>
      <c r="U541" s="164" t="inlineStr">
        <is>
          <t>Phonological Assessment Battery (PhAB2)
AGE: 5:0–14:11
MEASURES: Phonological awareness, rapid naming, phonological memory.
CANNOT TELL YOU: Reading comprehension or vocabulary.
TIME: 30 min
LANDS IN: Report · intervention plan</t>
        </is>
      </c>
    </row>
    <row r="542" outlineLevel="2" ht="408.75" customHeight="1" s="128">
      <c r="A542" s="148" t="n"/>
      <c r="B542" s="149" t="inlineStr">
        <is>
          <t>School Age  (6–12 years)</t>
        </is>
      </c>
      <c r="C542" s="149" t="inlineStr">
        <is>
          <t>1. LEARNING</t>
        </is>
      </c>
      <c r="D542" s="148" t="inlineStr">
        <is>
          <t>Everything for this area at this age</t>
        </is>
      </c>
      <c r="E542" s="184" t="inlineStr">
        <is>
          <t>1 dx · 6 pres · 3 tools</t>
        </is>
      </c>
      <c r="F542" s="164" t="inlineStr">
        <is>
          <t>1.5 Maths skills — concepts and computation</t>
        </is>
      </c>
      <c r="G542" s="133" t="n"/>
      <c r="H542" s="148" t="n"/>
      <c r="I542" s="148" t="n"/>
      <c r="J542" s="148" t="n"/>
      <c r="K542" s="148" t="n"/>
      <c r="L542" s="148" t="n"/>
      <c r="M542" s="164" t="inlineStr">
        <is>
          <t>1 · DIAGNOSED — what it could be
Specific Learning Disorder with impairment in mathematics (dyscalculia) — DSM-5-TR</t>
        </is>
      </c>
      <c r="N542" s="164" t="inlineStr">
        <is>
          <t>2 · NOT DIAGNOSED — descriptive presentations
Numeracy difficulty not meeting SLD criteria — Added
Maths anxiety — Added
Number sense and estimation — Added
Recall of number facts vs procedural method — Added
Word problems — reading as the barrier, not the maths — Added
Working memory load in multi-step calculation — Added</t>
        </is>
      </c>
      <c r="O542" s="164" t="inlineStr">
        <is>
          <t>3 · WHO THEY ARE REFERRED TO
NEPS</t>
        </is>
      </c>
      <c r="P542" s="164" t="inlineStr">
        <is>
          <t>4 · WHAT YOU WOULD DO AT THIS AGE
WIAT-III Numerical Operations and Maths Problem Solving · Sigma-T · error analysis on actual work · separate the reading load from the calculation load.</t>
        </is>
      </c>
      <c r="Q542" s="164" t="inlineStr">
        <is>
          <t>WIAT-III UK maths subtests
AGE: 4:0–25:11
MEASURES: Numerical operations and maths problem solving.
CANNOT TELL YOU: Whether a word-problem failure is reading, working memory, number sense or anxiety — test those separately.
TIME: 25–30 min
LANDS IN: Report · intervention plan</t>
        </is>
      </c>
      <c r="R542" s="164" t="inlineStr">
        <is>
          <t>Sandwell Early Numeracy Test
AGE: 4:0–14:0
MEASURES: Early number concepts across five strands.
CANNOT TELL YOU: Formal procedural knowledge at upper primary level.
TIME: 20–30 min
LANDS IN: Report · intervention plan</t>
        </is>
      </c>
      <c r="S542" s="164" t="inlineStr">
        <is>
          <t>Dyscalculia Screener / DysCalculiUM
AGE: 6:0+ / 15+
MEASURES: Number sense and dot enumeration timing.
CANNOT TELL YOU: Diagnosis, and it does not separate anxiety from difficulty.
TIME: 15–30 min
LANDS IN: Screening record</t>
        </is>
      </c>
    </row>
    <row r="543" outlineLevel="2" ht="408.75" customHeight="1" s="128">
      <c r="A543" s="148" t="n"/>
      <c r="B543" s="149" t="inlineStr">
        <is>
          <t>School Age  (6–12 years)</t>
        </is>
      </c>
      <c r="C543" s="149" t="inlineStr">
        <is>
          <t>1. LEARNING</t>
        </is>
      </c>
      <c r="D543" s="148" t="inlineStr">
        <is>
          <t>Everything for this area at this age</t>
        </is>
      </c>
      <c r="E543" s="184" t="inlineStr">
        <is>
          <t>7 dx · 7 pres · 2 tools</t>
        </is>
      </c>
      <c r="F543" s="164" t="inlineStr">
        <is>
          <t>1.6 Co-ordination — fine motor / handwriting, gross motor / PE skills</t>
        </is>
      </c>
      <c r="G543" s="133" t="n"/>
      <c r="H543" s="148" t="n"/>
      <c r="I543" s="148" t="n"/>
      <c r="J543" s="148" t="n"/>
      <c r="K543" s="148" t="n"/>
      <c r="L543" s="148" t="n"/>
      <c r="M543" s="164" t="inlineStr">
        <is>
          <t>1 · DIAGNOSED — what it could be
Developmental Coordination Disorder (dyspraxia) — DSM-5-TR / ICD-11 6A04
Stereotypic Movement Disorder — DSM-5-TR / ICD-11 6A04
Tourette's Disorder — DSM-5-TR / ICD-11 Ch.08
Persistent (chronic) motor or vocal tic disorder — DSM-5-TR / ICD-11 Ch.08
Provisional tic disorder — DSM-5-TR / ICD-11 Ch.08
Other specified / unspecified tic disorder — DSM-5-TR / ICD-11 Ch.08
Hypermobility spectrum disorder — Medical</t>
        </is>
      </c>
      <c r="N543" s="164" t="inlineStr">
        <is>
          <t>2 · NOT DIAGNOSED — descriptive presentations
Fine motor difficulty (handwriting, pencil grip) — Not a DSM diagnosis
Gross motor difficulty (PE, balance, ball skills) — Not a DSM diagnosis
Sensory modulation difficulties (over- or under-responsive) — Not a DSM diagnosis
Sensory discrimination difficulties — Not a DSM diagnosis
Motor-based sensory difficulties — Not a DSM diagnosis
Presentation and care of written work — Added — Form 2 wording
Self-care and independence skills at school — Added</t>
        </is>
      </c>
      <c r="O543" s="164" t="inlineStr">
        <is>
          <t>3 · WHO THEY ARE REFERRED TO
CDNT / Occupational Therapy
CDNT / OT
CAMHS
GP
Paediatrics
Occupational Therapy
OT
Physiotherapy
NEPS</t>
        </is>
      </c>
      <c r="P543" s="164" t="inlineStr">
        <is>
          <t>4 · WHAT YOU WOULD DO AT THIS AGE
DCD-Q parent questionnaire · Movement ABC-2 · Beery VMI · DASH handwriting speed · classroom observation of writing posture and grip · OT for diagnosis.</t>
        </is>
      </c>
      <c r="Q543" s="164" t="inlineStr">
        <is>
          <t>Movement ABC-2
AGE: 3:0–16:11
MEASURES: Manual dexterity, aiming and catching, balance.
CANNOT TELL YOU: Diagnosis of DCD — that is OT/CDNT.
TIME: 20–40 min
LANDS IN: OT referral
*** FULL TEACHING — PART G ***</t>
        </is>
      </c>
      <c r="R543" s="164" t="inlineStr">
        <is>
          <t>DCD-Q
AGE: 5:0–15:0
MEASURES: Parent-report on co-ordination in daily activity.
CANNOT TELL YOU: Performance. It is perception of function.
TIME: 10–15 min
LANDS IN: Screening record · OT referral
*** FULL TEACHING — PART G ***</t>
        </is>
      </c>
    </row>
    <row r="544" outlineLevel="2" ht="15" customHeight="1" s="128">
      <c r="A544" s="183" t="inlineStr">
        <is>
          <t>CAT</t>
        </is>
      </c>
      <c r="B544" s="183" t="inlineStr">
        <is>
          <t>School Age  (6–12 years)</t>
        </is>
      </c>
      <c r="C544" s="183" t="inlineStr">
        <is>
          <t>2. BEHAVIOUR</t>
        </is>
      </c>
      <c r="D544" s="183" t="n"/>
      <c r="E544" s="183" t="inlineStr">
        <is>
          <t>2 areas present at this age</t>
        </is>
      </c>
      <c r="F544" s="183" t="n"/>
      <c r="G544" s="183" t="n"/>
      <c r="H544" s="183" t="n"/>
      <c r="I544" s="183" t="n"/>
      <c r="J544" s="183" t="n"/>
      <c r="K544" s="183" t="n"/>
      <c r="L544" s="183" t="n"/>
    </row>
    <row r="545" outlineLevel="2" ht="408.75" customHeight="1" s="128">
      <c r="A545" s="148" t="n"/>
      <c r="B545" s="149" t="inlineStr">
        <is>
          <t>School Age  (6–12 years)</t>
        </is>
      </c>
      <c r="C545" s="149" t="inlineStr">
        <is>
          <t>2. BEHAVIOUR</t>
        </is>
      </c>
      <c r="D545" s="148" t="inlineStr">
        <is>
          <t>Everything for this area at this age</t>
        </is>
      </c>
      <c r="E545" s="184" t="inlineStr">
        <is>
          <t>5 dx · 8 pres · 4 tools</t>
        </is>
      </c>
      <c r="F545" s="164" t="inlineStr">
        <is>
          <t>2.1 Behaviour in class</t>
        </is>
      </c>
      <c r="G545" s="133" t="n"/>
      <c r="H545" s="148" t="n"/>
      <c r="I545" s="148" t="n"/>
      <c r="J545" s="148" t="n"/>
      <c r="K545" s="148" t="n"/>
      <c r="L545" s="148" t="n"/>
      <c r="M545" s="164" t="inlineStr">
        <is>
          <t>1 · DIAGNOSED — what it could be
Oppositional Defiant Disorder — mild — DSM-5-TR / ICD-11 6C90–6C9Z
Oppositional Defiant Disorder — moderate — DSM-5-TR / ICD-11 6C90–6C9Z
Oppositional Defiant Disorder — severe — DSM-5-TR / ICD-11 6C90–6C9Z
Intermittent Explosive Disorder — DSM-5-TR / ICD-11 6C70–6C7Z
Disruptive Mood Dysregulation Disorder — DSM-5-TR / ICD-11 6A70–6A7Z</t>
        </is>
      </c>
      <c r="N545" s="164" t="inlineStr">
        <is>
          <t>2 · NOT DIAGNOSED — descriptive presentations
Behaviour that challenges — Not a DSM diagnosis
Behaviour function (ABC analysis, trigger-behaviour-consequence) — Formulation approach, not a diagnosis
Emotion regulation in the classroom — Added
Response to correction and repair after an incident — Added
Transitions between activities and between classes — Added
Behaviour system fit — is the system working for this pupil — Added
Escalation and de-escalation pattern — Added
Behaviour as communication of an unmet learning need — Added — always test this hypothesis</t>
        </is>
      </c>
      <c r="O545" s="164" t="inlineStr">
        <is>
          <t>3 · WHO THEY ARE REFERRED TO
NEPS (school behaviour)
CAMHS
NEPS
CAMHS (mod–severe)
Primary Care (mild–mod)</t>
        </is>
      </c>
      <c r="P545" s="164" t="inlineStr">
        <is>
          <t>4 · WHAT YOU WOULD DO AT THIS AGE
ABC grid across a week · momentary time sampling with peer comparison · SDQ or BASC-3 (TRS and PRS) · functional behaviour assessment · Continuum of Support level check.</t>
        </is>
      </c>
      <c r="Q545" s="164" t="inlineStr">
        <is>
          <t>SDQ
AGE: 4–17
MEASURES: Emotional, conduct, hyperactivity, peer, prosocial, plus impact supplement.
CANNOT TELL YOU: Anything diagnostic. Use the impact supplement — it carries more information than the scales.
TIME: 5–10 min
LANDS IN: Screening record · consultation</t>
        </is>
      </c>
      <c r="R545" s="164" t="inlineStr">
        <is>
          <t>BASC-3
AGE: 2:0–21:11
MEASURES: Broad behavioural and emotional functioning, parent, teacher and self-report.
CANNOT TELL YOU: Why. It describes the pattern and leaves the formulation to you.
TIME: 20–30 min per rater
LANDS IN: Report</t>
        </is>
      </c>
      <c r="S545" s="164" t="inlineStr">
        <is>
          <t>RCADS
AGE: 8–18, parent and child
MEASURES: Anxiety and depression subscales mapped to DSM categories.
CANNOT TELL YOU: Diagnosis or risk. Screen positive means refer, not conclude.
TIME: 10–15 min
LANDS IN: Screening record · referral</t>
        </is>
      </c>
      <c r="T545" s="164" t="inlineStr">
        <is>
          <t>Piers-Harris 3
AGE: 7–18
MEASURES: Self-concept across six domains.
CANNOT TELL YOU: Whether low self-concept is cause or consequence — usually it is consequence.
TIME: 10–15 min
LANDS IN: Report · intervention plan</t>
        </is>
      </c>
    </row>
    <row r="546" outlineLevel="2" ht="408.75" customHeight="1" s="128">
      <c r="A546" s="148" t="n"/>
      <c r="B546" s="149" t="inlineStr">
        <is>
          <t>School Age  (6–12 years)</t>
        </is>
      </c>
      <c r="C546" s="149" t="inlineStr">
        <is>
          <t>2. BEHAVIOUR</t>
        </is>
      </c>
      <c r="D546" s="148" t="inlineStr">
        <is>
          <t>Everything for this area at this age</t>
        </is>
      </c>
      <c r="E546" s="184" t="inlineStr">
        <is>
          <t>9 dx · 6 pres · 4 tools</t>
        </is>
      </c>
      <c r="F546" s="164" t="inlineStr">
        <is>
          <t>2.2 Behaviour during break times and around the school</t>
        </is>
      </c>
      <c r="G546" s="133" t="n"/>
      <c r="H546" s="148" t="n"/>
      <c r="I546" s="148" t="n"/>
      <c r="J546" s="148" t="n"/>
      <c r="K546" s="148" t="n"/>
      <c r="L546" s="148" t="n"/>
      <c r="M546" s="164" t="inlineStr">
        <is>
          <t>1 · DIAGNOSED — what it could be
Conduct Disorder — childhood-onset type — DSM-5-TR / ICD-11 6C90–6C9Z
Conduct Disorder — adolescent-onset type — DSM-5-TR / ICD-11 6C90–6C9Z
Conduct Disorder — unspecified onset — DSM-5-TR / ICD-11 6C90–6C9Z
Pyromania — DSM-5-TR / ICD-11 6C70–6C7Z
Kleptomania — DSM-5-TR / ICD-11 6C70–6C7Z
Other specified / unspecified disruptive, impulse-control and conduct disorder — DSM-5-TR
Substance use disorders (alcohol, cannabis, opioid, stimulant, tobacco, inhalant, sedative, hallucinogen) — DSM-5-TR / ICD-11 6C40–6C4Z
Gambling Disorder — DSM-5-TR / ICD-11 6C50–6C5Z
Gaming Disorder / Internet Gaming Disorder — ICD-11 6C51</t>
        </is>
      </c>
      <c r="N546" s="164" t="inlineStr">
        <is>
          <t>2 · NOT DIAGNOSED — descriptive presentations
Harmful or sexualised behaviour in children — Not a DSM diagnosis
Adolescent substance misuse / dual diagnosis — Not a standalone diagnosis
Unstructured time — yard and corridor as the difficulty — Added
Supervision ratio and yard layout — Added
Group dynamics and peer influence — Added
Risk-taking without a diagnosis attached — Added</t>
        </is>
      </c>
      <c r="O546" s="164" t="inlineStr">
        <is>
          <t>3 · WHO THEY ARE REFERRED TO
NEPS
CAMHS
Addiction services
Tusla</t>
        </is>
      </c>
      <c r="P546" s="164" t="inlineStr">
        <is>
          <t>4 · WHAT YOU WOULD DO AT THIS AGE
Yard observation (event/frequency recording) · sociometric or friendship mapping · SDQ peer subscale · compare classroom vs yard — the difference is the finding.</t>
        </is>
      </c>
      <c r="Q546" s="164" t="inlineStr">
        <is>
          <t>SDQ
AGE: 4–17
MEASURES: Emotional, conduct, hyperactivity, peer, prosocial, plus impact supplement.
CANNOT TELL YOU: Anything diagnostic. Use the impact supplement — it carries more information than the scales.
TIME: 5–10 min
LANDS IN: Screening record · consultation</t>
        </is>
      </c>
      <c r="R546" s="164" t="inlineStr">
        <is>
          <t>BASC-3
AGE: 2:0–21:11
MEASURES: Broad behavioural and emotional functioning, parent, teacher and self-report.
CANNOT TELL YOU: Why. It describes the pattern and leaves the formulation to you.
TIME: 20–30 min per rater
LANDS IN: Report</t>
        </is>
      </c>
      <c r="S546" s="164" t="inlineStr">
        <is>
          <t>RCADS
AGE: 8–18, parent and child
MEASURES: Anxiety and depression subscales mapped to DSM categories.
CANNOT TELL YOU: Diagnosis or risk. Screen positive means refer, not conclude.
TIME: 10–15 min
LANDS IN: Screening record · referral</t>
        </is>
      </c>
      <c r="T546" s="164" t="inlineStr">
        <is>
          <t>Piers-Harris 3
AGE: 7–18
MEASURES: Self-concept across six domains.
CANNOT TELL YOU: Whether low self-concept is cause or consequence — usually it is consequence.
TIME: 10–15 min
LANDS IN: Report · intervention plan</t>
        </is>
      </c>
    </row>
    <row r="547" outlineLevel="2" ht="15" customHeight="1" s="128">
      <c r="A547" s="183" t="inlineStr">
        <is>
          <t>CAT</t>
        </is>
      </c>
      <c r="B547" s="183" t="inlineStr">
        <is>
          <t>School Age  (6–12 years)</t>
        </is>
      </c>
      <c r="C547" s="183" t="inlineStr">
        <is>
          <t>3. EMOTIONAL</t>
        </is>
      </c>
      <c r="D547" s="183" t="n"/>
      <c r="E547" s="183" t="inlineStr">
        <is>
          <t>7 areas present at this age</t>
        </is>
      </c>
      <c r="F547" s="183" t="n"/>
      <c r="G547" s="183" t="n"/>
      <c r="H547" s="183" t="n"/>
      <c r="I547" s="183" t="n"/>
      <c r="J547" s="183" t="n"/>
      <c r="K547" s="183" t="n"/>
      <c r="L547" s="183" t="n"/>
    </row>
    <row r="548" outlineLevel="2" ht="408.75" customHeight="1" s="128">
      <c r="A548" s="148" t="n"/>
      <c r="B548" s="149" t="inlineStr">
        <is>
          <t>School Age  (6–12 years)</t>
        </is>
      </c>
      <c r="C548" s="149" t="inlineStr">
        <is>
          <t>3. EMOTIONAL</t>
        </is>
      </c>
      <c r="D548" s="148" t="inlineStr">
        <is>
          <t>Everything for this area at this age</t>
        </is>
      </c>
      <c r="E548" s="184" t="inlineStr">
        <is>
          <t>0 dx · 7 pres · 4 tools</t>
        </is>
      </c>
      <c r="F548" s="164" t="inlineStr">
        <is>
          <t>3.1 Confidence and self-esteem</t>
        </is>
      </c>
      <c r="G548" s="133" t="n"/>
      <c r="H548" s="148" t="n"/>
      <c r="I548" s="148" t="n"/>
      <c r="J548" s="148" t="n"/>
      <c r="K548" s="148" t="n"/>
      <c r="L548" s="148" t="n"/>
      <c r="M548" s="164" t="inlineStr">
        <is>
          <t>1 · DIAGNOSED
None. Everything here is a presentation.</t>
        </is>
      </c>
      <c r="N548" s="164" t="inlineStr">
        <is>
          <t>2 · NOT DIAGNOSED — descriptive presentations
Low confidence and self-esteem — Not a DSM diagnosis
Learned helplessness — Not a DSM diagnosis
Academic self-concept vs global self-esteem — Added
Attribution style — effort vs ability — Added
Response to failure and setback — Added — Form 2 survey wording
Perfectionism and fear of getting it wrong — Added
Self-esteem as a consequence of unidentified SLD — Added — check the sequence</t>
        </is>
      </c>
      <c r="O548" s="164" t="inlineStr">
        <is>
          <t>3 · WHO THEY ARE REFERRED TO
NEPS</t>
        </is>
      </c>
      <c r="P548" s="164" t="inlineStr">
        <is>
          <t>4 · WHAT YOU WOULD DO AT THIS AGE
Pupil self-report: My Thoughts About School (NEPS Continuum of Support) · Piers-Harris 3 · drawing and sentence-completion · teacher and parent report.</t>
        </is>
      </c>
      <c r="Q548" s="164" t="inlineStr">
        <is>
          <t>SDQ
AGE: 4–17
MEASURES: Emotional, conduct, hyperactivity, peer, prosocial, plus impact supplement.
CANNOT TELL YOU: Anything diagnostic. Use the impact supplement — it carries more information than the scales.
TIME: 5–10 min
LANDS IN: Screening record · consultation</t>
        </is>
      </c>
      <c r="R548" s="164" t="inlineStr">
        <is>
          <t>BASC-3
AGE: 2:0–21:11
MEASURES: Broad behavioural and emotional functioning, parent, teacher and self-report.
CANNOT TELL YOU: Why. It describes the pattern and leaves the formulation to you.
TIME: 20–30 min per rater
LANDS IN: Report</t>
        </is>
      </c>
      <c r="S548" s="164" t="inlineStr">
        <is>
          <t>RCADS
AGE: 8–18, parent and child
MEASURES: Anxiety and depression subscales mapped to DSM categories.
CANNOT TELL YOU: Diagnosis or risk. Screen positive means refer, not conclude.
TIME: 10–15 min
LANDS IN: Screening record · referral</t>
        </is>
      </c>
      <c r="T548" s="164" t="inlineStr">
        <is>
          <t>Piers-Harris 3
AGE: 7–18
MEASURES: Self-concept across six domains.
CANNOT TELL YOU: Whether low self-concept is cause or consequence — usually it is consequence.
TIME: 10–15 min
LANDS IN: Report · intervention plan</t>
        </is>
      </c>
    </row>
    <row r="549" outlineLevel="2" ht="408.75" customHeight="1" s="128">
      <c r="A549" s="148" t="n"/>
      <c r="B549" s="149" t="inlineStr">
        <is>
          <t>School Age  (6–12 years)</t>
        </is>
      </c>
      <c r="C549" s="149" t="inlineStr">
        <is>
          <t>3. EMOTIONAL</t>
        </is>
      </c>
      <c r="D549" s="148" t="inlineStr">
        <is>
          <t>Everything for this area at this age</t>
        </is>
      </c>
      <c r="E549" s="184" t="inlineStr">
        <is>
          <t>8 dx · 6 pres · 4 tools</t>
        </is>
      </c>
      <c r="F549" s="164" t="inlineStr">
        <is>
          <t>3.2 Anxiety</t>
        </is>
      </c>
      <c r="G549" s="133" t="n"/>
      <c r="H549" s="148" t="n"/>
      <c r="I549" s="148" t="n"/>
      <c r="J549" s="148" t="n"/>
      <c r="K549" s="148" t="n"/>
      <c r="L549" s="148" t="n"/>
      <c r="M549" s="164" t="inlineStr">
        <is>
          <t>1 · DIAGNOSED — what it could be
Separation Anxiety Disorder — DSM-5-TR / ICD-11 6B00–6B0Z
Social Anxiety Disorder (social phobia) — DSM-5-TR / ICD-11 6B00–6B0Z
Generalised Anxiety Disorder — DSM-5-TR / ICD-11 6B00–6B0Z
Specific Phobia — DSM-5-TR / ICD-11 6B00–6B0Z
Panic Disorder — DSM-5-TR / ICD-11 6B00–6B0Z
Agoraphobia — DSM-5-TR / ICD-11 6B00–6B0Z
Selective mutism — DSM-5-TR anxiety
Other specified / unspecified anxiety disorder — DSM-5-TR</t>
        </is>
      </c>
      <c r="N549" s="164" t="inlineStr">
        <is>
          <t>2 · NOT DIAGNOSED — descriptive presentations
School anxiety presentations (not a standalone diagnosis) — Not a DSM diagnosis
Test and exam anxiety — Added
Performance anxiety in oral work — Added
Anticipatory anxiety about transitions — Added
Somatic complaints presenting at school (tummy aches, headaches) — Added
Anxiety secondary to an unmet learning need — Added</t>
        </is>
      </c>
      <c r="O549" s="164" t="inlineStr">
        <is>
          <t>3 · WHO THEY ARE REFERRED TO
Primary Care (mild–mod)
CAMHS (severe)
Primary Care
CAMHS
CAMHS — also under 1.2
NEPS
GP to rule out</t>
        </is>
      </c>
      <c r="P549" s="164" t="inlineStr">
        <is>
          <t>4 · WHAT YOU WOULD DO AT THIS AGE
RCADS parent and child · SCAS · pupil interview using drawing or scaling · classroom observation at the anxious moment, not a random moment.</t>
        </is>
      </c>
      <c r="Q549" s="164" t="inlineStr">
        <is>
          <t>SDQ
AGE: 4–17
MEASURES: Emotional, conduct, hyperactivity, peer, prosocial, plus impact supplement.
CANNOT TELL YOU: Anything diagnostic. Use the impact supplement — it carries more information than the scales.
TIME: 5–10 min
LANDS IN: Screening record · consultation</t>
        </is>
      </c>
      <c r="R549" s="164" t="inlineStr">
        <is>
          <t>BASC-3
AGE: 2:0–21:11
MEASURES: Broad behavioural and emotional functioning, parent, teacher and self-report.
CANNOT TELL YOU: Why. It describes the pattern and leaves the formulation to you.
TIME: 20–30 min per rater
LANDS IN: Report</t>
        </is>
      </c>
      <c r="S549" s="164" t="inlineStr">
        <is>
          <t>RCADS
AGE: 8–18, parent and child
MEASURES: Anxiety and depression subscales mapped to DSM categories.
CANNOT TELL YOU: Diagnosis or risk. Screen positive means refer, not conclude.
TIME: 10–15 min
LANDS IN: Screening record · referral</t>
        </is>
      </c>
      <c r="T549" s="164" t="inlineStr">
        <is>
          <t>Piers-Harris 3
AGE: 7–18
MEASURES: Self-concept across six domains.
CANNOT TELL YOU: Whether low self-concept is cause or consequence — usually it is consequence.
TIME: 10–15 min
LANDS IN: Report · intervention plan</t>
        </is>
      </c>
    </row>
    <row r="550" outlineLevel="2" ht="408.75" customHeight="1" s="128">
      <c r="A550" s="148" t="n"/>
      <c r="B550" s="149" t="inlineStr">
        <is>
          <t>School Age  (6–12 years)</t>
        </is>
      </c>
      <c r="C550" s="149" t="inlineStr">
        <is>
          <t>3. EMOTIONAL</t>
        </is>
      </c>
      <c r="D550" s="148" t="inlineStr">
        <is>
          <t>Everything for this area at this age</t>
        </is>
      </c>
      <c r="E550" s="184" t="inlineStr">
        <is>
          <t>5 dx · 3 pres · 4 tools</t>
        </is>
      </c>
      <c r="F550" s="164" t="inlineStr">
        <is>
          <t>3.3 Obsessive-compulsive and related</t>
        </is>
      </c>
      <c r="G550" s="133" t="n"/>
      <c r="H550" s="148" t="n"/>
      <c r="I550" s="148" t="n"/>
      <c r="J550" s="148" t="n"/>
      <c r="K550" s="148" t="n"/>
      <c r="L550" s="148" t="n"/>
      <c r="M550" s="164" t="inlineStr">
        <is>
          <t>1 · DIAGNOSED — what it could be
Obsessive-Compulsive Disorder — DSM-5-TR / ICD-11 6B20–6B2Z
Body Dysmorphic Disorder — DSM-5-TR / ICD-11 6B20–6B2Z
Hoarding Disorder — DSM-5-TR / ICD-11 6B20–6B2Z
Trichotillomania (hair-pulling) — DSM-5-TR / ICD-11 6B20–6B2Z
Excoriation (skin-picking) Disorder — DSM-5-TR / ICD-11 6B20–6B2Z</t>
        </is>
      </c>
      <c r="N550" s="164" t="inlineStr">
        <is>
          <t>2 · NOT DIAGNOSED — descriptive presentations
Rigidity and routine that is not OCD — Added — check autism first
Repeated checking of work — Added
Ritual at transitions — Added</t>
        </is>
      </c>
      <c r="O550" s="164" t="inlineStr">
        <is>
          <t>3 · WHO THEY ARE REFERRED TO
Primary Care
CAMHS (severe)
CAMHS
NEPS</t>
        </is>
      </c>
      <c r="P550" s="164" t="inlineStr">
        <is>
          <t>4 · WHAT YOU WOULD DO AT THIS AGE
Parent and teacher report · CY-BOCS via clinical services, not NEPS · your job is to describe school impact and refer.</t>
        </is>
      </c>
      <c r="Q550" s="164" t="inlineStr">
        <is>
          <t>SDQ
AGE: 4–17
MEASURES: Emotional, conduct, hyperactivity, peer, prosocial, plus impact supplement.
CANNOT TELL YOU: Anything diagnostic. Use the impact supplement — it carries more information than the scales.
TIME: 5–10 min
LANDS IN: Screening record · consultation</t>
        </is>
      </c>
      <c r="R550" s="164" t="inlineStr">
        <is>
          <t>BASC-3
AGE: 2:0–21:11
MEASURES: Broad behavioural and emotional functioning, parent, teacher and self-report.
CANNOT TELL YOU: Why. It describes the pattern and leaves the formulation to you.
TIME: 20–30 min per rater
LANDS IN: Report</t>
        </is>
      </c>
      <c r="S550" s="164" t="inlineStr">
        <is>
          <t>RCADS
AGE: 8–18, parent and child
MEASURES: Anxiety and depression subscales mapped to DSM categories.
CANNOT TELL YOU: Diagnosis or risk. Screen positive means refer, not conclude.
TIME: 10–15 min
LANDS IN: Screening record · referral</t>
        </is>
      </c>
      <c r="T550" s="164" t="inlineStr">
        <is>
          <t>Piers-Harris 3
AGE: 7–18
MEASURES: Self-concept across six domains.
CANNOT TELL YOU: Whether low self-concept is cause or consequence — usually it is consequence.
TIME: 10–15 min
LANDS IN: Report · intervention plan</t>
        </is>
      </c>
    </row>
    <row r="551" outlineLevel="2" ht="408.75" customHeight="1" s="128">
      <c r="A551" s="148" t="n"/>
      <c r="B551" s="149" t="inlineStr">
        <is>
          <t>School Age  (6–12 years)</t>
        </is>
      </c>
      <c r="C551" s="149" t="inlineStr">
        <is>
          <t>3. EMOTIONAL</t>
        </is>
      </c>
      <c r="D551" s="148" t="inlineStr">
        <is>
          <t>Everything for this area at this age</t>
        </is>
      </c>
      <c r="E551" s="184" t="inlineStr">
        <is>
          <t>5 dx · 4 pres · 4 tools</t>
        </is>
      </c>
      <c r="F551" s="164" t="inlineStr">
        <is>
          <t>3.4 Mood</t>
        </is>
      </c>
      <c r="G551" s="133" t="n"/>
      <c r="H551" s="148" t="n"/>
      <c r="I551" s="148" t="n"/>
      <c r="J551" s="148" t="n"/>
      <c r="K551" s="148" t="n"/>
      <c r="L551" s="148" t="n"/>
      <c r="M551" s="164" t="inlineStr">
        <is>
          <t>1 · DIAGNOSED — what it could be
Major Depressive Disorder — single episode — DSM-5-TR / ICD-11 6A70–6A7Z
Major Depressive Disorder — recurrent episode — DSM-5-TR / ICD-11 6A70–6A7Z
Persistent Depressive Disorder (dysthymia) — DSM-5-TR / ICD-11 6A70–6A7Z
Premenstrual Dysphoric Disorder — DSM-5-TR / ICD-11 6A70–6A7Z
Other specified / unspecified depressive disorder — DSM-5-TR</t>
        </is>
      </c>
      <c r="N551" s="164" t="inlineStr">
        <is>
          <t>2 · NOT DIAGNOSED — descriptive presentations
Low mood without diagnostic threshold — Added
Loss of interest in school activities previously enjoyed — Added
Withdrawal from peers — Added
Irritability as the presentation of low mood in young people — Added</t>
        </is>
      </c>
      <c r="O551" s="164" t="inlineStr">
        <is>
          <t>3 · WHO THEY ARE REFERRED TO
CAMHS (mod–severe)
Primary Care (mild–mod)
CAMHS
Primary Care
NEPS</t>
        </is>
      </c>
      <c r="P551" s="164" t="inlineStr">
        <is>
          <t>4 · WHAT YOU WOULD DO AT THIS AGE
Parent and teacher report · pupil interview · MFQ · low mood often presents as irritability or refusal rather than sadness.</t>
        </is>
      </c>
      <c r="Q551" s="164" t="inlineStr">
        <is>
          <t>SDQ
AGE: 4–17
MEASURES: Emotional, conduct, hyperactivity, peer, prosocial, plus impact supplement.
CANNOT TELL YOU: Anything diagnostic. Use the impact supplement — it carries more information than the scales.
TIME: 5–10 min
LANDS IN: Screening record · consultation</t>
        </is>
      </c>
      <c r="R551" s="164" t="inlineStr">
        <is>
          <t>BASC-3
AGE: 2:0–21:11
MEASURES: Broad behavioural and emotional functioning, parent, teacher and self-report.
CANNOT TELL YOU: Why. It describes the pattern and leaves the formulation to you.
TIME: 20–30 min per rater
LANDS IN: Report</t>
        </is>
      </c>
      <c r="S551" s="164" t="inlineStr">
        <is>
          <t>RCADS
AGE: 8–18, parent and child
MEASURES: Anxiety and depression subscales mapped to DSM categories.
CANNOT TELL YOU: Diagnosis or risk. Screen positive means refer, not conclude.
TIME: 10–15 min
LANDS IN: Screening record · referral</t>
        </is>
      </c>
      <c r="T551" s="164" t="inlineStr">
        <is>
          <t>Piers-Harris 3
AGE: 7–18
MEASURES: Self-concept across six domains.
CANNOT TELL YOU: Whether low self-concept is cause or consequence — usually it is consequence.
TIME: 10–15 min
LANDS IN: Report · intervention plan</t>
        </is>
      </c>
    </row>
    <row r="552" outlineLevel="2" ht="408.75" customHeight="1" s="128">
      <c r="A552" s="148" t="n"/>
      <c r="B552" s="149" t="inlineStr">
        <is>
          <t>School Age  (6–12 years)</t>
        </is>
      </c>
      <c r="C552" s="149" t="inlineStr">
        <is>
          <t>3. EMOTIONAL</t>
        </is>
      </c>
      <c r="D552" s="148" t="inlineStr">
        <is>
          <t>Everything for this area at this age</t>
        </is>
      </c>
      <c r="E552" s="184" t="inlineStr">
        <is>
          <t>8 dx · 5 pres · 4 tools</t>
        </is>
      </c>
      <c r="F552" s="164" t="inlineStr">
        <is>
          <t>3.5 Trauma, attachment and loss</t>
        </is>
      </c>
      <c r="G552" s="133" t="n"/>
      <c r="H552" s="148" t="n"/>
      <c r="I552" s="148" t="n"/>
      <c r="J552" s="148" t="n"/>
      <c r="K552" s="148" t="n"/>
      <c r="L552" s="148" t="n"/>
      <c r="M552" s="164" t="inlineStr">
        <is>
          <t>1 · DIAGNOSED — what it could be
Reactive Attachment Disorder — DSM-5-TR / ICD-11 6B40–6B4Z
Disinhibited Social Engagement Disorder — DSM-5-TR / ICD-11 6B45
Posttraumatic Stress Disorder — DSM-5-TR / ICD-11 6B40
PTSD — preschool subtype (6 years and under) — DSM-5-TR
Complex PTSD — ICD-11 6B41
Acute Stress Disorder — DSM-5-TR / ICD-11 6B40–6B4Z
Adjustment Disorder (with depressed mood / anxiety / mixed / conduct / unspecified) — DSM-5-TR / ICD-11 6B40–6B4Z
Prolonged Grief Disorder — DSM-5-TR / ICD-11 6B42</t>
        </is>
      </c>
      <c r="N552" s="164" t="inlineStr">
        <is>
          <t>2 · NOT DIAGNOSED — descriptive presentations
Complex or developmental trauma — Not a DSM diagnosis
Adverse Childhood Experiences (ACEs) — Not a DSM diagnosis
Bereavement reaction — Not a DSM diagnosis
Displacement, asylum and resettlement — Added
Trauma-informed classroom practice — Added — the systemic response</t>
        </is>
      </c>
      <c r="O552" s="164" t="inlineStr">
        <is>
          <t>3 · WHO THEY ARE REFERRED TO
Primary Care
CAMHS (severe)
CAMHS
Primary Care (milder)
NEPS critical incident response
NEPS
community services</t>
        </is>
      </c>
      <c r="P552" s="164" t="inlineStr">
        <is>
          <t>4 · WHAT YOU WOULD DO AT THIS AGE
Parent and teacher report · NEPS critical incident materials where relevant · consultation with the school on trauma-informed practice · do not conduct trauma interviews.</t>
        </is>
      </c>
      <c r="Q552" s="164" t="inlineStr">
        <is>
          <t>SDQ
AGE: 4–17
MEASURES: Emotional, conduct, hyperactivity, peer, prosocial, plus impact supplement.
CANNOT TELL YOU: Anything diagnostic. Use the impact supplement — it carries more information than the scales.
TIME: 5–10 min
LANDS IN: Screening record · consultation</t>
        </is>
      </c>
      <c r="R552" s="164" t="inlineStr">
        <is>
          <t>BASC-3
AGE: 2:0–21:11
MEASURES: Broad behavioural and emotional functioning, parent, teacher and self-report.
CANNOT TELL YOU: Why. It describes the pattern and leaves the formulation to you.
TIME: 20–30 min per rater
LANDS IN: Report</t>
        </is>
      </c>
      <c r="S552" s="164" t="inlineStr">
        <is>
          <t>RCADS
AGE: 8–18, parent and child
MEASURES: Anxiety and depression subscales mapped to DSM categories.
CANNOT TELL YOU: Diagnosis or risk. Screen positive means refer, not conclude.
TIME: 10–15 min
LANDS IN: Screening record · referral</t>
        </is>
      </c>
      <c r="T552" s="164" t="inlineStr">
        <is>
          <t>Piers-Harris 3
AGE: 7–18
MEASURES: Self-concept across six domains.
CANNOT TELL YOU: Whether low self-concept is cause or consequence — usually it is consequence.
TIME: 10–15 min
LANDS IN: Report · intervention plan</t>
        </is>
      </c>
    </row>
    <row r="553" outlineLevel="2" ht="408.75" customHeight="1" s="128">
      <c r="A553" s="148" t="n"/>
      <c r="B553" s="149" t="inlineStr">
        <is>
          <t>School Age  (6–12 years)</t>
        </is>
      </c>
      <c r="C553" s="149" t="inlineStr">
        <is>
          <t>3. EMOTIONAL</t>
        </is>
      </c>
      <c r="D553" s="148" t="inlineStr">
        <is>
          <t>Everything for this area at this age</t>
        </is>
      </c>
      <c r="E553" s="184" t="inlineStr">
        <is>
          <t>0 dx · 6 pres · 4 tools</t>
        </is>
      </c>
      <c r="F553" s="164" t="inlineStr">
        <is>
          <t>3.6 School attendance</t>
        </is>
      </c>
      <c r="G553" s="133" t="n"/>
      <c r="H553" s="148" t="n"/>
      <c r="I553" s="148" t="n"/>
      <c r="J553" s="148" t="n"/>
      <c r="K553" s="148" t="n"/>
      <c r="L553" s="148" t="n"/>
      <c r="M553" s="164" t="inlineStr">
        <is>
          <t>1 · DIAGNOSED
None. Everything here is a presentation.</t>
        </is>
      </c>
      <c r="N553" s="164" t="inlineStr">
        <is>
          <t>2 · NOT DIAGNOSED — descriptive presentations
Emotionally Based School Avoidance (school refusal) — Not a DSM diagnosis
Truancy distinguished from EBSA — Added — different formulation, different response
Parentally condoned absence — Added
Absence due to chronic illness — Added
Late arrival and partial attendance — Added
Return-to-school planning after extended absence — Added</t>
        </is>
      </c>
      <c r="O553" s="164" t="inlineStr">
        <is>
          <t>3 · WHO THEY ARE REFERRED TO
NEPS
Primary Care
Educational Welfare (Tusla)
Paediatrics
NEPS for school supports</t>
        </is>
      </c>
      <c r="P553" s="164" t="inlineStr">
        <is>
          <t>4 · WHAT YOU WOULD DO AT THIS AGE
Attendance data (Form 2 asks for days out of days) · parent, pupil and teacher accounts separately — they usually differ · West EBSA framework · school-based risk factors.</t>
        </is>
      </c>
      <c r="Q553" s="164" t="inlineStr">
        <is>
          <t>SDQ
AGE: 4–17
MEASURES: Emotional, conduct, hyperactivity, peer, prosocial, plus impact supplement.
CANNOT TELL YOU: Anything diagnostic. Use the impact supplement — it carries more information than the scales.
TIME: 5–10 min
LANDS IN: Screening record · consultation</t>
        </is>
      </c>
      <c r="R553" s="164" t="inlineStr">
        <is>
          <t>BASC-3
AGE: 2:0–21:11
MEASURES: Broad behavioural and emotional functioning, parent, teacher and self-report.
CANNOT TELL YOU: Why. It describes the pattern and leaves the formulation to you.
TIME: 20–30 min per rater
LANDS IN: Report</t>
        </is>
      </c>
      <c r="S553" s="164" t="inlineStr">
        <is>
          <t>RCADS
AGE: 8–18, parent and child
MEASURES: Anxiety and depression subscales mapped to DSM categories.
CANNOT TELL YOU: Diagnosis or risk. Screen positive means refer, not conclude.
TIME: 10–15 min
LANDS IN: Screening record · referral</t>
        </is>
      </c>
      <c r="T553" s="164" t="inlineStr">
        <is>
          <t>Piers-Harris 3
AGE: 7–18
MEASURES: Self-concept across six domains.
CANNOT TELL YOU: Whether low self-concept is cause or consequence — usually it is consequence.
TIME: 10–15 min
LANDS IN: Report · intervention plan</t>
        </is>
      </c>
    </row>
    <row r="554" outlineLevel="2" ht="79.5" customHeight="1" s="128">
      <c r="A554" s="185" t="n"/>
      <c r="B554" s="186" t="inlineStr">
        <is>
          <t>School Age  (6–12 years)</t>
        </is>
      </c>
      <c r="C554" s="186" t="inlineStr">
        <is>
          <t>3. EMOTIONAL</t>
        </is>
      </c>
      <c r="D554" s="185" t="inlineStr">
        <is>
          <t>STOP — not an assessment area</t>
        </is>
      </c>
      <c r="E554" s="187" t="inlineStr">
        <is>
          <t>Do not assess</t>
        </is>
      </c>
      <c r="F554" s="186" t="inlineStr">
        <is>
          <t>3.7 Risk and safeguarding</t>
        </is>
      </c>
      <c r="G554" s="185" t="n"/>
      <c r="H554" s="185" t="n"/>
      <c r="I554" s="185" t="n"/>
      <c r="J554" s="185" t="n"/>
      <c r="K554" s="185" t="n"/>
      <c r="L554" s="185" t="n"/>
      <c r="M554" s="186" t="inlineStr">
        <is>
          <t>This area is not an assessment area. If risk or a safeguarding concern arises, you stop, you tell your supervisor the same day, and you follow Children First and the school DLP route. UCD Handbook §6.2 requires you to raise crises immediately. Know the pathway before the day you need it.</t>
        </is>
      </c>
    </row>
    <row r="555" outlineLevel="2" ht="15" customHeight="1" s="128">
      <c r="A555" s="183" t="inlineStr">
        <is>
          <t>CAT</t>
        </is>
      </c>
      <c r="B555" s="183" t="inlineStr">
        <is>
          <t>School Age  (6–12 years)</t>
        </is>
      </c>
      <c r="C555" s="183" t="inlineStr">
        <is>
          <t>4. SOCIAL</t>
        </is>
      </c>
      <c r="D555" s="183" t="n"/>
      <c r="E555" s="183" t="inlineStr">
        <is>
          <t>2 areas present at this age</t>
        </is>
      </c>
      <c r="F555" s="183" t="n"/>
      <c r="G555" s="183" t="n"/>
      <c r="H555" s="183" t="n"/>
      <c r="I555" s="183" t="n"/>
      <c r="J555" s="183" t="n"/>
      <c r="K555" s="183" t="n"/>
      <c r="L555" s="183" t="n"/>
    </row>
    <row r="556" outlineLevel="2" ht="408.75" customHeight="1" s="128">
      <c r="A556" s="148" t="n"/>
      <c r="B556" s="149" t="inlineStr">
        <is>
          <t>School Age  (6–12 years)</t>
        </is>
      </c>
      <c r="C556" s="149" t="inlineStr">
        <is>
          <t>4. SOCIAL</t>
        </is>
      </c>
      <c r="D556" s="148" t="inlineStr">
        <is>
          <t>Everything for this area at this age</t>
        </is>
      </c>
      <c r="E556" s="184" t="inlineStr">
        <is>
          <t>6 dx · 9 pres · 3 tools</t>
        </is>
      </c>
      <c r="F556" s="164" t="inlineStr">
        <is>
          <t>4.1 Friendships and social skills</t>
        </is>
      </c>
      <c r="G556" s="133" t="n"/>
      <c r="H556" s="148" t="n"/>
      <c r="I556" s="148" t="n"/>
      <c r="J556" s="148" t="n"/>
      <c r="K556" s="148" t="n"/>
      <c r="L556" s="148" t="n"/>
      <c r="M556" s="164" t="inlineStr">
        <is>
          <t>1 · DIAGNOSED — what it could be
Autism Spectrum Disorder — level 1, requiring support — DSM-5-TR / ICD-11 6A02
Autism Spectrum Disorder — level 2, requiring substantial support — DSM-5-TR / ICD-11 6A02
Autism Spectrum Disorder — level 3, requiring very substantial support — DSM-5-TR / ICD-11 6A02
ASD with accompanying intellectual impairment — DSM-5-TR specifier
ASD with accompanying language impairment — DSM-5-TR specifier
Social (Pragmatic) Communication Disorder — DSM-5-TR / ICD-11 6A01</t>
        </is>
      </c>
      <c r="N556" s="164" t="inlineStr">
        <is>
          <t>2 · NOT DIAGNOSED — descriptive presentations
Pathological Demand Avoidance (PDA) profile — Not a DSM diagnosis
Peer relationship difficulties and social isolation — Not a DSM diagnosis
Bullying — Not a DSM diagnosis
Social adaptive skills — Not a DSM diagnosis
Co-operation with peers in group work — Added — Form 2 survey wording
Turn-taking and shared play — Added
Reading social cues and repair after conflict — Added
Masking and the cost of it — Added
Loneliness without observable difficulty — Added — the quiet ones get missed</t>
        </is>
      </c>
      <c r="O556" s="164" t="inlineStr">
        <is>
          <t>3 · WHO THEY ARE REFERRED TO
CDNT
NEPS for school supports
NEPS
NEPS with SLT
whole-school policy support</t>
        </is>
      </c>
      <c r="P556" s="164" t="inlineStr">
        <is>
          <t>4 · WHAT YOU WOULD DO AT THIS AGE
Yard and classroom observation · SRS-2 parent and teacher (your named development area) · SCQ · ADOS-2 via team · sociometric mapping · friendship interview with the pupil.</t>
        </is>
      </c>
      <c r="Q556" s="164" t="inlineStr">
        <is>
          <t>SRS-2
AGE: 2:6–18 (adult form separate)
MEASURES: Social awareness, cognition, communication, motivation, restricted/repetitive behaviour. T-scores.
CANNOT TELL YOU: Diagnosis. Elevated scores occur in anxiety, ADHD and language disorder. Read the manual before your first use — this is a named development area for you.
TIME: 15–20 min per rater
LANDS IN: Screening record · referral · Appendix 5
*** FULL TEACHING — PART G ***</t>
        </is>
      </c>
      <c r="R556" s="164" t="inlineStr">
        <is>
          <t>ADOS-2 Module 2/3
AGE: Verbal fluency dependent
MEASURES: Standardised observation.
CANNOT TELL YOU: Anything alone. Team-administered, requires training.
TIME: 40–60 min
LANDS IN: CDNT diagnostic report</t>
        </is>
      </c>
      <c r="S556" s="164" t="inlineStr">
        <is>
          <t>SCQ
AGE: 4:0+
MEASURES: Parent-report autism screen.
CANNOT TELL YOU: Diagnosis, and it under-detects in verbally able girls.
TIME: 10 min
LANDS IN: Screening record</t>
        </is>
      </c>
    </row>
    <row r="557" outlineLevel="2" ht="408.75" customHeight="1" s="128">
      <c r="A557" s="148" t="n"/>
      <c r="B557" s="149" t="inlineStr">
        <is>
          <t>School Age  (6–12 years)</t>
        </is>
      </c>
      <c r="C557" s="149" t="inlineStr">
        <is>
          <t>4. SOCIAL</t>
        </is>
      </c>
      <c r="D557" s="148" t="inlineStr">
        <is>
          <t>Everything for this area at this age</t>
        </is>
      </c>
      <c r="E557" s="184" t="inlineStr">
        <is>
          <t>3 dx · 8 pres · 3 tools</t>
        </is>
      </c>
      <c r="F557" s="164" t="inlineStr">
        <is>
          <t>4.2 Relationships with adults</t>
        </is>
      </c>
      <c r="G557" s="133" t="n"/>
      <c r="H557" s="148" t="n"/>
      <c r="I557" s="148" t="n"/>
      <c r="J557" s="148" t="n"/>
      <c r="K557" s="148" t="n"/>
      <c r="L557" s="148" t="n"/>
      <c r="M557" s="164" t="inlineStr">
        <is>
          <t>1 · DIAGNOSED — what it could be
Relational problems (parent-child, sibling, upbringing away from parents) — DSM-5-TR Z-codes / ICD-11 Ch.24
Gender Dysphoria in children — DSM-5-TR / ICD-11 Ch.17
Gender Dysphoria in adolescents — DSM-5-TR / ICD-11 Ch.17</t>
        </is>
      </c>
      <c r="N557" s="164" t="inlineStr">
        <is>
          <t>2 · NOT DIAGNOSED — descriptive presentations
Self-advocacy — Not a DSM diagnosis
LGBTQ+ identity support — Not a disorder
Cultural and linguistic identity — Not a disorder
Attitude towards staff — Added — Form 2 survey wording
Trust and the effect of one key adult — Added
Response to authority and to being corrected — Added
Relationship with the SNA and dependence on adult proximity — Added
Help-seeking from adults — Added</t>
        </is>
      </c>
      <c r="O557" s="164" t="inlineStr">
        <is>
          <t>3 · WHO THEY ARE REFERRED TO
Primary Care
CDNT
CAMHS
Specialist services
NEPS
school supports</t>
        </is>
      </c>
      <c r="P557" s="164" t="inlineStr">
        <is>
          <t>4 · WHAT YOU WOULD DO AT THIS AGE
Observation across different adults — the difference between teachers is data · pupil interview about which adults help · teacher consultation.</t>
        </is>
      </c>
      <c r="Q557" s="164" t="inlineStr">
        <is>
          <t>SRS-2
AGE: 2:6–18 (adult form separate)
MEASURES: Social awareness, cognition, communication, motivation, restricted/repetitive behaviour. T-scores.
CANNOT TELL YOU: Diagnosis. Elevated scores occur in anxiety, ADHD and language disorder. Read the manual before your first use — this is a named development area for you.
TIME: 15–20 min per rater
LANDS IN: Screening record · referral · Appendix 5
*** FULL TEACHING — PART G ***</t>
        </is>
      </c>
      <c r="R557" s="164" t="inlineStr">
        <is>
          <t>ADOS-2 Module 2/3
AGE: Verbal fluency dependent
MEASURES: Standardised observation.
CANNOT TELL YOU: Anything alone. Team-administered, requires training.
TIME: 40–60 min
LANDS IN: CDNT diagnostic report</t>
        </is>
      </c>
      <c r="S557" s="164" t="inlineStr">
        <is>
          <t>SCQ
AGE: 4:0+
MEASURES: Parent-report autism screen.
CANNOT TELL YOU: Diagnosis, and it under-detects in verbally able girls.
TIME: 10 min
LANDS IN: Screening record</t>
        </is>
      </c>
    </row>
    <row r="558" outlineLevel="2" ht="15" customHeight="1" s="128">
      <c r="A558" s="183" t="inlineStr">
        <is>
          <t>CAT</t>
        </is>
      </c>
      <c r="B558" s="183" t="inlineStr">
        <is>
          <t>School Age  (6–12 years)</t>
        </is>
      </c>
      <c r="C558" s="183" t="inlineStr">
        <is>
          <t>5. OTHER</t>
        </is>
      </c>
      <c r="D558" s="183" t="n"/>
      <c r="E558" s="183" t="inlineStr">
        <is>
          <t>6 areas present at this age</t>
        </is>
      </c>
      <c r="F558" s="183" t="n"/>
      <c r="G558" s="183" t="n"/>
      <c r="H558" s="183" t="n"/>
      <c r="I558" s="183" t="n"/>
      <c r="J558" s="183" t="n"/>
      <c r="K558" s="183" t="n"/>
      <c r="L558" s="183" t="n"/>
    </row>
    <row r="559" outlineLevel="2" ht="408.75" customHeight="1" s="128">
      <c r="A559" s="148" t="n"/>
      <c r="B559" s="149" t="inlineStr">
        <is>
          <t>School Age  (6–12 years)</t>
        </is>
      </c>
      <c r="C559" s="149" t="inlineStr">
        <is>
          <t>5. OTHER</t>
        </is>
      </c>
      <c r="D559" s="148" t="inlineStr">
        <is>
          <t>Everything for this area at this age</t>
        </is>
      </c>
      <c r="E559" s="184" t="inlineStr">
        <is>
          <t>1 dx · 3 pres · 0 tools</t>
        </is>
      </c>
      <c r="F559" s="164" t="inlineStr">
        <is>
          <t>5.1 Vision</t>
        </is>
      </c>
      <c r="G559" s="133" t="n"/>
      <c r="H559" s="148" t="n"/>
      <c r="I559" s="148" t="n"/>
      <c r="J559" s="148" t="n"/>
      <c r="K559" s="148" t="n"/>
      <c r="L559" s="148" t="n"/>
      <c r="M559" s="164" t="inlineStr">
        <is>
          <t>1 · DIAGNOSED — what it could be
Visual impairment — Medical</t>
        </is>
      </c>
      <c r="N559" s="164" t="inlineStr">
        <is>
          <t>2 · NOT DIAGNOSED — descriptive presentations
Uncorrected refractive error — Added — rule out before assessing literacy
Visual fatigue in extended reading — Added
Access to print — font, size, contrast, position in room — Added</t>
        </is>
      </c>
      <c r="O559" s="164" t="inlineStr">
        <is>
          <t>3 · WHO THEY ARE REFERRED TO
Ophthalmology
Visiting Teacher service
CDNT
GP
Optometry
NEPS
Visiting Teacher</t>
        </is>
      </c>
      <c r="P559" s="164" t="inlineStr">
        <is>
          <t>4 · WHAT YOU WOULD DO AT THIS AGE
Confirm date of last vision check before any literacy or non-verbal assessment · Visiting Teacher involvement · seating and print access.</t>
        </is>
      </c>
    </row>
    <row r="560" outlineLevel="2" ht="408.75" customHeight="1" s="128">
      <c r="A560" s="148" t="n"/>
      <c r="B560" s="149" t="inlineStr">
        <is>
          <t>School Age  (6–12 years)</t>
        </is>
      </c>
      <c r="C560" s="149" t="inlineStr">
        <is>
          <t>5. OTHER</t>
        </is>
      </c>
      <c r="D560" s="148" t="inlineStr">
        <is>
          <t>Everything for this area at this age</t>
        </is>
      </c>
      <c r="E560" s="184" t="inlineStr">
        <is>
          <t>2 dx · 3 pres · 0 tools</t>
        </is>
      </c>
      <c r="F560" s="164" t="inlineStr">
        <is>
          <t>5.2 Hearing</t>
        </is>
      </c>
      <c r="G560" s="133" t="n"/>
      <c r="H560" s="148" t="n"/>
      <c r="I560" s="148" t="n"/>
      <c r="J560" s="148" t="n"/>
      <c r="K560" s="148" t="n"/>
      <c r="L560" s="148" t="n"/>
      <c r="M560" s="164" t="inlineStr">
        <is>
          <t>1 · DIAGNOSED — what it could be
Hearing impairment (mild, moderate, severe, profound; unilateral or bilateral) — Medical
Recurrent otitis media with effusion (glue ear) — Medical</t>
        </is>
      </c>
      <c r="N560" s="164" t="inlineStr">
        <is>
          <t>2 · NOT DIAGNOSED — descriptive presentations
Listening in noise vs listening one-to-one — Added
Classroom acoustics and seating — Added
Hearing history during the years phonics was taught — Added — glue ear at 5 shows up at 8</t>
        </is>
      </c>
      <c r="O560" s="164" t="inlineStr">
        <is>
          <t>3 · WHO THEY ARE REFERRED TO
Audiology
Visiting Teacher service
CDNT
GP
Audiology — common contributor to literacy difficulty
NEPS
Visiting Teacher</t>
        </is>
      </c>
      <c r="P560" s="164" t="inlineStr">
        <is>
          <t>4 · WHAT YOU WOULD DO AT THIS AGE
Confirm audiology status before assessing language or literacy · a history of glue ear during infant classes is a live hypothesis for literacy difficulty.</t>
        </is>
      </c>
    </row>
    <row r="561" outlineLevel="2" ht="408.75" customHeight="1" s="128">
      <c r="A561" s="148" t="n"/>
      <c r="B561" s="149" t="inlineStr">
        <is>
          <t>School Age  (6–12 years)</t>
        </is>
      </c>
      <c r="C561" s="149" t="inlineStr">
        <is>
          <t>5. OTHER</t>
        </is>
      </c>
      <c r="D561" s="148" t="inlineStr">
        <is>
          <t>Everything for this area at this age</t>
        </is>
      </c>
      <c r="E561" s="184" t="inlineStr">
        <is>
          <t>11 dx · 7 pres · 2 tools</t>
        </is>
      </c>
      <c r="F561" s="164" t="inlineStr">
        <is>
          <t>5.3 Medical condition or other diagnosis</t>
        </is>
      </c>
      <c r="G561" s="133" t="n"/>
      <c r="H561" s="148" t="n"/>
      <c r="I561" s="148" t="n"/>
      <c r="J561" s="148" t="n"/>
      <c r="K561" s="148" t="n"/>
      <c r="L561" s="148" t="n"/>
      <c r="M561" s="164" t="inlineStr">
        <is>
          <t>1 · DIAGNOSED — what it could be
Epilepsy and its educational impact — Medical / ICD-11 Ch.08
Cerebral palsy (spastic / dyskinetic / ataxic / mixed) — Medical / ICD-11 Ch.08
Spina bifida — Medical / ICD-11 Ch.08
Muscular dystrophy — Medical / ICD-11 Ch.08
Acquired brain injury — Medical / ICD-11 Ch.08
Foetal Alcohol Spectrum Disorder — Prenatal exposure
Genetic syndromes (Down, Fragile X, 22q11.2, Williams, Prader-Willi, Angelman, Rett) — ICD-11 Ch.20
Sleep disorders (insomnia, hypersomnolence, narcolepsy, breathing-related, circadian, RLS, NREM arousal, nightmare, REM behaviour) — DSM-5-TR / ICD-11 Ch.07
Feeding and eating disorders (Pica, Rumination, ARFID, Anorexia, Bulimia, Binge-Eating) — DSM-5-TR / ICD-11 6B80–6B8Z
Elimination disorders (Enuresis, Encopresis) — DSM-5-TR / ICD-11 6C00–6C0Z
Somatic Symptom Disorder / Illness Anxiety / Conversion Disorder — DSM-5-TR / ICD-11 6C20–6C2Z</t>
        </is>
      </c>
      <c r="N561" s="164" t="inlineStr">
        <is>
          <t>2 · NOT DIAGNOSED — descriptive presentations
Physical disability (non-cerebral palsy) — Medical
Multiple disabilities — Medical
Chronic illness affecting school — Medical
Fatigue and stamina needs — Medical
Medication effects on attention and learning — Added
Missed curriculum from hospital admissions — Added
Re-entry to school after illness — Added</t>
        </is>
      </c>
      <c r="O561" s="164" t="inlineStr">
        <is>
          <t>3 · WHO THEY ARE REFERRED TO
Paediatric neurology
CDNT
OT
Physio
Paediatrics
GP
CAMHS pathway
Primary Care
paediatric liaison
NEPS for school supports
NEPS
CAMHS
home tuition</t>
        </is>
      </c>
      <c r="P561" s="164" t="inlineStr">
        <is>
          <t>4 · WHAT YOU WOULD DO AT THIS AGE
Medical report with consent · impact on school day (fatigue, medication timing, absence) · your role is educational impact, not diagnosis.</t>
        </is>
      </c>
      <c r="Q561" s="164" t="inlineStr">
        <is>
          <t>ABAS-3
AGE: birth–89
MEASURES: Conceptual, social, practical.
CANNOT TELL YOU: Capacity. Typical performance only.
TIME: 15–20 min per rater
LANDS IN: Report · CDNT
*** FULL TEACHING — PART G ***</t>
        </is>
      </c>
      <c r="R561" s="164" t="inlineStr">
        <is>
          <t>Vineland-3
AGE: birth–90
MEASURES: Communication, daily living, socialisation, motor.
CANNOT TELL YOU: Cognitive ability. Where ID is in question you need both.
TIME: 20–60 min
LANDS IN: Report · CDNT</t>
        </is>
      </c>
    </row>
    <row r="562" outlineLevel="2" ht="408.75" customHeight="1" s="128">
      <c r="A562" s="148" t="n"/>
      <c r="B562" s="149" t="inlineStr">
        <is>
          <t>School Age  (6–12 years)</t>
        </is>
      </c>
      <c r="C562" s="149" t="inlineStr">
        <is>
          <t>5. OTHER</t>
        </is>
      </c>
      <c r="D562" s="148" t="inlineStr">
        <is>
          <t>Everything for this area at this age</t>
        </is>
      </c>
      <c r="E562" s="184" t="inlineStr">
        <is>
          <t>0 dx · 5 pres · 3 tools</t>
        </is>
      </c>
      <c r="F562" s="164" t="inlineStr">
        <is>
          <t>5.4 Concerns about early development</t>
        </is>
      </c>
      <c r="G562" s="133" t="n"/>
      <c r="H562" s="148" t="n"/>
      <c r="I562" s="148" t="n"/>
      <c r="J562" s="148" t="n"/>
      <c r="K562" s="148" t="n"/>
      <c r="L562" s="148" t="n"/>
      <c r="M562" s="164" t="inlineStr">
        <is>
          <t>1 · DIAGNOSED
None. Everything here is a presentation.</t>
        </is>
      </c>
      <c r="N562" s="164" t="inlineStr">
        <is>
          <t>2 · NOT DIAGNOSED — descriptive presentations
Parent-infant mental health / 0–3 attachment work — Not a DSM diagnosis
Early Intervention Team caseload (0–6, pre-diagnostic) — Not a DSM diagnosis
Delayed developmental milestones — Not a DSM diagnosis
AIM level and preschool support already in place — Added
Transition from preschool to primary — Added</t>
        </is>
      </c>
      <c r="O562" s="164" t="inlineStr">
        <is>
          <t>3 · WHO THEY ARE REFERRED TO
CDNT 0–6 teams
Primary Care
CDNT
Public Health Nurse
Paediatrics
AIM
NEPS
SENO</t>
        </is>
      </c>
      <c r="P562" s="164" t="inlineStr">
        <is>
          <t>4 · WHAT YOU WOULD DO AT THIS AGE
Retrospective developmental history informs the current picture.</t>
        </is>
      </c>
      <c r="Q562" s="164" t="inlineStr">
        <is>
          <t>WISC-V UK
AGE: 6:0–16:11
MEASURES: Verbal comprehension, visual spatial, fluid reasoning, working memory, processing speed; FSIQ and GAI.
CANNOT TELL YOU: Why the profile looks as it does, whether the child was taught the content, and anything about a child assessed in a second language without caution. Where index scatter exceeds 23 points, report GAI rather than FSIQ and say why.
TIME: 65–80 min
LANDS IN: Psychological report · Appendix 5 · Appendix 7</t>
        </is>
      </c>
      <c r="R562" s="164" t="inlineStr">
        <is>
          <t>WNV (Wechsler Non-Verbal)
AGE: 4:0–21:11
MEASURES: Non-verbal cognitive ability with minimal language demand.
CANNOT TELL YOU: Verbal reasoning. Useful where EAL or a language disorder would invalidate a verbal battery.
TIME: 20–45 min
LANDS IN: Report — state why a non-verbal measure was chosen</t>
        </is>
      </c>
      <c r="S562" s="164" t="inlineStr">
        <is>
          <t>BAS-3
AGE: 3:0–17:11
MEASURES: Cognitive ability and achievement, UK-normed.
CANNOT TELL YOU: Same limits as any cognitive battery. Check which edition and norms your service holds.
TIME: 45–90 min
LANDS IN: Report · Appendix 5</t>
        </is>
      </c>
    </row>
    <row r="563" outlineLevel="2" ht="408.75" customHeight="1" s="128">
      <c r="A563" s="148" t="n"/>
      <c r="B563" s="149" t="inlineStr">
        <is>
          <t>School Age  (6–12 years)</t>
        </is>
      </c>
      <c r="C563" s="149" t="inlineStr">
        <is>
          <t>5. OTHER</t>
        </is>
      </c>
      <c r="D563" s="148" t="inlineStr">
        <is>
          <t>Everything for this area at this age</t>
        </is>
      </c>
      <c r="E563" s="184" t="inlineStr">
        <is>
          <t>5 dx · 10 pres · 0 tools</t>
        </is>
      </c>
      <c r="F563" s="164" t="inlineStr">
        <is>
          <t>5.5 Involvement of other services</t>
        </is>
      </c>
      <c r="G563" s="133" t="n"/>
      <c r="H563" s="148" t="n"/>
      <c r="I563" s="148" t="n"/>
      <c r="J563" s="148" t="n"/>
      <c r="K563" s="148" t="n"/>
      <c r="L563" s="148" t="n"/>
      <c r="M563" s="164" t="inlineStr">
        <is>
          <t>1 · DIAGNOSED — what it could be
Psychotic disorders (Delusional, Brief Psychotic, Schizophreniform, Schizophrenia, Schizoaffective) — DSM-5-TR / ICD-11 6A20–6A2Z
Bipolar and related disorders (Bipolar I, Bipolar II, Cyclothymic) — DSM-5-TR / ICD-11 6A60–6A6Z
Dissociative disorders (DID, Dissociative Amnesia, Depersonalisation/Derealisation) — DSM-5-TR / ICD-11 6B60–6B6Z
Personality disorders — Clusters A, B, C — DSM-5-TR / ICD-11 6D10–6D11
Catatonia — DSM-5-TR / ICD-11 6A40–6A4Z</t>
        </is>
      </c>
      <c r="N563" s="164" t="inlineStr">
        <is>
          <t>2 · NOT DIAGNOSED — descriptive presentations
Care-experienced children (foster, kinship, residential, aftercare) — Not a DSM diagnosis
Child protection and welfare concerns — Not a DSM diagnosis
Domestic violence exposure — Not a DSM diagnosis
Parenting capacity concerns — Not a DSM diagnosis
Family functioning difficulties — Not a DSM diagnosis
Housing and economic problems — DSM-5-TR Z-codes
Social exclusion, discrimination, acculturation difficulty — DSM-5-TR Z-codes
Knowing which service does what, and the referral route — Added — your named development area
Multi-disciplinary meetings and your role in them — Added
Professional and service boundaries — what is not yours to do — Added — your named development area</t>
        </is>
      </c>
      <c r="O563" s="164" t="inlineStr">
        <is>
          <t>3 · WHO THEY ARE REFERRED TO
CAMHS
Late adolescence and adult services
CAMHS transition
Tusla
Primary Care
Tusla — Children First
community services
NEPS
supervisor</t>
        </is>
      </c>
      <c r="P563" s="164" t="inlineStr">
        <is>
          <t>4 · WHAT YOU WOULD DO AT THIS AGE
Read every report supplied with the referral before planning · Form 2 section 2 lists services, dates and reports · duplication is a common trainee error.</t>
        </is>
      </c>
    </row>
    <row r="564" outlineLevel="2" ht="408.75" customHeight="1" s="128">
      <c r="A564" s="148" t="n"/>
      <c r="B564" s="149" t="inlineStr">
        <is>
          <t>School Age  (6–12 years)</t>
        </is>
      </c>
      <c r="C564" s="149" t="inlineStr">
        <is>
          <t>5. OTHER</t>
        </is>
      </c>
      <c r="D564" s="148" t="inlineStr">
        <is>
          <t>Everything for this area at this age</t>
        </is>
      </c>
      <c r="E564" s="184" t="inlineStr">
        <is>
          <t>0 dx · 14 pres · 0 tools</t>
        </is>
      </c>
      <c r="F564" s="164" t="inlineStr">
        <is>
          <t>5.6 School and access factors</t>
        </is>
      </c>
      <c r="G564" s="133" t="n"/>
      <c r="H564" s="148" t="n"/>
      <c r="I564" s="148" t="n"/>
      <c r="J564" s="148" t="n"/>
      <c r="K564" s="148" t="n"/>
      <c r="L564" s="148" t="n"/>
      <c r="M564" s="164" t="inlineStr">
        <is>
          <t>1 · DIAGNOSED
None. Everything here is a presentation.</t>
        </is>
      </c>
      <c r="N564" s="164" t="inlineStr">
        <is>
          <t>2 · NOT DIAGNOSED — descriptive presentations
Classroom environment — Context, not a diagnosis
Teaching match — Context, not a diagnosis
Curriculum demands — Context, not a diagnosis
Behaviour system fit — Context, not a diagnosis
Attendance and transitions — Context, not a diagnosis
Transition planning (early years to primary, primary to post-primary, school leaver) — Not a diagnosis
Assistive technology — Not a diagnosis
Reasonable Accommodations in State Examinations (RACE) — Not a diagnosis
SNA and resource teaching allocation — Not a diagnosis
Home learning environment — Context, not a diagnosis
Community context — Context, not a diagnosis
Continuum of Support level and whether it was actually implemented — Added
Whole-school policy and practice — Added — your systemic change development area
Staff training need identified through casework — Added</t>
        </is>
      </c>
      <c r="O564" s="164" t="inlineStr">
        <is>
          <t>3 · WHO THEY ARE REFERRED TO
NEPS
Educational Welfare (Tusla)
SENO
State Examinations Commission
NCSE
Primary Care
community services</t>
        </is>
      </c>
      <c r="P564" s="164" t="inlineStr">
        <is>
          <t>4 · WHAT YOU WOULD DO AT THIS AGE
Classroom observation with the environment as the unit of analysis, not the child · Continuum of Support documentation · Student Support File · teaching approach.</t>
        </is>
      </c>
    </row>
    <row r="565" ht="19.5" customHeight="1" s="128">
      <c r="A565" s="147" t="inlineStr">
        <is>
          <t>BAND</t>
        </is>
      </c>
      <c r="B565" s="147" t="inlineStr">
        <is>
          <t>Adolescent  (13–16 years)</t>
        </is>
      </c>
      <c r="C565" s="147" t="n"/>
      <c r="D565" s="147" t="n"/>
      <c r="E565" s="147" t="inlineStr">
        <is>
          <t>Everything below is what this age looks like</t>
        </is>
      </c>
      <c r="F565" s="147" t="n"/>
      <c r="G565" s="147" t="n"/>
      <c r="H565" s="147" t="n"/>
      <c r="I565" s="147" t="n"/>
      <c r="J565" s="147" t="n"/>
      <c r="K565" s="147" t="n"/>
      <c r="L565" s="147" t="n"/>
      <c r="M565" s="147" t="n"/>
      <c r="N565" s="147" t="n"/>
      <c r="O565" s="147" t="n"/>
      <c r="P565" s="147" t="n"/>
      <c r="Q565" s="147" t="n"/>
      <c r="R565" s="147" t="n"/>
      <c r="S565" s="147" t="n"/>
      <c r="T565" s="147" t="n"/>
      <c r="U565" s="147" t="n"/>
      <c r="V565" s="147" t="n"/>
      <c r="W565" s="147" t="n"/>
      <c r="X565" s="147" t="n"/>
      <c r="Y565" s="147" t="n"/>
      <c r="Z565" s="147" t="n"/>
      <c r="AA565" s="147" t="n"/>
      <c r="AB565" s="147" t="n"/>
      <c r="AC565" s="147" t="n"/>
      <c r="AD565" s="147" t="n"/>
      <c r="AE565" s="147" t="n"/>
      <c r="AF565" s="147" t="n"/>
      <c r="AG565" s="147" t="n"/>
      <c r="AH565" s="147" t="n"/>
      <c r="AI565" s="147" t="n"/>
      <c r="AJ565" s="147" t="n"/>
      <c r="AK565" s="147" t="n"/>
    </row>
    <row r="566" outlineLevel="2" ht="15" customHeight="1" s="128">
      <c r="A566" s="183" t="inlineStr">
        <is>
          <t>CAT</t>
        </is>
      </c>
      <c r="B566" s="183" t="inlineStr">
        <is>
          <t>Adolescent  (13–16 years)</t>
        </is>
      </c>
      <c r="C566" s="183" t="inlineStr">
        <is>
          <t>1. LEARNING</t>
        </is>
      </c>
      <c r="D566" s="183" t="n"/>
      <c r="E566" s="183" t="inlineStr">
        <is>
          <t>6 areas present at this age</t>
        </is>
      </c>
      <c r="F566" s="183" t="n"/>
      <c r="G566" s="183" t="n"/>
      <c r="H566" s="183" t="n"/>
      <c r="I566" s="183" t="n"/>
      <c r="J566" s="183" t="n"/>
      <c r="K566" s="183" t="n"/>
      <c r="L566" s="183" t="n"/>
    </row>
    <row r="567" outlineLevel="2" ht="408.75" customHeight="1" s="128">
      <c r="A567" s="148" t="n"/>
      <c r="B567" s="149" t="inlineStr">
        <is>
          <t>Adolescent  (13–16 years)</t>
        </is>
      </c>
      <c r="C567" s="149" t="inlineStr">
        <is>
          <t>1. LEARNING</t>
        </is>
      </c>
      <c r="D567" s="148" t="inlineStr">
        <is>
          <t>Everything for this area at this age</t>
        </is>
      </c>
      <c r="E567" s="184" t="inlineStr">
        <is>
          <t>5 dx · 15 pres · 2 tools</t>
        </is>
      </c>
      <c r="F567" s="164" t="inlineStr">
        <is>
          <t>1.1 Attention, concentration and work skills</t>
        </is>
      </c>
      <c r="G567" s="133" t="n"/>
      <c r="H567" s="148" t="n"/>
      <c r="I567" s="148" t="n"/>
      <c r="J567" s="148" t="n"/>
      <c r="K567" s="148" t="n"/>
      <c r="L567" s="148" t="n"/>
      <c r="M567" s="164" t="inlineStr">
        <is>
          <t>1 · DIAGNOSED — what it could be
ADHD — combined presentation — DSM-5-TR / ICD-11 6A05
ADHD — predominantly inattentive presentation — DSM-5-TR / ICD-11 6A05
ADHD — predominantly hyperactive/impulsive presentation — DSM-5-TR / ICD-11 6A05
Other specified ADHD — DSM-5-TR / ICD-11 6A05
Unspecified ADHD — DSM-5-TR / ICD-11 6A05</t>
        </is>
      </c>
      <c r="N567" s="164" t="inlineStr">
        <is>
          <t>2 · NOT DIAGNOSED — descriptive presentations
Working memory difficulty — Executive function profile, not a diagnosis
Inhibition difficulty — Executive function profile
Cognitive flexibility difficulty — Executive function profile
Planning and organisation difficulty — Executive function profile
Task initiation difficulty — Executive function profile
Self-monitoring difficulty — Executive function profile
Motivation and engagement with work — Added — not in the conditions index
Work rate and pace of output — Added
Homework completion and follow-through — Added
Organisation of materials, books and equipment — Added
Sustained attention in whole-class vs one-to-one — Added
Note-taking and recording from the board — Added
Study skills and revision strategy — Added
Help-seeking — knowing when and how to ask — Added
Fatigue, sleep and time-of-day effects on attention — Added</t>
        </is>
      </c>
      <c r="O567" s="164" t="inlineStr">
        <is>
          <t>3 · WHO THEY ARE REFERRED TO
CAMHS (complex or medication)
Primary Care
CAMHS
NEPS
GP if persistent</t>
        </is>
      </c>
      <c r="P567" s="164" t="inlineStr">
        <is>
          <t>4 · WHAT YOU WOULD DO AT THIS AGE
Conners-4 including self-report · BRIEF-2 self-report · WISC-V or WAIS-IV depending on age · subject-teacher survey (Form 2 page 8) · study-skills and homework interview · RACE evidence if exam access is in question.</t>
        </is>
      </c>
      <c r="Q567" s="164" t="inlineStr">
        <is>
          <t>Conners-4 self-report
AGE: 8+
MEASURES: ADHD-related behaviour from the young person's own view.
CANNOT TELL YOU: Diagnosis. Adolescent self-report and parent report frequently diverge.
TIME: 15 min
LANDS IN: Screening record · referral</t>
        </is>
      </c>
      <c r="R567" s="164" t="inlineStr">
        <is>
          <t>BRIEF-2 self-report
AGE: 11:0–18:0
MEASURES: Everyday executive function, self-rated.
CANNOT TELL YOU: Performance-based function.
TIME: 10–15 min
LANDS IN: Report</t>
        </is>
      </c>
    </row>
    <row r="568" outlineLevel="2" ht="408.75" customHeight="1" s="128">
      <c r="A568" s="148" t="n"/>
      <c r="B568" s="149" t="inlineStr">
        <is>
          <t>Adolescent  (13–16 years)</t>
        </is>
      </c>
      <c r="C568" s="149" t="inlineStr">
        <is>
          <t>1. LEARNING</t>
        </is>
      </c>
      <c r="D568" s="148" t="inlineStr">
        <is>
          <t>Everything for this area at this age</t>
        </is>
      </c>
      <c r="E568" s="184" t="inlineStr">
        <is>
          <t>5 dx · 9 pres · 0 tools</t>
        </is>
      </c>
      <c r="F568" s="164" t="inlineStr">
        <is>
          <t>1.2 Language skills</t>
        </is>
      </c>
      <c r="G568" s="133" t="n"/>
      <c r="H568" s="148" t="n"/>
      <c r="I568" s="148" t="n"/>
      <c r="J568" s="148" t="n"/>
      <c r="K568" s="148" t="n"/>
      <c r="L568" s="148" t="n"/>
      <c r="M568" s="164" t="inlineStr">
        <is>
          <t>1 · DIAGNOSED — what it could be
Language Disorder (expressive / receptive / mixed) — DLD — DSM-5-TR / ICD-11 6A01
Speech Sound Disorder — DSM-5-TR / ICD-11 6A01
Childhood-Onset Fluency Disorder (stuttering) — DSM-5-TR / ICD-11 6A01
Unspecified Communication Disorder — DSM-5-TR / ICD-11 6A01
Selective mutism — DSM-5-TR anxiety / ICD-11 6B00–6B0Z</t>
        </is>
      </c>
      <c r="N568" s="164" t="inlineStr">
        <is>
          <t>2 · NOT DIAGNOSED — descriptive presentations
AAC and communication access — Not a DSM diagnosis
English as an Additional Language (EAL) — Not a disorder — can mimic language disorder, rule out
Bilingual language development — Not a disorder
Vocabulary gap from limited exposure — Added
Participation in oral work and classroom talk — Added — Form 2 wording
Following multi-step verbal instructions — Added
Narrative and sequencing in spoken account — Added
Word-finding difficulty — Added
Interpreter need and how it changes the assessment — Added</t>
        </is>
      </c>
      <c r="O568" s="164" t="inlineStr">
        <is>
          <t>3 · WHO THEY ARE REFERRED TO
NEPS with SLT
NCSE speech and language class
Primary Care (mild–moderate)
CAMHS (severe) — also under 3.2
SLT
CDNT
NEPS
NEPS interpreter request form</t>
        </is>
      </c>
      <c r="P568" s="164" t="inlineStr">
        <is>
          <t>4 · WHAT YOU WOULD DO AT THIS AGE
CELF-5 (up to 21) via SLT · WISC-V/WAIS-IV VCI · subject-teacher survey on oral response · self-report on being understood · consider literacy consequences of unresolved DLD.</t>
        </is>
      </c>
    </row>
    <row r="569" outlineLevel="2" ht="408.75" customHeight="1" s="128">
      <c r="A569" s="148" t="n"/>
      <c r="B569" s="149" t="inlineStr">
        <is>
          <t>Adolescent  (13–16 years)</t>
        </is>
      </c>
      <c r="C569" s="149" t="inlineStr">
        <is>
          <t>1. LEARNING</t>
        </is>
      </c>
      <c r="D569" s="148" t="inlineStr">
        <is>
          <t>Everything for this area at this age</t>
        </is>
      </c>
      <c r="E569" s="184" t="inlineStr">
        <is>
          <t>8 dx · 7 pres · 2 tools</t>
        </is>
      </c>
      <c r="F569" s="164" t="inlineStr">
        <is>
          <t>1.3 Comprehension and general ability</t>
        </is>
      </c>
      <c r="G569" s="133" t="n"/>
      <c r="H569" s="148" t="n"/>
      <c r="I569" s="148" t="n"/>
      <c r="J569" s="148" t="n"/>
      <c r="K569" s="148" t="n"/>
      <c r="L569" s="148" t="n"/>
      <c r="M569" s="164" t="inlineStr">
        <is>
          <t>1 · DIAGNOSED — what it could be
Intellectual Disability — mild — DSM-5-TR / ICD-11 6A00
Intellectual Disability — moderate — DSM-5-TR / ICD-11 6A00
Intellectual Disability — severe — DSM-5-TR / ICD-11 6A00
Intellectual Disability — profound — DSM-5-TR / ICD-11 6A00
Unspecified Intellectual Disability — DSM-5-TR / ICD-11 6A00
Global Developmental Delay — DSM-5-TR / ICD-11 6A00
Borderline Intellectual Functioning (FSIQ approx. 70–79) — DSM-5-TR V-code
Other specified / unspecified neurodevelopmental disorder — DSM-5-TR / ICD-11 6A0Z</t>
        </is>
      </c>
      <c r="N569" s="164" t="inlineStr">
        <is>
          <t>2 · NOT DIAGNOSED — descriptive presentations
Cognitive profile differences (verbal, fluid, working memory, processing speed) — Not a DSM diagnosis
Underachievement not meeting SLD criteria — Not a DSM diagnosis
Giftedness / exceptional ability — Not a DSM diagnosis
Twice exceptional (high ability plus SLD, ADHD or ASD) — Not a DSM diagnosis
Understanding and responding to adult direction — Added — Form 2 wording
Curriculum access at the current level — Added
Interrupted or missed schooling — Added</t>
        </is>
      </c>
      <c r="O569" s="164" t="inlineStr">
        <is>
          <t>3 · WHO THEY ARE REFERRED TO
CDNT
NEPS — below GLD threshold, significant school impact
NEPS
Educational Welfare</t>
        </is>
      </c>
      <c r="P569" s="164" t="inlineStr">
        <is>
          <t>4 · WHAT YOU WOULD DO AT THIS AGE
WISC-V to 16:11, then WAIS-IV · adaptive measure · attainment · RACE and subject-choice implications · post-school transition planning starts here.</t>
        </is>
      </c>
      <c r="Q569" s="164" t="inlineStr">
        <is>
          <t>WISC-V UK
AGE: to 16:11
MEASURES: As School Age.
CANNOT TELL YOU: Same limits. Check the date of birth — the cut-off catches people out.
TIME: 65–80 min
LANDS IN: Report · Appendix 5 · Table 3 Adolescent</t>
        </is>
      </c>
      <c r="R569" s="164" t="inlineStr">
        <is>
          <t>WAIS-IV UK
AGE: 16:0–90:11
MEASURES: Verbal comprehension, perceptual reasoning, working memory, processing speed.
CANNOT TELL YOU: Educational attainment. At 16:0–16:11 either battery is defensible — say which you chose and why.
TIME: 60–90 min
LANDS IN: Report</t>
        </is>
      </c>
    </row>
    <row r="570" outlineLevel="2" ht="408.75" customHeight="1" s="128">
      <c r="A570" s="148" t="n"/>
      <c r="B570" s="149" t="inlineStr">
        <is>
          <t>Adolescent  (13–16 years)</t>
        </is>
      </c>
      <c r="C570" s="149" t="inlineStr">
        <is>
          <t>1. LEARNING</t>
        </is>
      </c>
      <c r="D570" s="148" t="inlineStr">
        <is>
          <t>Everything for this area at this age</t>
        </is>
      </c>
      <c r="E570" s="184" t="inlineStr">
        <is>
          <t>2 dx · 7 pres · 3 tools</t>
        </is>
      </c>
      <c r="F570" s="164" t="inlineStr">
        <is>
          <t>1.4 Literacy — reading (fluency / comprehension), writing and spelling</t>
        </is>
      </c>
      <c r="G570" s="133" t="n"/>
      <c r="H570" s="148" t="n"/>
      <c r="I570" s="148" t="n"/>
      <c r="J570" s="148" t="n"/>
      <c r="K570" s="148" t="n"/>
      <c r="L570" s="148" t="n"/>
      <c r="M570" s="164" t="inlineStr">
        <is>
          <t>1 · DIAGNOSED — what it could be
Specific Learning Disorder with impairment in reading (dyslexia) — DSM-5-TR
Specific Learning Disorder with impairment in written expression (dysgraphia) — DSM-5-TR</t>
        </is>
      </c>
      <c r="N570" s="164" t="inlineStr">
        <is>
          <t>2 · NOT DIAGNOSED — descriptive presentations
Auditory processing concerns — Not a DSM diagnosis
Literacy difficulty not meeting SLD criteria — Added
Reading stamina and avoidance of reading aloud — Added
Handwriting speed and legibility under time pressure — Added
Spelling as a barrier to written output — Added
Assistive technology not yet trialled — Added
Instruction history — what has actually been taught — Added — rule out before concluding disorder</t>
        </is>
      </c>
      <c r="O570" s="164" t="inlineStr">
        <is>
          <t>3 · WHO THEY ARE REFERRED TO
NEPS
Audiology
SLT
OT if motor
SENO</t>
        </is>
      </c>
      <c r="P570" s="164" t="inlineStr">
        <is>
          <t>4 · WHAT YOU WOULD DO AT THIS AGE
WIAT-III · DASH (handwriting speed) · exam-script analysis · RACE evidence — spelling and grammar waiver, reader, scribe, word processor · subject-teacher survey.</t>
        </is>
      </c>
      <c r="Q570" s="164" t="inlineStr">
        <is>
          <t>WIAT-III UK
AGE: to 25:11
MEASURES: Attainment across reading, spelling, written expression, maths.
CANNOT TELL YOU: Exam performance under time pressure — look at the script as well.
TIME: 60–90 min
LANDS IN: Report · RACE evidence
*** FULL TEACHING — PART G ***</t>
        </is>
      </c>
      <c r="R570" s="164" t="inlineStr">
        <is>
          <t>DASH
AGE: 9:0–16:11
MEASURES: Handwriting speed.
CANNOT TELL YOU: Whether a word processor would help — trial it.
TIME: 20–25 min
LANDS IN: RACE evidence
*** FULL TEACHING — PART G ***</t>
        </is>
      </c>
      <c r="S570" s="164" t="inlineStr">
        <is>
          <t>Access arrangements evidence (RACE)
AGE: post-primary
MEASURES: Evidence of need for reader, scribe, word processor, spelling and grammar waiver, extra time.
CANNOT TELL YOU: It is an application, not an assessment. Know the current State Examinations Commission criteria before you promise anything.
TIME: —
LANDS IN: RACE application · report</t>
        </is>
      </c>
    </row>
    <row r="571" outlineLevel="2" ht="408.75" customHeight="1" s="128">
      <c r="A571" s="148" t="n"/>
      <c r="B571" s="149" t="inlineStr">
        <is>
          <t>Adolescent  (13–16 years)</t>
        </is>
      </c>
      <c r="C571" s="149" t="inlineStr">
        <is>
          <t>1. LEARNING</t>
        </is>
      </c>
      <c r="D571" s="148" t="inlineStr">
        <is>
          <t>Everything for this area at this age</t>
        </is>
      </c>
      <c r="E571" s="184" t="inlineStr">
        <is>
          <t>1 dx · 6 pres · 0 tools</t>
        </is>
      </c>
      <c r="F571" s="164" t="inlineStr">
        <is>
          <t>1.5 Maths skills — concepts and computation</t>
        </is>
      </c>
      <c r="G571" s="133" t="n"/>
      <c r="H571" s="148" t="n"/>
      <c r="I571" s="148" t="n"/>
      <c r="J571" s="148" t="n"/>
      <c r="K571" s="148" t="n"/>
      <c r="L571" s="148" t="n"/>
      <c r="M571" s="164" t="inlineStr">
        <is>
          <t>1 · DIAGNOSED — what it could be
Specific Learning Disorder with impairment in mathematics (dyscalculia) — DSM-5-TR</t>
        </is>
      </c>
      <c r="N571" s="164" t="inlineStr">
        <is>
          <t>2 · NOT DIAGNOSED — descriptive presentations
Numeracy difficulty not meeting SLD criteria — Added
Maths anxiety — Added
Number sense and estimation — Added
Recall of number facts vs procedural method — Added
Word problems — reading as the barrier, not the maths — Added
Working memory load in multi-step calculation — Added</t>
        </is>
      </c>
      <c r="O571" s="164" t="inlineStr">
        <is>
          <t>3 · WHO THEY ARE REFERRED TO
NEPS</t>
        </is>
      </c>
      <c r="P571" s="164" t="inlineStr">
        <is>
          <t>4 · WHAT YOU WOULD DO AT THIS AGE
WIAT-III maths subtests · Junior Certificate results · subject-teacher survey · calculator and formula-sheet access · RACE.</t>
        </is>
      </c>
    </row>
    <row r="572" outlineLevel="2" ht="408.75" customHeight="1" s="128">
      <c r="A572" s="148" t="n"/>
      <c r="B572" s="149" t="inlineStr">
        <is>
          <t>Adolescent  (13–16 years)</t>
        </is>
      </c>
      <c r="C572" s="149" t="inlineStr">
        <is>
          <t>1. LEARNING</t>
        </is>
      </c>
      <c r="D572" s="148" t="inlineStr">
        <is>
          <t>Everything for this area at this age</t>
        </is>
      </c>
      <c r="E572" s="184" t="inlineStr">
        <is>
          <t>7 dx · 7 pres · 0 tools</t>
        </is>
      </c>
      <c r="F572" s="164" t="inlineStr">
        <is>
          <t>1.6 Co-ordination — fine motor / handwriting, gross motor / PE skills</t>
        </is>
      </c>
      <c r="G572" s="133" t="n"/>
      <c r="H572" s="148" t="n"/>
      <c r="I572" s="148" t="n"/>
      <c r="J572" s="148" t="n"/>
      <c r="K572" s="148" t="n"/>
      <c r="L572" s="148" t="n"/>
      <c r="M572" s="164" t="inlineStr">
        <is>
          <t>1 · DIAGNOSED — what it could be
Developmental Coordination Disorder (dyspraxia) — DSM-5-TR / ICD-11 6A04
Stereotypic Movement Disorder — DSM-5-TR / ICD-11 6A04
Tourette's Disorder — DSM-5-TR / ICD-11 Ch.08
Persistent (chronic) motor or vocal tic disorder — DSM-5-TR / ICD-11 Ch.08
Provisional tic disorder — DSM-5-TR / ICD-11 Ch.08
Other specified / unspecified tic disorder — DSM-5-TR / ICD-11 Ch.08
Hypermobility spectrum disorder — Medical</t>
        </is>
      </c>
      <c r="N572" s="164" t="inlineStr">
        <is>
          <t>2 · NOT DIAGNOSED — descriptive presentations
Fine motor difficulty (handwriting, pencil grip) — Not a DSM diagnosis
Gross motor difficulty (PE, balance, ball skills) — Not a DSM diagnosis
Sensory modulation difficulties (over- or under-responsive) — Not a DSM diagnosis
Sensory discrimination difficulties — Not a DSM diagnosis
Motor-based sensory difficulties — Not a DSM diagnosis
Presentation and care of written work — Added — Form 2 wording
Self-care and independence skills at school — Added</t>
        </is>
      </c>
      <c r="O572" s="164" t="inlineStr">
        <is>
          <t>3 · WHO THEY ARE REFERRED TO
CDNT / Occupational Therapy
CDNT / OT
CAMHS
GP
Paediatrics
Occupational Therapy
OT
Physiotherapy
NEPS</t>
        </is>
      </c>
      <c r="P572" s="164" t="inlineStr">
        <is>
          <t>4 · WHAT YOU WOULD DO AT THIS AGE
DASH · Beery VMI · self-report on PE avoidance and social impact · RACE for handwriting (word processor, scribe) · practical-subject demands.</t>
        </is>
      </c>
    </row>
    <row r="573" outlineLevel="2" ht="15" customHeight="1" s="128">
      <c r="A573" s="183" t="inlineStr">
        <is>
          <t>CAT</t>
        </is>
      </c>
      <c r="B573" s="183" t="inlineStr">
        <is>
          <t>Adolescent  (13–16 years)</t>
        </is>
      </c>
      <c r="C573" s="183" t="inlineStr">
        <is>
          <t>2. BEHAVIOUR</t>
        </is>
      </c>
      <c r="D573" s="183" t="n"/>
      <c r="E573" s="183" t="inlineStr">
        <is>
          <t>2 areas present at this age</t>
        </is>
      </c>
      <c r="F573" s="183" t="n"/>
      <c r="G573" s="183" t="n"/>
      <c r="H573" s="183" t="n"/>
      <c r="I573" s="183" t="n"/>
      <c r="J573" s="183" t="n"/>
      <c r="K573" s="183" t="n"/>
      <c r="L573" s="183" t="n"/>
    </row>
    <row r="574" outlineLevel="2" ht="408.75" customHeight="1" s="128">
      <c r="A574" s="148" t="n"/>
      <c r="B574" s="149" t="inlineStr">
        <is>
          <t>Adolescent  (13–16 years)</t>
        </is>
      </c>
      <c r="C574" s="149" t="inlineStr">
        <is>
          <t>2. BEHAVIOUR</t>
        </is>
      </c>
      <c r="D574" s="148" t="inlineStr">
        <is>
          <t>Everything for this area at this age</t>
        </is>
      </c>
      <c r="E574" s="184" t="inlineStr">
        <is>
          <t>5 dx · 8 pres · 4 tools</t>
        </is>
      </c>
      <c r="F574" s="164" t="inlineStr">
        <is>
          <t>2.1 Behaviour in class</t>
        </is>
      </c>
      <c r="G574" s="133" t="n"/>
      <c r="H574" s="148" t="n"/>
      <c r="I574" s="148" t="n"/>
      <c r="J574" s="148" t="n"/>
      <c r="K574" s="148" t="n"/>
      <c r="L574" s="148" t="n"/>
      <c r="M574" s="164" t="inlineStr">
        <is>
          <t>1 · DIAGNOSED — what it could be
Oppositional Defiant Disorder — mild — DSM-5-TR / ICD-11 6C90–6C9Z
Oppositional Defiant Disorder — moderate — DSM-5-TR / ICD-11 6C90–6C9Z
Oppositional Defiant Disorder — severe — DSM-5-TR / ICD-11 6C90–6C9Z
Intermittent Explosive Disorder — DSM-5-TR / ICD-11 6C70–6C7Z
Disruptive Mood Dysregulation Disorder — DSM-5-TR / ICD-11 6A70–6A7Z</t>
        </is>
      </c>
      <c r="N574" s="164" t="inlineStr">
        <is>
          <t>2 · NOT DIAGNOSED — descriptive presentations
Behaviour that challenges — Not a DSM diagnosis
Behaviour function (ABC analysis, trigger-behaviour-consequence) — Formulation approach, not a diagnosis
Emotion regulation in the classroom — Added
Response to correction and repair after an incident — Added
Transitions between activities and between classes — Added
Behaviour system fit — is the system working for this pupil — Added
Escalation and de-escalation pattern — Added
Behaviour as communication of an unmet learning need — Added — always test this hypothesis</t>
        </is>
      </c>
      <c r="O574" s="164" t="inlineStr">
        <is>
          <t>3 · WHO THEY ARE REFERRED TO
NEPS (school behaviour)
CAMHS
NEPS
CAMHS (mod–severe)
Primary Care (mild–mod)</t>
        </is>
      </c>
      <c r="P574" s="164" t="inlineStr">
        <is>
          <t>4 · WHAT YOU WOULD DO AT THIS AGE
BASC-3 including self-report · subject-teacher survey — is it all classes or some · pupil interview on their account of the incidents · school discipline record.</t>
        </is>
      </c>
      <c r="Q574" s="164" t="inlineStr">
        <is>
          <t>RCADS self-report
AGE: 8–18
MEASURES: Anxiety and depression subscales.
CANNOT TELL YOU: Risk. Ask directly and follow the risk protocol.
TIME: 10–15 min
LANDS IN: Screening record · referral</t>
        </is>
      </c>
      <c r="R574" s="164" t="inlineStr">
        <is>
          <t>MFQ (Mood and Feelings Questionnaire)
AGE: 8–18
MEASURES: Depressive symptoms, child and parent versions.
CANNOT TELL YOU: Diagnosis. Always screen for risk alongside — see the Ethical Practice competency.
TIME: 5–10 min
LANDS IN: Screening record · referral</t>
        </is>
      </c>
      <c r="S574" s="164" t="inlineStr">
        <is>
          <t>Beck Youth Inventories-2
AGE: 7–18
MEASURES: Self-concept, anxiety, depression, anger, disruptive behaviour.
CANNOT TELL YOU: Anything without corroboration.
TIME: 5–10 min per scale
LANDS IN: Report</t>
        </is>
      </c>
      <c r="T574" s="164" t="inlineStr">
        <is>
          <t>BASC-3 SRP
AGE: self-report to 21:11
MEASURES: Broad emotional and behavioural self-report.
CANNOT TELL YOU: Why. Formulation is yours.
TIME: 20–30 min
LANDS IN: Report</t>
        </is>
      </c>
    </row>
    <row r="575" outlineLevel="2" ht="408.75" customHeight="1" s="128">
      <c r="A575" s="148" t="n"/>
      <c r="B575" s="149" t="inlineStr">
        <is>
          <t>Adolescent  (13–16 years)</t>
        </is>
      </c>
      <c r="C575" s="149" t="inlineStr">
        <is>
          <t>2. BEHAVIOUR</t>
        </is>
      </c>
      <c r="D575" s="148" t="inlineStr">
        <is>
          <t>Everything for this area at this age</t>
        </is>
      </c>
      <c r="E575" s="184" t="inlineStr">
        <is>
          <t>9 dx · 6 pres · 4 tools</t>
        </is>
      </c>
      <c r="F575" s="164" t="inlineStr">
        <is>
          <t>2.2 Behaviour during break times and around the school</t>
        </is>
      </c>
      <c r="G575" s="133" t="n"/>
      <c r="H575" s="148" t="n"/>
      <c r="I575" s="148" t="n"/>
      <c r="J575" s="148" t="n"/>
      <c r="K575" s="148" t="n"/>
      <c r="L575" s="148" t="n"/>
      <c r="M575" s="164" t="inlineStr">
        <is>
          <t>1 · DIAGNOSED — what it could be
Conduct Disorder — childhood-onset type — DSM-5-TR / ICD-11 6C90–6C9Z
Conduct Disorder — adolescent-onset type — DSM-5-TR / ICD-11 6C90–6C9Z
Conduct Disorder — unspecified onset — DSM-5-TR / ICD-11 6C90–6C9Z
Pyromania — DSM-5-TR / ICD-11 6C70–6C7Z
Kleptomania — DSM-5-TR / ICD-11 6C70–6C7Z
Other specified / unspecified disruptive, impulse-control and conduct disorder — DSM-5-TR
Substance use disorders (alcohol, cannabis, opioid, stimulant, tobacco, inhalant, sedative, hallucinogen) — DSM-5-TR / ICD-11 6C40–6C4Z
Gambling Disorder — DSM-5-TR / ICD-11 6C50–6C5Z
Gaming Disorder / Internet Gaming Disorder — ICD-11 6C51</t>
        </is>
      </c>
      <c r="N575" s="164" t="inlineStr">
        <is>
          <t>2 · NOT DIAGNOSED — descriptive presentations
Harmful or sexualised behaviour in children — Not a DSM diagnosis
Adolescent substance misuse / dual diagnosis — Not a standalone diagnosis
Unstructured time — yard and corridor as the difficulty — Added
Supervision ratio and yard layout — Added
Group dynamics and peer influence — Added
Risk-taking without a diagnosis attached — Added</t>
        </is>
      </c>
      <c r="O575" s="164" t="inlineStr">
        <is>
          <t>3 · WHO THEY ARE REFERRED TO
NEPS
CAMHS
Addiction services
Tusla</t>
        </is>
      </c>
      <c r="P575" s="164" t="inlineStr">
        <is>
          <t>4 · WHAT YOU WOULD DO AT THIS AGE
Corridor and break observation where possible · pupil interview · school incident record · substance screening is not NEPS work — refer.</t>
        </is>
      </c>
      <c r="Q575" s="164" t="inlineStr">
        <is>
          <t>RCADS self-report
AGE: 8–18
MEASURES: Anxiety and depression subscales.
CANNOT TELL YOU: Risk. Ask directly and follow the risk protocol.
TIME: 10–15 min
LANDS IN: Screening record · referral</t>
        </is>
      </c>
      <c r="R575" s="164" t="inlineStr">
        <is>
          <t>MFQ (Mood and Feelings Questionnaire)
AGE: 8–18
MEASURES: Depressive symptoms, child and parent versions.
CANNOT TELL YOU: Diagnosis. Always screen for risk alongside — see the Ethical Practice competency.
TIME: 5–10 min
LANDS IN: Screening record · referral</t>
        </is>
      </c>
      <c r="S575" s="164" t="inlineStr">
        <is>
          <t>Beck Youth Inventories-2
AGE: 7–18
MEASURES: Self-concept, anxiety, depression, anger, disruptive behaviour.
CANNOT TELL YOU: Anything without corroboration.
TIME: 5–10 min per scale
LANDS IN: Report</t>
        </is>
      </c>
      <c r="T575" s="164" t="inlineStr">
        <is>
          <t>BASC-3 SRP
AGE: self-report to 21:11
MEASURES: Broad emotional and behavioural self-report.
CANNOT TELL YOU: Why. Formulation is yours.
TIME: 20–30 min
LANDS IN: Report</t>
        </is>
      </c>
    </row>
    <row r="576" outlineLevel="2" ht="15" customHeight="1" s="128">
      <c r="A576" s="183" t="inlineStr">
        <is>
          <t>CAT</t>
        </is>
      </c>
      <c r="B576" s="183" t="inlineStr">
        <is>
          <t>Adolescent  (13–16 years)</t>
        </is>
      </c>
      <c r="C576" s="183" t="inlineStr">
        <is>
          <t>3. EMOTIONAL</t>
        </is>
      </c>
      <c r="D576" s="183" t="n"/>
      <c r="E576" s="183" t="inlineStr">
        <is>
          <t>7 areas present at this age</t>
        </is>
      </c>
      <c r="F576" s="183" t="n"/>
      <c r="G576" s="183" t="n"/>
      <c r="H576" s="183" t="n"/>
      <c r="I576" s="183" t="n"/>
      <c r="J576" s="183" t="n"/>
      <c r="K576" s="183" t="n"/>
      <c r="L576" s="183" t="n"/>
    </row>
    <row r="577" outlineLevel="2" ht="408.75" customHeight="1" s="128">
      <c r="A577" s="148" t="n"/>
      <c r="B577" s="149" t="inlineStr">
        <is>
          <t>Adolescent  (13–16 years)</t>
        </is>
      </c>
      <c r="C577" s="149" t="inlineStr">
        <is>
          <t>3. EMOTIONAL</t>
        </is>
      </c>
      <c r="D577" s="148" t="inlineStr">
        <is>
          <t>Everything for this area at this age</t>
        </is>
      </c>
      <c r="E577" s="184" t="inlineStr">
        <is>
          <t>0 dx · 7 pres · 4 tools</t>
        </is>
      </c>
      <c r="F577" s="164" t="inlineStr">
        <is>
          <t>3.1 Confidence and self-esteem</t>
        </is>
      </c>
      <c r="G577" s="133" t="n"/>
      <c r="H577" s="148" t="n"/>
      <c r="I577" s="148" t="n"/>
      <c r="J577" s="148" t="n"/>
      <c r="K577" s="148" t="n"/>
      <c r="L577" s="148" t="n"/>
      <c r="M577" s="164" t="inlineStr">
        <is>
          <t>1 · DIAGNOSED
None. Everything here is a presentation.</t>
        </is>
      </c>
      <c r="N577" s="164" t="inlineStr">
        <is>
          <t>2 · NOT DIAGNOSED — descriptive presentations
Low confidence and self-esteem — Not a DSM diagnosis
Learned helplessness — Not a DSM diagnosis
Academic self-concept vs global self-esteem — Added
Attribution style — effort vs ability — Added
Response to failure and setback — Added — Form 2 survey wording
Perfectionism and fear of getting it wrong — Added
Self-esteem as a consequence of unidentified SLD — Added — check the sequence</t>
        </is>
      </c>
      <c r="O577" s="164" t="inlineStr">
        <is>
          <t>3 · WHO THEY ARE REFERRED TO
NEPS</t>
        </is>
      </c>
      <c r="P577" s="164" t="inlineStr">
        <is>
          <t>4 · WHAT YOU WOULD DO AT THIS AGE
Self-report measures become the primary source · Piers-Harris 3 · BASC-3 SRP · solution-focused interview · watch for low mood underneath.</t>
        </is>
      </c>
      <c r="Q577" s="164" t="inlineStr">
        <is>
          <t>RCADS self-report
AGE: 8–18
MEASURES: Anxiety and depression subscales.
CANNOT TELL YOU: Risk. Ask directly and follow the risk protocol.
TIME: 10–15 min
LANDS IN: Screening record · referral</t>
        </is>
      </c>
      <c r="R577" s="164" t="inlineStr">
        <is>
          <t>MFQ (Mood and Feelings Questionnaire)
AGE: 8–18
MEASURES: Depressive symptoms, child and parent versions.
CANNOT TELL YOU: Diagnosis. Always screen for risk alongside — see the Ethical Practice competency.
TIME: 5–10 min
LANDS IN: Screening record · referral</t>
        </is>
      </c>
      <c r="S577" s="164" t="inlineStr">
        <is>
          <t>Beck Youth Inventories-2
AGE: 7–18
MEASURES: Self-concept, anxiety, depression, anger, disruptive behaviour.
CANNOT TELL YOU: Anything without corroboration.
TIME: 5–10 min per scale
LANDS IN: Report</t>
        </is>
      </c>
      <c r="T577" s="164" t="inlineStr">
        <is>
          <t>BASC-3 SRP
AGE: self-report to 21:11
MEASURES: Broad emotional and behavioural self-report.
CANNOT TELL YOU: Why. Formulation is yours.
TIME: 20–30 min
LANDS IN: Report</t>
        </is>
      </c>
    </row>
    <row r="578" outlineLevel="2" ht="408.75" customHeight="1" s="128">
      <c r="A578" s="148" t="n"/>
      <c r="B578" s="149" t="inlineStr">
        <is>
          <t>Adolescent  (13–16 years)</t>
        </is>
      </c>
      <c r="C578" s="149" t="inlineStr">
        <is>
          <t>3. EMOTIONAL</t>
        </is>
      </c>
      <c r="D578" s="148" t="inlineStr">
        <is>
          <t>Everything for this area at this age</t>
        </is>
      </c>
      <c r="E578" s="184" t="inlineStr">
        <is>
          <t>8 dx · 6 pres · 4 tools</t>
        </is>
      </c>
      <c r="F578" s="164" t="inlineStr">
        <is>
          <t>3.2 Anxiety</t>
        </is>
      </c>
      <c r="G578" s="133" t="n"/>
      <c r="H578" s="148" t="n"/>
      <c r="I578" s="148" t="n"/>
      <c r="J578" s="148" t="n"/>
      <c r="K578" s="148" t="n"/>
      <c r="L578" s="148" t="n"/>
      <c r="M578" s="164" t="inlineStr">
        <is>
          <t>1 · DIAGNOSED — what it could be
Separation Anxiety Disorder — DSM-5-TR / ICD-11 6B00–6B0Z
Social Anxiety Disorder (social phobia) — DSM-5-TR / ICD-11 6B00–6B0Z
Generalised Anxiety Disorder — DSM-5-TR / ICD-11 6B00–6B0Z
Specific Phobia — DSM-5-TR / ICD-11 6B00–6B0Z
Panic Disorder — DSM-5-TR / ICD-11 6B00–6B0Z
Agoraphobia — DSM-5-TR / ICD-11 6B00–6B0Z
Selective mutism — DSM-5-TR anxiety
Other specified / unspecified anxiety disorder — DSM-5-TR</t>
        </is>
      </c>
      <c r="N578" s="164" t="inlineStr">
        <is>
          <t>2 · NOT DIAGNOSED — descriptive presentations
School anxiety presentations (not a standalone diagnosis) — Not a DSM diagnosis
Test and exam anxiety — Added
Performance anxiety in oral work — Added
Anticipatory anxiety about transitions — Added
Somatic complaints presenting at school (tummy aches, headaches) — Added
Anxiety secondary to an unmet learning need — Added</t>
        </is>
      </c>
      <c r="O578" s="164" t="inlineStr">
        <is>
          <t>3 · WHO THEY ARE REFERRED TO
Primary Care (mild–mod)
CAMHS (severe)
Primary Care
CAMHS
CAMHS — also under 1.2
NEPS
GP to rule out</t>
        </is>
      </c>
      <c r="P578" s="164" t="inlineStr">
        <is>
          <t>4 · WHAT YOU WOULD DO AT THIS AGE
RCADS self-report · SCAS-A · Beck Youth Inventories · direct interview · school attendance data alongside — anxiety and EBSA travel together.</t>
        </is>
      </c>
      <c r="Q578" s="164" t="inlineStr">
        <is>
          <t>RCADS self-report
AGE: 8–18
MEASURES: Anxiety and depression subscales.
CANNOT TELL YOU: Risk. Ask directly and follow the risk protocol.
TIME: 10–15 min
LANDS IN: Screening record · referral</t>
        </is>
      </c>
      <c r="R578" s="164" t="inlineStr">
        <is>
          <t>MFQ (Mood and Feelings Questionnaire)
AGE: 8–18
MEASURES: Depressive symptoms, child and parent versions.
CANNOT TELL YOU: Diagnosis. Always screen for risk alongside — see the Ethical Practice competency.
TIME: 5–10 min
LANDS IN: Screening record · referral</t>
        </is>
      </c>
      <c r="S578" s="164" t="inlineStr">
        <is>
          <t>Beck Youth Inventories-2
AGE: 7–18
MEASURES: Self-concept, anxiety, depression, anger, disruptive behaviour.
CANNOT TELL YOU: Anything without corroboration.
TIME: 5–10 min per scale
LANDS IN: Report</t>
        </is>
      </c>
      <c r="T578" s="164" t="inlineStr">
        <is>
          <t>BASC-3 SRP
AGE: self-report to 21:11
MEASURES: Broad emotional and behavioural self-report.
CANNOT TELL YOU: Why. Formulation is yours.
TIME: 20–30 min
LANDS IN: Report</t>
        </is>
      </c>
    </row>
    <row r="579" outlineLevel="2" ht="408.75" customHeight="1" s="128">
      <c r="A579" s="148" t="n"/>
      <c r="B579" s="149" t="inlineStr">
        <is>
          <t>Adolescent  (13–16 years)</t>
        </is>
      </c>
      <c r="C579" s="149" t="inlineStr">
        <is>
          <t>3. EMOTIONAL</t>
        </is>
      </c>
      <c r="D579" s="148" t="inlineStr">
        <is>
          <t>Everything for this area at this age</t>
        </is>
      </c>
      <c r="E579" s="184" t="inlineStr">
        <is>
          <t>5 dx · 3 pres · 4 tools</t>
        </is>
      </c>
      <c r="F579" s="164" t="inlineStr">
        <is>
          <t>3.3 Obsessive-compulsive and related</t>
        </is>
      </c>
      <c r="G579" s="133" t="n"/>
      <c r="H579" s="148" t="n"/>
      <c r="I579" s="148" t="n"/>
      <c r="J579" s="148" t="n"/>
      <c r="K579" s="148" t="n"/>
      <c r="L579" s="148" t="n"/>
      <c r="M579" s="164" t="inlineStr">
        <is>
          <t>1 · DIAGNOSED — what it could be
Obsessive-Compulsive Disorder — DSM-5-TR / ICD-11 6B20–6B2Z
Body Dysmorphic Disorder — DSM-5-TR / ICD-11 6B20–6B2Z
Hoarding Disorder — DSM-5-TR / ICD-11 6B20–6B2Z
Trichotillomania (hair-pulling) — DSM-5-TR / ICD-11 6B20–6B2Z
Excoriation (skin-picking) Disorder — DSM-5-TR / ICD-11 6B20–6B2Z</t>
        </is>
      </c>
      <c r="N579" s="164" t="inlineStr">
        <is>
          <t>2 · NOT DIAGNOSED — descriptive presentations
Rigidity and routine that is not OCD — Added — check autism first
Repeated checking of work — Added
Ritual at transitions — Added</t>
        </is>
      </c>
      <c r="O579" s="164" t="inlineStr">
        <is>
          <t>3 · WHO THEY ARE REFERRED TO
Primary Care
CAMHS (severe)
CAMHS
NEPS</t>
        </is>
      </c>
      <c r="P579" s="164" t="inlineStr">
        <is>
          <t>4 · WHAT YOU WOULD DO AT THIS AGE
Self-report emerges · CY-BOCS via CAMHS · describe impact on work completion and attendance.</t>
        </is>
      </c>
      <c r="Q579" s="164" t="inlineStr">
        <is>
          <t>RCADS self-report
AGE: 8–18
MEASURES: Anxiety and depression subscales.
CANNOT TELL YOU: Risk. Ask directly and follow the risk protocol.
TIME: 10–15 min
LANDS IN: Screening record · referral</t>
        </is>
      </c>
      <c r="R579" s="164" t="inlineStr">
        <is>
          <t>MFQ (Mood and Feelings Questionnaire)
AGE: 8–18
MEASURES: Depressive symptoms, child and parent versions.
CANNOT TELL YOU: Diagnosis. Always screen for risk alongside — see the Ethical Practice competency.
TIME: 5–10 min
LANDS IN: Screening record · referral</t>
        </is>
      </c>
      <c r="S579" s="164" t="inlineStr">
        <is>
          <t>Beck Youth Inventories-2
AGE: 7–18
MEASURES: Self-concept, anxiety, depression, anger, disruptive behaviour.
CANNOT TELL YOU: Anything without corroboration.
TIME: 5–10 min per scale
LANDS IN: Report</t>
        </is>
      </c>
      <c r="T579" s="164" t="inlineStr">
        <is>
          <t>BASC-3 SRP
AGE: self-report to 21:11
MEASURES: Broad emotional and behavioural self-report.
CANNOT TELL YOU: Why. Formulation is yours.
TIME: 20–30 min
LANDS IN: Report</t>
        </is>
      </c>
    </row>
    <row r="580" outlineLevel="2" ht="408.75" customHeight="1" s="128">
      <c r="A580" s="148" t="n"/>
      <c r="B580" s="149" t="inlineStr">
        <is>
          <t>Adolescent  (13–16 years)</t>
        </is>
      </c>
      <c r="C580" s="149" t="inlineStr">
        <is>
          <t>3. EMOTIONAL</t>
        </is>
      </c>
      <c r="D580" s="148" t="inlineStr">
        <is>
          <t>Everything for this area at this age</t>
        </is>
      </c>
      <c r="E580" s="184" t="inlineStr">
        <is>
          <t>5 dx · 4 pres · 4 tools</t>
        </is>
      </c>
      <c r="F580" s="164" t="inlineStr">
        <is>
          <t>3.4 Mood</t>
        </is>
      </c>
      <c r="G580" s="133" t="n"/>
      <c r="H580" s="148" t="n"/>
      <c r="I580" s="148" t="n"/>
      <c r="J580" s="148" t="n"/>
      <c r="K580" s="148" t="n"/>
      <c r="L580" s="148" t="n"/>
      <c r="M580" s="164" t="inlineStr">
        <is>
          <t>1 · DIAGNOSED — what it could be
Major Depressive Disorder — single episode — DSM-5-TR / ICD-11 6A70–6A7Z
Major Depressive Disorder — recurrent episode — DSM-5-TR / ICD-11 6A70–6A7Z
Persistent Depressive Disorder (dysthymia) — DSM-5-TR / ICD-11 6A70–6A7Z
Premenstrual Dysphoric Disorder — DSM-5-TR / ICD-11 6A70–6A7Z
Other specified / unspecified depressive disorder — DSM-5-TR</t>
        </is>
      </c>
      <c r="N580" s="164" t="inlineStr">
        <is>
          <t>2 · NOT DIAGNOSED — descriptive presentations
Low mood without diagnostic threshold — Added
Loss of interest in school activities previously enjoyed — Added
Withdrawal from peers — Added
Irritability as the presentation of low mood in young people — Added</t>
        </is>
      </c>
      <c r="O580" s="164" t="inlineStr">
        <is>
          <t>3 · WHO THEY ARE REFERRED TO
CAMHS (mod–severe)
Primary Care (mild–mod)
CAMHS
Primary Care
NEPS</t>
        </is>
      </c>
      <c r="P580" s="164" t="inlineStr">
        <is>
          <t>4 · WHAT YOU WOULD DO AT THIS AGE
MFQ self-report · Beck Youth Inventories · direct interview · always screen for risk — see 3.7 · attendance and engagement data.</t>
        </is>
      </c>
      <c r="Q580" s="164" t="inlineStr">
        <is>
          <t>RCADS self-report
AGE: 8–18
MEASURES: Anxiety and depression subscales.
CANNOT TELL YOU: Risk. Ask directly and follow the risk protocol.
TIME: 10–15 min
LANDS IN: Screening record · referral</t>
        </is>
      </c>
      <c r="R580" s="164" t="inlineStr">
        <is>
          <t>MFQ (Mood and Feelings Questionnaire)
AGE: 8–18
MEASURES: Depressive symptoms, child and parent versions.
CANNOT TELL YOU: Diagnosis. Always screen for risk alongside — see the Ethical Practice competency.
TIME: 5–10 min
LANDS IN: Screening record · referral</t>
        </is>
      </c>
      <c r="S580" s="164" t="inlineStr">
        <is>
          <t>Beck Youth Inventories-2
AGE: 7–18
MEASURES: Self-concept, anxiety, depression, anger, disruptive behaviour.
CANNOT TELL YOU: Anything without corroboration.
TIME: 5–10 min per scale
LANDS IN: Report</t>
        </is>
      </c>
      <c r="T580" s="164" t="inlineStr">
        <is>
          <t>BASC-3 SRP
AGE: self-report to 21:11
MEASURES: Broad emotional and behavioural self-report.
CANNOT TELL YOU: Why. Formulation is yours.
TIME: 20–30 min
LANDS IN: Report</t>
        </is>
      </c>
    </row>
    <row r="581" outlineLevel="2" ht="408.75" customHeight="1" s="128">
      <c r="A581" s="148" t="n"/>
      <c r="B581" s="149" t="inlineStr">
        <is>
          <t>Adolescent  (13–16 years)</t>
        </is>
      </c>
      <c r="C581" s="149" t="inlineStr">
        <is>
          <t>3. EMOTIONAL</t>
        </is>
      </c>
      <c r="D581" s="148" t="inlineStr">
        <is>
          <t>Everything for this area at this age</t>
        </is>
      </c>
      <c r="E581" s="184" t="inlineStr">
        <is>
          <t>8 dx · 5 pres · 4 tools</t>
        </is>
      </c>
      <c r="F581" s="164" t="inlineStr">
        <is>
          <t>3.5 Trauma, attachment and loss</t>
        </is>
      </c>
      <c r="G581" s="133" t="n"/>
      <c r="H581" s="148" t="n"/>
      <c r="I581" s="148" t="n"/>
      <c r="J581" s="148" t="n"/>
      <c r="K581" s="148" t="n"/>
      <c r="L581" s="148" t="n"/>
      <c r="M581" s="164" t="inlineStr">
        <is>
          <t>1 · DIAGNOSED — what it could be
Reactive Attachment Disorder — DSM-5-TR / ICD-11 6B40–6B4Z
Disinhibited Social Engagement Disorder — DSM-5-TR / ICD-11 6B45
Posttraumatic Stress Disorder — DSM-5-TR / ICD-11 6B40
PTSD — preschool subtype (6 years and under) — DSM-5-TR
Complex PTSD — ICD-11 6B41
Acute Stress Disorder — DSM-5-TR / ICD-11 6B40–6B4Z
Adjustment Disorder (with depressed mood / anxiety / mixed / conduct / unspecified) — DSM-5-TR / ICD-11 6B40–6B4Z
Prolonged Grief Disorder — DSM-5-TR / ICD-11 6B42</t>
        </is>
      </c>
      <c r="N581" s="164" t="inlineStr">
        <is>
          <t>2 · NOT DIAGNOSED — descriptive presentations
Complex or developmental trauma — Not a DSM diagnosis
Adverse Childhood Experiences (ACEs) — Not a DSM diagnosis
Bereavement reaction — Not a DSM diagnosis
Displacement, asylum and resettlement — Added
Trauma-informed classroom practice — Added — the systemic response</t>
        </is>
      </c>
      <c r="O581" s="164" t="inlineStr">
        <is>
          <t>3 · WHO THEY ARE REFERRED TO
Primary Care
CAMHS (severe)
CAMHS
Primary Care (milder)
NEPS critical incident response
NEPS
community services</t>
        </is>
      </c>
      <c r="P581" s="164" t="inlineStr">
        <is>
          <t>4 · WHAT YOU WOULD DO AT THIS AGE
Self-report where safe and where the young person has chosen to speak · always supervision first · CAMHS pathway · your role is school support, not trauma treatment.</t>
        </is>
      </c>
      <c r="Q581" s="164" t="inlineStr">
        <is>
          <t>RCADS self-report
AGE: 8–18
MEASURES: Anxiety and depression subscales.
CANNOT TELL YOU: Risk. Ask directly and follow the risk protocol.
TIME: 10–15 min
LANDS IN: Screening record · referral</t>
        </is>
      </c>
      <c r="R581" s="164" t="inlineStr">
        <is>
          <t>MFQ (Mood and Feelings Questionnaire)
AGE: 8–18
MEASURES: Depressive symptoms, child and parent versions.
CANNOT TELL YOU: Diagnosis. Always screen for risk alongside — see the Ethical Practice competency.
TIME: 5–10 min
LANDS IN: Screening record · referral</t>
        </is>
      </c>
      <c r="S581" s="164" t="inlineStr">
        <is>
          <t>Beck Youth Inventories-2
AGE: 7–18
MEASURES: Self-concept, anxiety, depression, anger, disruptive behaviour.
CANNOT TELL YOU: Anything without corroboration.
TIME: 5–10 min per scale
LANDS IN: Report</t>
        </is>
      </c>
      <c r="T581" s="164" t="inlineStr">
        <is>
          <t>BASC-3 SRP
AGE: self-report to 21:11
MEASURES: Broad emotional and behavioural self-report.
CANNOT TELL YOU: Why. Formulation is yours.
TIME: 20–30 min
LANDS IN: Report</t>
        </is>
      </c>
    </row>
    <row r="582" outlineLevel="2" ht="408.75" customHeight="1" s="128">
      <c r="A582" s="148" t="n"/>
      <c r="B582" s="149" t="inlineStr">
        <is>
          <t>Adolescent  (13–16 years)</t>
        </is>
      </c>
      <c r="C582" s="149" t="inlineStr">
        <is>
          <t>3. EMOTIONAL</t>
        </is>
      </c>
      <c r="D582" s="148" t="inlineStr">
        <is>
          <t>Everything for this area at this age</t>
        </is>
      </c>
      <c r="E582" s="184" t="inlineStr">
        <is>
          <t>0 dx · 6 pres · 4 tools</t>
        </is>
      </c>
      <c r="F582" s="164" t="inlineStr">
        <is>
          <t>3.6 School attendance</t>
        </is>
      </c>
      <c r="G582" s="133" t="n"/>
      <c r="H582" s="148" t="n"/>
      <c r="I582" s="148" t="n"/>
      <c r="J582" s="148" t="n"/>
      <c r="K582" s="148" t="n"/>
      <c r="L582" s="148" t="n"/>
      <c r="M582" s="164" t="inlineStr">
        <is>
          <t>1 · DIAGNOSED
None. Everything here is a presentation.</t>
        </is>
      </c>
      <c r="N582" s="164" t="inlineStr">
        <is>
          <t>2 · NOT DIAGNOSED — descriptive presentations
Emotionally Based School Avoidance (school refusal) — Not a DSM diagnosis
Truancy distinguished from EBSA — Added — different formulation, different response
Parentally condoned absence — Added
Absence due to chronic illness — Added
Late arrival and partial attendance — Added
Return-to-school planning after extended absence — Added</t>
        </is>
      </c>
      <c r="O582" s="164" t="inlineStr">
        <is>
          <t>3 · WHO THEY ARE REFERRED TO
NEPS
Primary Care
Educational Welfare (Tusla)
Paediatrics
NEPS for school supports</t>
        </is>
      </c>
      <c r="P582" s="164" t="inlineStr">
        <is>
          <t>4 · WHAT YOU WOULD DO AT THIS AGE
Attendance data · pupil interview · EBSA assessment framework · graduated return plan · Tusla Educational Welfare involvement · this is a core development area for you — school avoidance therapeutic models.</t>
        </is>
      </c>
      <c r="Q582" s="164" t="inlineStr">
        <is>
          <t>RCADS self-report
AGE: 8–18
MEASURES: Anxiety and depression subscales.
CANNOT TELL YOU: Risk. Ask directly and follow the risk protocol.
TIME: 10–15 min
LANDS IN: Screening record · referral</t>
        </is>
      </c>
      <c r="R582" s="164" t="inlineStr">
        <is>
          <t>MFQ (Mood and Feelings Questionnaire)
AGE: 8–18
MEASURES: Depressive symptoms, child and parent versions.
CANNOT TELL YOU: Diagnosis. Always screen for risk alongside — see the Ethical Practice competency.
TIME: 5–10 min
LANDS IN: Screening record · referral</t>
        </is>
      </c>
      <c r="S582" s="164" t="inlineStr">
        <is>
          <t>Beck Youth Inventories-2
AGE: 7–18
MEASURES: Self-concept, anxiety, depression, anger, disruptive behaviour.
CANNOT TELL YOU: Anything without corroboration.
TIME: 5–10 min per scale
LANDS IN: Report</t>
        </is>
      </c>
      <c r="T582" s="164" t="inlineStr">
        <is>
          <t>BASC-3 SRP
AGE: self-report to 21:11
MEASURES: Broad emotional and behavioural self-report.
CANNOT TELL YOU: Why. Formulation is yours.
TIME: 20–30 min
LANDS IN: Report</t>
        </is>
      </c>
    </row>
    <row r="583" outlineLevel="2" ht="79.5" customHeight="1" s="128">
      <c r="A583" s="185" t="n"/>
      <c r="B583" s="186" t="inlineStr">
        <is>
          <t>Adolescent  (13–16 years)</t>
        </is>
      </c>
      <c r="C583" s="186" t="inlineStr">
        <is>
          <t>3. EMOTIONAL</t>
        </is>
      </c>
      <c r="D583" s="185" t="inlineStr">
        <is>
          <t>STOP — not an assessment area</t>
        </is>
      </c>
      <c r="E583" s="187" t="inlineStr">
        <is>
          <t>Do not assess</t>
        </is>
      </c>
      <c r="F583" s="186" t="inlineStr">
        <is>
          <t>3.7 Risk and safeguarding</t>
        </is>
      </c>
      <c r="G583" s="185" t="n"/>
      <c r="H583" s="185" t="n"/>
      <c r="I583" s="185" t="n"/>
      <c r="J583" s="185" t="n"/>
      <c r="K583" s="185" t="n"/>
      <c r="L583" s="185" t="n"/>
      <c r="M583" s="186" t="inlineStr">
        <is>
          <t>This area is not an assessment area. If risk or a safeguarding concern arises, you stop, you tell your supervisor the same day, and you follow Children First and the school DLP route. UCD Handbook §6.2 requires you to raise crises immediately. Know the pathway before the day you need it.</t>
        </is>
      </c>
    </row>
    <row r="584" outlineLevel="2" ht="15" customHeight="1" s="128">
      <c r="A584" s="183" t="inlineStr">
        <is>
          <t>CAT</t>
        </is>
      </c>
      <c r="B584" s="183" t="inlineStr">
        <is>
          <t>Adolescent  (13–16 years)</t>
        </is>
      </c>
      <c r="C584" s="183" t="inlineStr">
        <is>
          <t>4. SOCIAL</t>
        </is>
      </c>
      <c r="D584" s="183" t="n"/>
      <c r="E584" s="183" t="inlineStr">
        <is>
          <t>2 areas present at this age</t>
        </is>
      </c>
      <c r="F584" s="183" t="n"/>
      <c r="G584" s="183" t="n"/>
      <c r="H584" s="183" t="n"/>
      <c r="I584" s="183" t="n"/>
      <c r="J584" s="183" t="n"/>
      <c r="K584" s="183" t="n"/>
      <c r="L584" s="183" t="n"/>
    </row>
    <row r="585" outlineLevel="2" ht="408.75" customHeight="1" s="128">
      <c r="A585" s="148" t="n"/>
      <c r="B585" s="149" t="inlineStr">
        <is>
          <t>Adolescent  (13–16 years)</t>
        </is>
      </c>
      <c r="C585" s="149" t="inlineStr">
        <is>
          <t>4. SOCIAL</t>
        </is>
      </c>
      <c r="D585" s="148" t="inlineStr">
        <is>
          <t>Everything for this area at this age</t>
        </is>
      </c>
      <c r="E585" s="184" t="inlineStr">
        <is>
          <t>6 dx · 9 pres · 2 tools</t>
        </is>
      </c>
      <c r="F585" s="164" t="inlineStr">
        <is>
          <t>4.1 Friendships and social skills</t>
        </is>
      </c>
      <c r="G585" s="133" t="n"/>
      <c r="H585" s="148" t="n"/>
      <c r="I585" s="148" t="n"/>
      <c r="J585" s="148" t="n"/>
      <c r="K585" s="148" t="n"/>
      <c r="L585" s="148" t="n"/>
      <c r="M585" s="164" t="inlineStr">
        <is>
          <t>1 · DIAGNOSED — what it could be
Autism Spectrum Disorder — level 1, requiring support — DSM-5-TR / ICD-11 6A02
Autism Spectrum Disorder — level 2, requiring substantial support — DSM-5-TR / ICD-11 6A02
Autism Spectrum Disorder — level 3, requiring very substantial support — DSM-5-TR / ICD-11 6A02
ASD with accompanying intellectual impairment — DSM-5-TR specifier
ASD with accompanying language impairment — DSM-5-TR specifier
Social (Pragmatic) Communication Disorder — DSM-5-TR / ICD-11 6A01</t>
        </is>
      </c>
      <c r="N585" s="164" t="inlineStr">
        <is>
          <t>2 · NOT DIAGNOSED — descriptive presentations
Pathological Demand Avoidance (PDA) profile — Not a DSM diagnosis
Peer relationship difficulties and social isolation — Not a DSM diagnosis
Bullying — Not a DSM diagnosis
Social adaptive skills — Not a DSM diagnosis
Co-operation with peers in group work — Added — Form 2 survey wording
Turn-taking and shared play — Added
Reading social cues and repair after conflict — Added
Masking and the cost of it — Added
Loneliness without observable difficulty — Added — the quiet ones get missed</t>
        </is>
      </c>
      <c r="O585" s="164" t="inlineStr">
        <is>
          <t>3 · WHO THEY ARE REFERRED TO
CDNT
NEPS for school supports
NEPS
NEPS with SLT
whole-school policy support</t>
        </is>
      </c>
      <c r="P585" s="164" t="inlineStr">
        <is>
          <t>4 · WHAT YOU WOULD DO AT THIS AGE
SRS-2 including self-report where available · ADOS-2 Module 3/4 via team · self-report on friendship and belonging · social demands of post-primary are different — assess those, not primary ones.</t>
        </is>
      </c>
      <c r="Q585" s="164" t="inlineStr">
        <is>
          <t>SRS-2
AGE: to 18
MEASURES: Social communication and interaction.
CANNOT TELL YOU: Diagnosis. Under-detects in masking adolescents, particularly girls.
TIME: 15–20 min
LANDS IN: Screening record · referral
*** FULL TEACHING — PART G ***</t>
        </is>
      </c>
      <c r="R585" s="164" t="inlineStr">
        <is>
          <t>ADOS-2 Module 3/4
AGE: adolescent/adult, fluent speech
MEASURES: Standardised observation.
CANNOT TELL YOU: Anything alone; team-administered.
TIME: 40–60 min
LANDS IN: Diagnostic report</t>
        </is>
      </c>
    </row>
    <row r="586" outlineLevel="2" ht="408.75" customHeight="1" s="128">
      <c r="A586" s="148" t="n"/>
      <c r="B586" s="149" t="inlineStr">
        <is>
          <t>Adolescent  (13–16 years)</t>
        </is>
      </c>
      <c r="C586" s="149" t="inlineStr">
        <is>
          <t>4. SOCIAL</t>
        </is>
      </c>
      <c r="D586" s="148" t="inlineStr">
        <is>
          <t>Everything for this area at this age</t>
        </is>
      </c>
      <c r="E586" s="184" t="inlineStr">
        <is>
          <t>3 dx · 8 pres · 2 tools</t>
        </is>
      </c>
      <c r="F586" s="164" t="inlineStr">
        <is>
          <t>4.2 Relationships with adults</t>
        </is>
      </c>
      <c r="G586" s="133" t="n"/>
      <c r="H586" s="148" t="n"/>
      <c r="I586" s="148" t="n"/>
      <c r="J586" s="148" t="n"/>
      <c r="K586" s="148" t="n"/>
      <c r="L586" s="148" t="n"/>
      <c r="M586" s="164" t="inlineStr">
        <is>
          <t>1 · DIAGNOSED — what it could be
Relational problems (parent-child, sibling, upbringing away from parents) — DSM-5-TR Z-codes / ICD-11 Ch.24
Gender Dysphoria in children — DSM-5-TR / ICD-11 Ch.17
Gender Dysphoria in adolescents — DSM-5-TR / ICD-11 Ch.17</t>
        </is>
      </c>
      <c r="N586" s="164" t="inlineStr">
        <is>
          <t>2 · NOT DIAGNOSED — descriptive presentations
Self-advocacy — Not a DSM diagnosis
LGBTQ+ identity support — Not a disorder
Cultural and linguistic identity — Not a disorder
Attitude towards staff — Added — Form 2 survey wording
Trust and the effect of one key adult — Added
Response to authority and to being corrected — Added
Relationship with the SNA and dependence on adult proximity — Added
Help-seeking from adults — Added</t>
        </is>
      </c>
      <c r="O586" s="164" t="inlineStr">
        <is>
          <t>3 · WHO THEY ARE REFERRED TO
Primary Care
CDNT
CAMHS
Specialist services
NEPS
school supports</t>
        </is>
      </c>
      <c r="P586" s="164" t="inlineStr">
        <is>
          <t>4 · WHAT YOU WOULD DO AT THIS AGE
Subject-teacher survey — attitude towards staff varies by subject and that variation is the finding · pupil interview · self-advocacy skills for post-school.</t>
        </is>
      </c>
      <c r="Q586" s="164" t="inlineStr">
        <is>
          <t>SRS-2
AGE: to 18
MEASURES: Social communication and interaction.
CANNOT TELL YOU: Diagnosis. Under-detects in masking adolescents, particularly girls.
TIME: 15–20 min
LANDS IN: Screening record · referral
*** FULL TEACHING — PART G ***</t>
        </is>
      </c>
      <c r="R586" s="164" t="inlineStr">
        <is>
          <t>ADOS-2 Module 3/4
AGE: adolescent/adult, fluent speech
MEASURES: Standardised observation.
CANNOT TELL YOU: Anything alone; team-administered.
TIME: 40–60 min
LANDS IN: Diagnostic report</t>
        </is>
      </c>
    </row>
    <row r="587" outlineLevel="2" ht="15" customHeight="1" s="128">
      <c r="A587" s="183" t="inlineStr">
        <is>
          <t>CAT</t>
        </is>
      </c>
      <c r="B587" s="183" t="inlineStr">
        <is>
          <t>Adolescent  (13–16 years)</t>
        </is>
      </c>
      <c r="C587" s="183" t="inlineStr">
        <is>
          <t>5. OTHER</t>
        </is>
      </c>
      <c r="D587" s="183" t="n"/>
      <c r="E587" s="183" t="inlineStr">
        <is>
          <t>5 areas present at this age</t>
        </is>
      </c>
      <c r="F587" s="183" t="n"/>
      <c r="G587" s="183" t="n"/>
      <c r="H587" s="183" t="n"/>
      <c r="I587" s="183" t="n"/>
      <c r="J587" s="183" t="n"/>
      <c r="K587" s="183" t="n"/>
      <c r="L587" s="183" t="n"/>
    </row>
    <row r="588" outlineLevel="2" ht="408.75" customHeight="1" s="128">
      <c r="A588" s="148" t="n"/>
      <c r="B588" s="149" t="inlineStr">
        <is>
          <t>Adolescent  (13–16 years)</t>
        </is>
      </c>
      <c r="C588" s="149" t="inlineStr">
        <is>
          <t>5. OTHER</t>
        </is>
      </c>
      <c r="D588" s="148" t="inlineStr">
        <is>
          <t>Everything for this area at this age</t>
        </is>
      </c>
      <c r="E588" s="184" t="inlineStr">
        <is>
          <t>1 dx · 3 pres · 0 tools</t>
        </is>
      </c>
      <c r="F588" s="164" t="inlineStr">
        <is>
          <t>5.1 Vision</t>
        </is>
      </c>
      <c r="G588" s="133" t="n"/>
      <c r="H588" s="148" t="n"/>
      <c r="I588" s="148" t="n"/>
      <c r="J588" s="148" t="n"/>
      <c r="K588" s="148" t="n"/>
      <c r="L588" s="148" t="n"/>
      <c r="M588" s="164" t="inlineStr">
        <is>
          <t>1 · DIAGNOSED — what it could be
Visual impairment — Medical</t>
        </is>
      </c>
      <c r="N588" s="164" t="inlineStr">
        <is>
          <t>2 · NOT DIAGNOSED — descriptive presentations
Uncorrected refractive error — Added — rule out before assessing literacy
Visual fatigue in extended reading — Added
Access to print — font, size, contrast, position in room — Added</t>
        </is>
      </c>
      <c r="O588" s="164" t="inlineStr">
        <is>
          <t>3 · WHO THEY ARE REFERRED TO
Ophthalmology
Visiting Teacher service
CDNT
GP
Optometry
NEPS
Visiting Teacher</t>
        </is>
      </c>
      <c r="P588" s="164" t="inlineStr">
        <is>
          <t>4 · WHAT YOU WOULD DO AT THIS AGE
As above, plus exam access arrangements and the visual load of post-primary subjects.</t>
        </is>
      </c>
    </row>
    <row r="589" outlineLevel="2" ht="408.75" customHeight="1" s="128">
      <c r="A589" s="148" t="n"/>
      <c r="B589" s="149" t="inlineStr">
        <is>
          <t>Adolescent  (13–16 years)</t>
        </is>
      </c>
      <c r="C589" s="149" t="inlineStr">
        <is>
          <t>5. OTHER</t>
        </is>
      </c>
      <c r="D589" s="148" t="inlineStr">
        <is>
          <t>Everything for this area at this age</t>
        </is>
      </c>
      <c r="E589" s="184" t="inlineStr">
        <is>
          <t>2 dx · 3 pres · 0 tools</t>
        </is>
      </c>
      <c r="F589" s="164" t="inlineStr">
        <is>
          <t>5.2 Hearing</t>
        </is>
      </c>
      <c r="G589" s="133" t="n"/>
      <c r="H589" s="148" t="n"/>
      <c r="I589" s="148" t="n"/>
      <c r="J589" s="148" t="n"/>
      <c r="K589" s="148" t="n"/>
      <c r="L589" s="148" t="n"/>
      <c r="M589" s="164" t="inlineStr">
        <is>
          <t>1 · DIAGNOSED — what it could be
Hearing impairment (mild, moderate, severe, profound; unilateral or bilateral) — Medical
Recurrent otitis media with effusion (glue ear) — Medical</t>
        </is>
      </c>
      <c r="N589" s="164" t="inlineStr">
        <is>
          <t>2 · NOT DIAGNOSED — descriptive presentations
Listening in noise vs listening one-to-one — Added
Classroom acoustics and seating — Added
Hearing history during the years phonics was taught — Added — glue ear at 5 shows up at 8</t>
        </is>
      </c>
      <c r="O589" s="164" t="inlineStr">
        <is>
          <t>3 · WHO THEY ARE REFERRED TO
Audiology
Visiting Teacher service
CDNT
GP
Audiology — common contributor to literacy difficulty
NEPS
Visiting Teacher</t>
        </is>
      </c>
      <c r="P589" s="164" t="inlineStr">
        <is>
          <t>4 · WHAT YOU WOULD DO AT THIS AGE
Audiology status · FM system use · acoustics in specialist rooms.</t>
        </is>
      </c>
    </row>
    <row r="590" outlineLevel="2" ht="408.75" customHeight="1" s="128">
      <c r="A590" s="148" t="n"/>
      <c r="B590" s="149" t="inlineStr">
        <is>
          <t>Adolescent  (13–16 years)</t>
        </is>
      </c>
      <c r="C590" s="149" t="inlineStr">
        <is>
          <t>5. OTHER</t>
        </is>
      </c>
      <c r="D590" s="148" t="inlineStr">
        <is>
          <t>Everything for this area at this age</t>
        </is>
      </c>
      <c r="E590" s="184" t="inlineStr">
        <is>
          <t>11 dx · 7 pres · 1 tools</t>
        </is>
      </c>
      <c r="F590" s="164" t="inlineStr">
        <is>
          <t>5.3 Medical condition or other diagnosis</t>
        </is>
      </c>
      <c r="G590" s="133" t="n"/>
      <c r="H590" s="148" t="n"/>
      <c r="I590" s="148" t="n"/>
      <c r="J590" s="148" t="n"/>
      <c r="K590" s="148" t="n"/>
      <c r="L590" s="148" t="n"/>
      <c r="M590" s="164" t="inlineStr">
        <is>
          <t>1 · DIAGNOSED — what it could be
Epilepsy and its educational impact — Medical / ICD-11 Ch.08
Cerebral palsy (spastic / dyskinetic / ataxic / mixed) — Medical / ICD-11 Ch.08
Spina bifida — Medical / ICD-11 Ch.08
Muscular dystrophy — Medical / ICD-11 Ch.08
Acquired brain injury — Medical / ICD-11 Ch.08
Foetal Alcohol Spectrum Disorder — Prenatal exposure
Genetic syndromes (Down, Fragile X, 22q11.2, Williams, Prader-Willi, Angelman, Rett) — ICD-11 Ch.20
Sleep disorders (insomnia, hypersomnolence, narcolepsy, breathing-related, circadian, RLS, NREM arousal, nightmare, REM behaviour) — DSM-5-TR / ICD-11 Ch.07
Feeding and eating disorders (Pica, Rumination, ARFID, Anorexia, Bulimia, Binge-Eating) — DSM-5-TR / ICD-11 6B80–6B8Z
Elimination disorders (Enuresis, Encopresis) — DSM-5-TR / ICD-11 6C00–6C0Z
Somatic Symptom Disorder / Illness Anxiety / Conversion Disorder — DSM-5-TR / ICD-11 6C20–6C2Z</t>
        </is>
      </c>
      <c r="N590" s="164" t="inlineStr">
        <is>
          <t>2 · NOT DIAGNOSED — descriptive presentations
Physical disability (non-cerebral palsy) — Medical
Multiple disabilities — Medical
Chronic illness affecting school — Medical
Fatigue and stamina needs — Medical
Medication effects on attention and learning — Added
Missed curriculum from hospital admissions — Added
Re-entry to school after illness — Added</t>
        </is>
      </c>
      <c r="O590" s="164" t="inlineStr">
        <is>
          <t>3 · WHO THEY ARE REFERRED TO
Paediatric neurology
CDNT
OT
Physio
Paediatrics
GP
CAMHS pathway
Primary Care
paediatric liaison
NEPS for school supports
NEPS
CAMHS
home tuition</t>
        </is>
      </c>
      <c r="P590" s="164" t="inlineStr">
        <is>
          <t>4 · WHAT YOU WOULD DO AT THIS AGE
Medical report · exam accommodations · subject choice constraints · transition planning.</t>
        </is>
      </c>
      <c r="Q590" s="164" t="inlineStr">
        <is>
          <t>ABAS-3
AGE: to 89
MEASURES: Conceptual, social, practical.
CANNOT TELL YOU: Capacity. Post-school transition planning needs this and it is routinely skipped.
TIME: 15–20 min
LANDS IN: Report · transition plan
*** FULL TEACHING — PART G ***</t>
        </is>
      </c>
    </row>
    <row r="591" outlineLevel="2" ht="408.75" customHeight="1" s="128">
      <c r="A591" s="148" t="n"/>
      <c r="B591" s="149" t="inlineStr">
        <is>
          <t>Adolescent  (13–16 years)</t>
        </is>
      </c>
      <c r="C591" s="149" t="inlineStr">
        <is>
          <t>5. OTHER</t>
        </is>
      </c>
      <c r="D591" s="148" t="inlineStr">
        <is>
          <t>Everything for this area at this age</t>
        </is>
      </c>
      <c r="E591" s="184" t="inlineStr">
        <is>
          <t>5 dx · 10 pres · 0 tools</t>
        </is>
      </c>
      <c r="F591" s="164" t="inlineStr">
        <is>
          <t>5.5 Involvement of other services</t>
        </is>
      </c>
      <c r="G591" s="133" t="n"/>
      <c r="H591" s="148" t="n"/>
      <c r="I591" s="148" t="n"/>
      <c r="J591" s="148" t="n"/>
      <c r="K591" s="148" t="n"/>
      <c r="L591" s="148" t="n"/>
      <c r="M591" s="164" t="inlineStr">
        <is>
          <t>1 · DIAGNOSED — what it could be
Psychotic disorders (Delusional, Brief Psychotic, Schizophreniform, Schizophrenia, Schizoaffective) — DSM-5-TR / ICD-11 6A20–6A2Z
Bipolar and related disorders (Bipolar I, Bipolar II, Cyclothymic) — DSM-5-TR / ICD-11 6A60–6A6Z
Dissociative disorders (DID, Dissociative Amnesia, Depersonalisation/Derealisation) — DSM-5-TR / ICD-11 6B60–6B6Z
Personality disorders — Clusters A, B, C — DSM-5-TR / ICD-11 6D10–6D11
Catatonia — DSM-5-TR / ICD-11 6A40–6A4Z</t>
        </is>
      </c>
      <c r="N591" s="164" t="inlineStr">
        <is>
          <t>2 · NOT DIAGNOSED — descriptive presentations
Care-experienced children (foster, kinship, residential, aftercare) — Not a DSM diagnosis
Child protection and welfare concerns — Not a DSM diagnosis
Domestic violence exposure — Not a DSM diagnosis
Parenting capacity concerns — Not a DSM diagnosis
Family functioning difficulties — Not a DSM diagnosis
Housing and economic problems — DSM-5-TR Z-codes
Social exclusion, discrimination, acculturation difficulty — DSM-5-TR Z-codes
Knowing which service does what, and the referral route — Added — your named development area
Multi-disciplinary meetings and your role in them — Added
Professional and service boundaries — what is not yours to do — Added — your named development area</t>
        </is>
      </c>
      <c r="O591" s="164" t="inlineStr">
        <is>
          <t>3 · WHO THEY ARE REFERRED TO
CAMHS
Late adolescence and adult services
CAMHS transition
Tusla
Primary Care
Tusla — Children First
community services
NEPS
supervisor</t>
        </is>
      </c>
      <c r="P591" s="164" t="inlineStr">
        <is>
          <t>4 · WHAT YOU WOULD DO AT THIS AGE
Service transitions at 16 and 18 are a live issue — map them before the young person hits them.</t>
        </is>
      </c>
    </row>
    <row r="592" outlineLevel="2" ht="408.75" customHeight="1" s="128">
      <c r="A592" s="148" t="n"/>
      <c r="B592" s="149" t="inlineStr">
        <is>
          <t>Adolescent  (13–16 years)</t>
        </is>
      </c>
      <c r="C592" s="149" t="inlineStr">
        <is>
          <t>5. OTHER</t>
        </is>
      </c>
      <c r="D592" s="148" t="inlineStr">
        <is>
          <t>Everything for this area at this age</t>
        </is>
      </c>
      <c r="E592" s="184" t="inlineStr">
        <is>
          <t>0 dx · 14 pres · 0 tools</t>
        </is>
      </c>
      <c r="F592" s="164" t="inlineStr">
        <is>
          <t>5.6 School and access factors</t>
        </is>
      </c>
      <c r="G592" s="133" t="n"/>
      <c r="H592" s="148" t="n"/>
      <c r="I592" s="148" t="n"/>
      <c r="J592" s="148" t="n"/>
      <c r="K592" s="148" t="n"/>
      <c r="L592" s="148" t="n"/>
      <c r="M592" s="164" t="inlineStr">
        <is>
          <t>1 · DIAGNOSED
None. Everything here is a presentation.</t>
        </is>
      </c>
      <c r="N592" s="164" t="inlineStr">
        <is>
          <t>2 · NOT DIAGNOSED — descriptive presentations
Classroom environment — Context, not a diagnosis
Teaching match — Context, not a diagnosis
Curriculum demands — Context, not a diagnosis
Behaviour system fit — Context, not a diagnosis
Attendance and transitions — Context, not a diagnosis
Transition planning (early years to primary, primary to post-primary, school leaver) — Not a diagnosis
Assistive technology — Not a diagnosis
Reasonable Accommodations in State Examinations (RACE) — Not a diagnosis
SNA and resource teaching allocation — Not a diagnosis
Home learning environment — Context, not a diagnosis
Community context — Context, not a diagnosis
Continuum of Support level and whether it was actually implemented — Added
Whole-school policy and practice — Added — your systemic change development area
Staff training need identified through casework — Added</t>
        </is>
      </c>
      <c r="O592" s="164" t="inlineStr">
        <is>
          <t>3 · WHO THEY ARE REFERRED TO
NEPS
Educational Welfare (Tusla)
SENO
State Examinations Commission
NCSE
Primary Care
community services</t>
        </is>
      </c>
      <c r="P592" s="164" t="inlineStr">
        <is>
          <t>4 · WHAT YOU WOULD DO AT THIS AGE
Subject-by-subject variation · streaming and subject choice · RACE · post-school transition.</t>
        </is>
      </c>
    </row>
    <row r="593" ht="19.5" customHeight="1" s="128">
      <c r="A593" s="147" t="inlineStr">
        <is>
          <t>BAND</t>
        </is>
      </c>
      <c r="B593" s="147" t="inlineStr">
        <is>
          <t>Young Adult  (17–26 years)</t>
        </is>
      </c>
      <c r="C593" s="147" t="n"/>
      <c r="D593" s="147" t="n"/>
      <c r="E593" s="147" t="inlineStr">
        <is>
          <t>Everything below is what this age looks like</t>
        </is>
      </c>
      <c r="F593" s="147" t="n"/>
      <c r="G593" s="147" t="n"/>
      <c r="H593" s="147" t="n"/>
      <c r="I593" s="147" t="n"/>
      <c r="J593" s="147" t="n"/>
      <c r="K593" s="147" t="n"/>
      <c r="L593" s="147" t="n"/>
      <c r="M593" s="147" t="n"/>
      <c r="N593" s="147" t="n"/>
      <c r="O593" s="147" t="n"/>
      <c r="P593" s="147" t="n"/>
      <c r="Q593" s="147" t="n"/>
      <c r="R593" s="147" t="n"/>
      <c r="S593" s="147" t="n"/>
      <c r="T593" s="147" t="n"/>
      <c r="U593" s="147" t="n"/>
      <c r="V593" s="147" t="n"/>
      <c r="W593" s="147" t="n"/>
      <c r="X593" s="147" t="n"/>
      <c r="Y593" s="147" t="n"/>
      <c r="Z593" s="147" t="n"/>
      <c r="AA593" s="147" t="n"/>
      <c r="AB593" s="147" t="n"/>
      <c r="AC593" s="147" t="n"/>
      <c r="AD593" s="147" t="n"/>
      <c r="AE593" s="147" t="n"/>
      <c r="AF593" s="147" t="n"/>
      <c r="AG593" s="147" t="n"/>
      <c r="AH593" s="147" t="n"/>
      <c r="AI593" s="147" t="n"/>
      <c r="AJ593" s="147" t="n"/>
      <c r="AK593" s="147" t="n"/>
    </row>
    <row r="594" outlineLevel="2" ht="15" customHeight="1" s="128">
      <c r="A594" s="183" t="inlineStr">
        <is>
          <t>CAT</t>
        </is>
      </c>
      <c r="B594" s="183" t="inlineStr">
        <is>
          <t>Young Adult  (17–26 years)</t>
        </is>
      </c>
      <c r="C594" s="183" t="inlineStr">
        <is>
          <t>1. LEARNING</t>
        </is>
      </c>
      <c r="D594" s="183" t="n"/>
      <c r="E594" s="183" t="inlineStr">
        <is>
          <t>6 areas present at this age</t>
        </is>
      </c>
      <c r="F594" s="183" t="n"/>
      <c r="G594" s="183" t="n"/>
      <c r="H594" s="183" t="n"/>
      <c r="I594" s="183" t="n"/>
      <c r="J594" s="183" t="n"/>
      <c r="K594" s="183" t="n"/>
      <c r="L594" s="183" t="n"/>
    </row>
    <row r="595" outlineLevel="2" ht="408.75" customHeight="1" s="128">
      <c r="A595" s="148" t="n"/>
      <c r="B595" s="149" t="inlineStr">
        <is>
          <t>Young Adult  (17–26 years)</t>
        </is>
      </c>
      <c r="C595" s="149" t="inlineStr">
        <is>
          <t>1. LEARNING</t>
        </is>
      </c>
      <c r="D595" s="148" t="inlineStr">
        <is>
          <t>Everything for this area at this age</t>
        </is>
      </c>
      <c r="E595" s="184" t="inlineStr">
        <is>
          <t>5 dx · 15 pres · 0 tools</t>
        </is>
      </c>
      <c r="F595" s="164" t="inlineStr">
        <is>
          <t>1.1 Attention, concentration and work skills</t>
        </is>
      </c>
      <c r="G595" s="133" t="n"/>
      <c r="H595" s="148" t="n"/>
      <c r="I595" s="148" t="n"/>
      <c r="J595" s="148" t="n"/>
      <c r="K595" s="148" t="n"/>
      <c r="L595" s="148" t="n"/>
      <c r="M595" s="164" t="inlineStr">
        <is>
          <t>1 · DIAGNOSED — what it could be
ADHD — combined presentation — DSM-5-TR / ICD-11 6A05
ADHD — predominantly inattentive presentation — DSM-5-TR / ICD-11 6A05
ADHD — predominantly hyperactive/impulsive presentation — DSM-5-TR / ICD-11 6A05
Other specified ADHD — DSM-5-TR / ICD-11 6A05
Unspecified ADHD — DSM-5-TR / ICD-11 6A05</t>
        </is>
      </c>
      <c r="N595" s="164" t="inlineStr">
        <is>
          <t>2 · NOT DIAGNOSED — descriptive presentations
Working memory difficulty — Executive function profile, not a diagnosis
Inhibition difficulty — Executive function profile
Cognitive flexibility difficulty — Executive function profile
Planning and organisation difficulty — Executive function profile
Task initiation difficulty — Executive function profile
Self-monitoring difficulty — Executive function profile
Motivation and engagement with work — Added — not in the conditions index
Work rate and pace of output — Added
Homework completion and follow-through — Added
Organisation of materials, books and equipment — Added
Sustained attention in whole-class vs one-to-one — Added
Note-taking and recording from the board — Added
Study skills and revision strategy — Added
Help-seeking — knowing when and how to ask — Added
Fatigue, sleep and time-of-day effects on attention — Added</t>
        </is>
      </c>
      <c r="O595" s="164" t="inlineStr">
        <is>
          <t>3 · WHO THEY ARE REFERRED TO
CAMHS (complex or medication)
Primary Care
CAMHS
NEPS
GP if persistent</t>
        </is>
      </c>
      <c r="P595" s="164" t="inlineStr">
        <is>
          <t>4 · WHAT YOU WOULD DO AT THIS AGE
WAIS-IV · BRIEF-A · self-report interview on study and workload · DSA/reasonable-accommodation evidence for third level · workplace or course demands analysis.</t>
        </is>
      </c>
    </row>
    <row r="596" outlineLevel="2" ht="408.75" customHeight="1" s="128">
      <c r="A596" s="148" t="n"/>
      <c r="B596" s="149" t="inlineStr">
        <is>
          <t>Young Adult  (17–26 years)</t>
        </is>
      </c>
      <c r="C596" s="149" t="inlineStr">
        <is>
          <t>1. LEARNING</t>
        </is>
      </c>
      <c r="D596" s="148" t="inlineStr">
        <is>
          <t>Everything for this area at this age</t>
        </is>
      </c>
      <c r="E596" s="184" t="inlineStr">
        <is>
          <t>5 dx · 9 pres · 0 tools</t>
        </is>
      </c>
      <c r="F596" s="164" t="inlineStr">
        <is>
          <t>1.2 Language skills</t>
        </is>
      </c>
      <c r="G596" s="133" t="n"/>
      <c r="H596" s="148" t="n"/>
      <c r="I596" s="148" t="n"/>
      <c r="J596" s="148" t="n"/>
      <c r="K596" s="148" t="n"/>
      <c r="L596" s="148" t="n"/>
      <c r="M596" s="164" t="inlineStr">
        <is>
          <t>1 · DIAGNOSED — what it could be
Language Disorder (expressive / receptive / mixed) — DLD — DSM-5-TR / ICD-11 6A01
Speech Sound Disorder — DSM-5-TR / ICD-11 6A01
Childhood-Onset Fluency Disorder (stuttering) — DSM-5-TR / ICD-11 6A01
Unspecified Communication Disorder — DSM-5-TR / ICD-11 6A01
Selective mutism — DSM-5-TR anxiety / ICD-11 6B00–6B0Z</t>
        </is>
      </c>
      <c r="N596" s="164" t="inlineStr">
        <is>
          <t>2 · NOT DIAGNOSED — descriptive presentations
AAC and communication access — Not a DSM diagnosis
English as an Additional Language (EAL) — Not a disorder — can mimic language disorder, rule out
Bilingual language development — Not a disorder
Vocabulary gap from limited exposure — Added
Participation in oral work and classroom talk — Added — Form 2 wording
Following multi-step verbal instructions — Added
Narrative and sequencing in spoken account — Added
Word-finding difficulty — Added
Interpreter need and how it changes the assessment — Added</t>
        </is>
      </c>
      <c r="O596" s="164" t="inlineStr">
        <is>
          <t>3 · WHO THEY ARE REFERRED TO
NEPS with SLT
NCSE speech and language class
Primary Care (mild–moderate)
CAMHS (severe) — also under 3.2
SLT
CDNT
NEPS
NEPS interpreter request form</t>
        </is>
      </c>
      <c r="P596" s="164" t="inlineStr">
        <is>
          <t>4 · WHAT YOU WOULD DO AT THIS AGE
WAIS-IV VCI · functional communication interview · course or workplace demands · self-advocacy for communication access.</t>
        </is>
      </c>
    </row>
    <row r="597" outlineLevel="2" ht="408.75" customHeight="1" s="128">
      <c r="A597" s="148" t="n"/>
      <c r="B597" s="149" t="inlineStr">
        <is>
          <t>Young Adult  (17–26 years)</t>
        </is>
      </c>
      <c r="C597" s="149" t="inlineStr">
        <is>
          <t>1. LEARNING</t>
        </is>
      </c>
      <c r="D597" s="148" t="inlineStr">
        <is>
          <t>Everything for this area at this age</t>
        </is>
      </c>
      <c r="E597" s="184" t="inlineStr">
        <is>
          <t>8 dx · 7 pres · 1 tools</t>
        </is>
      </c>
      <c r="F597" s="164" t="inlineStr">
        <is>
          <t>1.3 Comprehension and general ability</t>
        </is>
      </c>
      <c r="G597" s="133" t="n"/>
      <c r="H597" s="148" t="n"/>
      <c r="I597" s="148" t="n"/>
      <c r="J597" s="148" t="n"/>
      <c r="K597" s="148" t="n"/>
      <c r="L597" s="148" t="n"/>
      <c r="M597" s="164" t="inlineStr">
        <is>
          <t>1 · DIAGNOSED — what it could be
Intellectual Disability — mild — DSM-5-TR / ICD-11 6A00
Intellectual Disability — moderate — DSM-5-TR / ICD-11 6A00
Intellectual Disability — severe — DSM-5-TR / ICD-11 6A00
Intellectual Disability — profound — DSM-5-TR / ICD-11 6A00
Unspecified Intellectual Disability — DSM-5-TR / ICD-11 6A00
Global Developmental Delay — DSM-5-TR / ICD-11 6A00
Borderline Intellectual Functioning (FSIQ approx. 70–79) — DSM-5-TR V-code
Other specified / unspecified neurodevelopmental disorder — DSM-5-TR / ICD-11 6A0Z</t>
        </is>
      </c>
      <c r="N597" s="164" t="inlineStr">
        <is>
          <t>2 · NOT DIAGNOSED — descriptive presentations
Cognitive profile differences (verbal, fluid, working memory, processing speed) — Not a DSM diagnosis
Underachievement not meeting SLD criteria — Not a DSM diagnosis
Giftedness / exceptional ability — Not a DSM diagnosis
Twice exceptional (high ability plus SLD, ADHD or ASD) — Not a DSM diagnosis
Understanding and responding to adult direction — Added — Form 2 wording
Curriculum access at the current level — Added
Interrupted or missed schooling — Added</t>
        </is>
      </c>
      <c r="O597" s="164" t="inlineStr">
        <is>
          <t>3 · WHO THEY ARE REFERRED TO
CDNT
NEPS — below GLD threshold, significant school impact
NEPS
Educational Welfare</t>
        </is>
      </c>
      <c r="P597" s="164" t="inlineStr">
        <is>
          <t>4 · WHAT YOU WOULD DO AT THIS AGE
WAIS-IV · ABAS-3 adult form · functional and vocational focus rather than curriculum · eligibility evidence for adult services.</t>
        </is>
      </c>
      <c r="Q597" s="164" t="inlineStr">
        <is>
          <t>WAIS-IV UK
AGE: 16:0–90:11
MEASURES: Four index scores and FSIQ.
CANNOT TELL YOU: Functional capacity in a course or workplace — that needs functional assessment too.
TIME: 60–90 min
LANDS IN: Report · DSA evidence</t>
        </is>
      </c>
    </row>
    <row r="598" outlineLevel="2" ht="408.75" customHeight="1" s="128">
      <c r="A598" s="148" t="n"/>
      <c r="B598" s="149" t="inlineStr">
        <is>
          <t>Young Adult  (17–26 years)</t>
        </is>
      </c>
      <c r="C598" s="149" t="inlineStr">
        <is>
          <t>1. LEARNING</t>
        </is>
      </c>
      <c r="D598" s="148" t="inlineStr">
        <is>
          <t>Everything for this area at this age</t>
        </is>
      </c>
      <c r="E598" s="184" t="inlineStr">
        <is>
          <t>2 dx · 7 pres · 3 tools</t>
        </is>
      </c>
      <c r="F598" s="164" t="inlineStr">
        <is>
          <t>1.4 Literacy — reading (fluency / comprehension), writing and spelling</t>
        </is>
      </c>
      <c r="G598" s="133" t="n"/>
      <c r="H598" s="148" t="n"/>
      <c r="I598" s="148" t="n"/>
      <c r="J598" s="148" t="n"/>
      <c r="K598" s="148" t="n"/>
      <c r="L598" s="148" t="n"/>
      <c r="M598" s="164" t="inlineStr">
        <is>
          <t>1 · DIAGNOSED — what it could be
Specific Learning Disorder with impairment in reading (dyslexia) — DSM-5-TR
Specific Learning Disorder with impairment in written expression (dysgraphia) — DSM-5-TR</t>
        </is>
      </c>
      <c r="N598" s="164" t="inlineStr">
        <is>
          <t>2 · NOT DIAGNOSED — descriptive presentations
Auditory processing concerns — Not a DSM diagnosis
Literacy difficulty not meeting SLD criteria — Added
Reading stamina and avoidance of reading aloud — Added
Handwriting speed and legibility under time pressure — Added
Spelling as a barrier to written output — Added
Assistive technology not yet trialled — Added
Instruction history — what has actually been taught — Added — rule out before concluding disorder</t>
        </is>
      </c>
      <c r="O598" s="164" t="inlineStr">
        <is>
          <t>3 · WHO THEY ARE REFERRED TO
NEPS
Audiology
SLT
OT if motor
SENO</t>
        </is>
      </c>
      <c r="P598" s="164" t="inlineStr">
        <is>
          <t>4 · WHAT YOU WOULD DO AT THIS AGE
WIAT-III or WRAT-5 adult norms · DASH-17+ · DSA evidence for third level · workplace literacy demands.</t>
        </is>
      </c>
      <c r="Q598" s="164" t="inlineStr">
        <is>
          <t>WIAT-III UK
AGE: to 25:11
MEASURES: Attainment, adult norms at the top of the range.
CANNOT TELL YOU: Third-level demands specifically.
TIME: 60–90 min
LANDS IN: Report · DSA evidence
*** FULL TEACHING — PART G ***</t>
        </is>
      </c>
      <c r="R598" s="164" t="inlineStr">
        <is>
          <t>WRAT-5
AGE: 5–85+
MEASURES: Word reading, spelling, sentence comprehension, maths computation.
CANNOT TELL YOU: It is brief. Brief means less information, not less time-consuming to interpret.
TIME: 15–45 min
LANDS IN: Report</t>
        </is>
      </c>
      <c r="S598" s="164" t="inlineStr">
        <is>
          <t>DASH-17+
AGE: 17:0–25:0
MEASURES: Handwriting speed, adult norms.
CANNOT TELL YOU: Whether assistive technology is the better answer — trial it.
TIME: 20–25 min
LANDS IN: DSA / exam access evidence</t>
        </is>
      </c>
    </row>
    <row r="599" outlineLevel="2" ht="408.75" customHeight="1" s="128">
      <c r="A599" s="148" t="n"/>
      <c r="B599" s="149" t="inlineStr">
        <is>
          <t>Young Adult  (17–26 years)</t>
        </is>
      </c>
      <c r="C599" s="149" t="inlineStr">
        <is>
          <t>1. LEARNING</t>
        </is>
      </c>
      <c r="D599" s="148" t="inlineStr">
        <is>
          <t>Everything for this area at this age</t>
        </is>
      </c>
      <c r="E599" s="184" t="inlineStr">
        <is>
          <t>1 dx · 6 pres · 0 tools</t>
        </is>
      </c>
      <c r="F599" s="164" t="inlineStr">
        <is>
          <t>1.5 Maths skills — concepts and computation</t>
        </is>
      </c>
      <c r="G599" s="133" t="n"/>
      <c r="H599" s="148" t="n"/>
      <c r="I599" s="148" t="n"/>
      <c r="J599" s="148" t="n"/>
      <c r="K599" s="148" t="n"/>
      <c r="L599" s="148" t="n"/>
      <c r="M599" s="164" t="inlineStr">
        <is>
          <t>1 · DIAGNOSED — what it could be
Specific Learning Disorder with impairment in mathematics (dyscalculia) — DSM-5-TR</t>
        </is>
      </c>
      <c r="N599" s="164" t="inlineStr">
        <is>
          <t>2 · NOT DIAGNOSED — descriptive presentations
Numeracy difficulty not meeting SLD criteria — Added
Maths anxiety — Added
Number sense and estimation — Added
Recall of number facts vs procedural method — Added
Word problems — reading as the barrier, not the maths — Added
Working memory load in multi-step calculation — Added</t>
        </is>
      </c>
      <c r="O599" s="164" t="inlineStr">
        <is>
          <t>3 · WHO THEY ARE REFERRED TO
NEPS</t>
        </is>
      </c>
      <c r="P599" s="164" t="inlineStr">
        <is>
          <t>4 · WHAT YOU WOULD DO AT THIS AGE
WIAT-III/WRAT-5 adult norms · functional numeracy (budgeting, time, measurement) · course-specific demands.</t>
        </is>
      </c>
    </row>
    <row r="600" outlineLevel="2" ht="408.75" customHeight="1" s="128">
      <c r="A600" s="148" t="n"/>
      <c r="B600" s="149" t="inlineStr">
        <is>
          <t>Young Adult  (17–26 years)</t>
        </is>
      </c>
      <c r="C600" s="149" t="inlineStr">
        <is>
          <t>1. LEARNING</t>
        </is>
      </c>
      <c r="D600" s="148" t="inlineStr">
        <is>
          <t>Everything for this area at this age</t>
        </is>
      </c>
      <c r="E600" s="184" t="inlineStr">
        <is>
          <t>7 dx · 7 pres · 0 tools</t>
        </is>
      </c>
      <c r="F600" s="164" t="inlineStr">
        <is>
          <t>1.6 Co-ordination — fine motor / handwriting, gross motor / PE skills</t>
        </is>
      </c>
      <c r="G600" s="133" t="n"/>
      <c r="H600" s="148" t="n"/>
      <c r="I600" s="148" t="n"/>
      <c r="J600" s="148" t="n"/>
      <c r="K600" s="148" t="n"/>
      <c r="L600" s="148" t="n"/>
      <c r="M600" s="164" t="inlineStr">
        <is>
          <t>1 · DIAGNOSED — what it could be
Developmental Coordination Disorder (dyspraxia) — DSM-5-TR / ICD-11 6A04
Stereotypic Movement Disorder — DSM-5-TR / ICD-11 6A04
Tourette's Disorder — DSM-5-TR / ICD-11 Ch.08
Persistent (chronic) motor or vocal tic disorder — DSM-5-TR / ICD-11 Ch.08
Provisional tic disorder — DSM-5-TR / ICD-11 Ch.08
Other specified / unspecified tic disorder — DSM-5-TR / ICD-11 Ch.08
Hypermobility spectrum disorder — Medical</t>
        </is>
      </c>
      <c r="N600" s="164" t="inlineStr">
        <is>
          <t>2 · NOT DIAGNOSED — descriptive presentations
Fine motor difficulty (handwriting, pencil grip) — Not a DSM diagnosis
Gross motor difficulty (PE, balance, ball skills) — Not a DSM diagnosis
Sensory modulation difficulties (over- or under-responsive) — Not a DSM diagnosis
Sensory discrimination difficulties — Not a DSM diagnosis
Motor-based sensory difficulties — Not a DSM diagnosis
Presentation and care of written work — Added — Form 2 wording
Self-care and independence skills at school — Added</t>
        </is>
      </c>
      <c r="O600" s="164" t="inlineStr">
        <is>
          <t>3 · WHO THEY ARE REFERRED TO
CDNT / Occupational Therapy
CDNT / OT
CAMHS
GP
Paediatrics
Occupational Therapy
OT
Physiotherapy
NEPS</t>
        </is>
      </c>
      <c r="P600" s="164" t="inlineStr">
        <is>
          <t>4 · WHAT YOU WOULD DO AT THIS AGE
DASH-17+ · functional and workplace demands · driving, laboratory or practical course requirements.</t>
        </is>
      </c>
    </row>
    <row r="601" outlineLevel="2" ht="15" customHeight="1" s="128">
      <c r="A601" s="183" t="inlineStr">
        <is>
          <t>CAT</t>
        </is>
      </c>
      <c r="B601" s="183" t="inlineStr">
        <is>
          <t>Young Adult  (17–26 years)</t>
        </is>
      </c>
      <c r="C601" s="183" t="inlineStr">
        <is>
          <t>2. BEHAVIOUR</t>
        </is>
      </c>
      <c r="D601" s="183" t="n"/>
      <c r="E601" s="183" t="inlineStr">
        <is>
          <t>2 areas present at this age</t>
        </is>
      </c>
      <c r="F601" s="183" t="n"/>
      <c r="G601" s="183" t="n"/>
      <c r="H601" s="183" t="n"/>
      <c r="I601" s="183" t="n"/>
      <c r="J601" s="183" t="n"/>
      <c r="K601" s="183" t="n"/>
      <c r="L601" s="183" t="n"/>
    </row>
    <row r="602" outlineLevel="2" ht="408.75" customHeight="1" s="128">
      <c r="A602" s="148" t="n"/>
      <c r="B602" s="149" t="inlineStr">
        <is>
          <t>Young Adult  (17–26 years)</t>
        </is>
      </c>
      <c r="C602" s="149" t="inlineStr">
        <is>
          <t>2. BEHAVIOUR</t>
        </is>
      </c>
      <c r="D602" s="148" t="inlineStr">
        <is>
          <t>Everything for this area at this age</t>
        </is>
      </c>
      <c r="E602" s="184" t="inlineStr">
        <is>
          <t>5 dx · 8 pres · 1 tools</t>
        </is>
      </c>
      <c r="F602" s="164" t="inlineStr">
        <is>
          <t>2.1 Behaviour in class</t>
        </is>
      </c>
      <c r="G602" s="133" t="n"/>
      <c r="H602" s="148" t="n"/>
      <c r="I602" s="148" t="n"/>
      <c r="J602" s="148" t="n"/>
      <c r="K602" s="148" t="n"/>
      <c r="L602" s="148" t="n"/>
      <c r="M602" s="164" t="inlineStr">
        <is>
          <t>1 · DIAGNOSED — what it could be
Oppositional Defiant Disorder — mild — DSM-5-TR / ICD-11 6C90–6C9Z
Oppositional Defiant Disorder — moderate — DSM-5-TR / ICD-11 6C90–6C9Z
Oppositional Defiant Disorder — severe — DSM-5-TR / ICD-11 6C90–6C9Z
Intermittent Explosive Disorder — DSM-5-TR / ICD-11 6C70–6C7Z
Disruptive Mood Dysregulation Disorder — DSM-5-TR / ICD-11 6A70–6A7Z</t>
        </is>
      </c>
      <c r="N602" s="164" t="inlineStr">
        <is>
          <t>2 · NOT DIAGNOSED — descriptive presentations
Behaviour that challenges — Not a DSM diagnosis
Behaviour function (ABC analysis, trigger-behaviour-consequence) — Formulation approach, not a diagnosis
Emotion regulation in the classroom — Added
Response to correction and repair after an incident — Added
Transitions between activities and between classes — Added
Behaviour system fit — is the system working for this pupil — Added
Escalation and de-escalation pattern — Added
Behaviour as communication of an unmet learning need — Added — always test this hypothesis</t>
        </is>
      </c>
      <c r="O602" s="164" t="inlineStr">
        <is>
          <t>3 · WHO THEY ARE REFERRED TO
NEPS (school behaviour)
CAMHS
NEPS
CAMHS (mod–severe)
Primary Care (mild–mod)</t>
        </is>
      </c>
      <c r="P602" s="164" t="inlineStr">
        <is>
          <t>4 · WHAT YOU WOULD DO AT THIS AGE
Self-report and functional analysis · course or workplace conduct expectations · less likely to be a NEPS referral.</t>
        </is>
      </c>
      <c r="Q602" s="164" t="inlineStr">
        <is>
          <t>Adult self-report measures via the service
AGE: 17+
MEASURES: Mood, anxiety, functioning.
CANNOT TELL YOU: This is usually adult mental health territory. Know the boundary and refer.
TIME: —
LANDS IN: Referral record</t>
        </is>
      </c>
    </row>
    <row r="603" outlineLevel="2" ht="408.75" customHeight="1" s="128">
      <c r="A603" s="148" t="n"/>
      <c r="B603" s="149" t="inlineStr">
        <is>
          <t>Young Adult  (17–26 years)</t>
        </is>
      </c>
      <c r="C603" s="149" t="inlineStr">
        <is>
          <t>2. BEHAVIOUR</t>
        </is>
      </c>
      <c r="D603" s="148" t="inlineStr">
        <is>
          <t>Everything for this area at this age</t>
        </is>
      </c>
      <c r="E603" s="184" t="inlineStr">
        <is>
          <t>9 dx · 6 pres · 1 tools</t>
        </is>
      </c>
      <c r="F603" s="164" t="inlineStr">
        <is>
          <t>2.2 Behaviour during break times and around the school</t>
        </is>
      </c>
      <c r="G603" s="133" t="n"/>
      <c r="H603" s="148" t="n"/>
      <c r="I603" s="148" t="n"/>
      <c r="J603" s="148" t="n"/>
      <c r="K603" s="148" t="n"/>
      <c r="L603" s="148" t="n"/>
      <c r="M603" s="164" t="inlineStr">
        <is>
          <t>1 · DIAGNOSED — what it could be
Conduct Disorder — childhood-onset type — DSM-5-TR / ICD-11 6C90–6C9Z
Conduct Disorder — adolescent-onset type — DSM-5-TR / ICD-11 6C90–6C9Z
Conduct Disorder — unspecified onset — DSM-5-TR / ICD-11 6C90–6C9Z
Pyromania — DSM-5-TR / ICD-11 6C70–6C7Z
Kleptomania — DSM-5-TR / ICD-11 6C70–6C7Z
Other specified / unspecified disruptive, impulse-control and conduct disorder — DSM-5-TR
Substance use disorders (alcohol, cannabis, opioid, stimulant, tobacco, inhalant, sedative, hallucinogen) — DSM-5-TR / ICD-11 6C40–6C4Z
Gambling Disorder — DSM-5-TR / ICD-11 6C50–6C5Z
Gaming Disorder / Internet Gaming Disorder — ICD-11 6C51</t>
        </is>
      </c>
      <c r="N603" s="164" t="inlineStr">
        <is>
          <t>2 · NOT DIAGNOSED — descriptive presentations
Harmful or sexualised behaviour in children — Not a DSM diagnosis
Adolescent substance misuse / dual diagnosis — Not a standalone diagnosis
Unstructured time — yard and corridor as the difficulty — Added
Supervision ratio and yard layout — Added
Group dynamics and peer influence — Added
Risk-taking without a diagnosis attached — Added</t>
        </is>
      </c>
      <c r="O603" s="164" t="inlineStr">
        <is>
          <t>3 · WHO THEY ARE REFERRED TO
NEPS
CAMHS
Addiction services
Tusla</t>
        </is>
      </c>
      <c r="P603" s="164" t="inlineStr">
        <is>
          <t>4 · WHAT YOU WOULD DO AT THIS AGE
Not typically a NEPS referral at this band.</t>
        </is>
      </c>
      <c r="Q603" s="164" t="inlineStr">
        <is>
          <t>Adult self-report measures via the service
AGE: 17+
MEASURES: Mood, anxiety, functioning.
CANNOT TELL YOU: This is usually adult mental health territory. Know the boundary and refer.
TIME: —
LANDS IN: Referral record</t>
        </is>
      </c>
    </row>
    <row r="604" outlineLevel="2" ht="15" customHeight="1" s="128">
      <c r="A604" s="183" t="inlineStr">
        <is>
          <t>CAT</t>
        </is>
      </c>
      <c r="B604" s="183" t="inlineStr">
        <is>
          <t>Young Adult  (17–26 years)</t>
        </is>
      </c>
      <c r="C604" s="183" t="inlineStr">
        <is>
          <t>3. EMOTIONAL</t>
        </is>
      </c>
      <c r="D604" s="183" t="n"/>
      <c r="E604" s="183" t="inlineStr">
        <is>
          <t>7 areas present at this age</t>
        </is>
      </c>
      <c r="F604" s="183" t="n"/>
      <c r="G604" s="183" t="n"/>
      <c r="H604" s="183" t="n"/>
      <c r="I604" s="183" t="n"/>
      <c r="J604" s="183" t="n"/>
      <c r="K604" s="183" t="n"/>
      <c r="L604" s="183" t="n"/>
    </row>
    <row r="605" outlineLevel="2" ht="408.75" customHeight="1" s="128">
      <c r="A605" s="148" t="n"/>
      <c r="B605" s="149" t="inlineStr">
        <is>
          <t>Young Adult  (17–26 years)</t>
        </is>
      </c>
      <c r="C605" s="149" t="inlineStr">
        <is>
          <t>3. EMOTIONAL</t>
        </is>
      </c>
      <c r="D605" s="148" t="inlineStr">
        <is>
          <t>Everything for this area at this age</t>
        </is>
      </c>
      <c r="E605" s="184" t="inlineStr">
        <is>
          <t>0 dx · 7 pres · 1 tools</t>
        </is>
      </c>
      <c r="F605" s="164" t="inlineStr">
        <is>
          <t>3.1 Confidence and self-esteem</t>
        </is>
      </c>
      <c r="G605" s="133" t="n"/>
      <c r="H605" s="148" t="n"/>
      <c r="I605" s="148" t="n"/>
      <c r="J605" s="148" t="n"/>
      <c r="K605" s="148" t="n"/>
      <c r="L605" s="148" t="n"/>
      <c r="M605" s="164" t="inlineStr">
        <is>
          <t>1 · DIAGNOSED
None. Everything here is a presentation.</t>
        </is>
      </c>
      <c r="N605" s="164" t="inlineStr">
        <is>
          <t>2 · NOT DIAGNOSED — descriptive presentations
Low confidence and self-esteem — Not a DSM diagnosis
Learned helplessness — Not a DSM diagnosis
Academic self-concept vs global self-esteem — Added
Attribution style — effort vs ability — Added
Response to failure and setback — Added — Form 2 survey wording
Perfectionism and fear of getting it wrong — Added
Self-esteem as a consequence of unidentified SLD — Added — check the sequence</t>
        </is>
      </c>
      <c r="O605" s="164" t="inlineStr">
        <is>
          <t>3 · WHO THEY ARE REFERRED TO
NEPS</t>
        </is>
      </c>
      <c r="P605" s="164" t="inlineStr">
        <is>
          <t>4 · WHAT YOU WOULD DO AT THIS AGE
Self-report interview · course or work identity · less likely a NEPS referral.</t>
        </is>
      </c>
      <c r="Q605" s="164" t="inlineStr">
        <is>
          <t>Adult self-report measures via the service
AGE: 17+
MEASURES: Mood, anxiety, functioning.
CANNOT TELL YOU: This is usually adult mental health territory. Know the boundary and refer.
TIME: —
LANDS IN: Referral record</t>
        </is>
      </c>
    </row>
    <row r="606" outlineLevel="2" ht="408.75" customHeight="1" s="128">
      <c r="A606" s="148" t="n"/>
      <c r="B606" s="149" t="inlineStr">
        <is>
          <t>Young Adult  (17–26 years)</t>
        </is>
      </c>
      <c r="C606" s="149" t="inlineStr">
        <is>
          <t>3. EMOTIONAL</t>
        </is>
      </c>
      <c r="D606" s="148" t="inlineStr">
        <is>
          <t>Everything for this area at this age</t>
        </is>
      </c>
      <c r="E606" s="184" t="inlineStr">
        <is>
          <t>8 dx · 6 pres · 1 tools</t>
        </is>
      </c>
      <c r="F606" s="164" t="inlineStr">
        <is>
          <t>3.2 Anxiety</t>
        </is>
      </c>
      <c r="G606" s="133" t="n"/>
      <c r="H606" s="148" t="n"/>
      <c r="I606" s="148" t="n"/>
      <c r="J606" s="148" t="n"/>
      <c r="K606" s="148" t="n"/>
      <c r="L606" s="148" t="n"/>
      <c r="M606" s="164" t="inlineStr">
        <is>
          <t>1 · DIAGNOSED — what it could be
Separation Anxiety Disorder — DSM-5-TR / ICD-11 6B00–6B0Z
Social Anxiety Disorder (social phobia) — DSM-5-TR / ICD-11 6B00–6B0Z
Generalised Anxiety Disorder — DSM-5-TR / ICD-11 6B00–6B0Z
Specific Phobia — DSM-5-TR / ICD-11 6B00–6B0Z
Panic Disorder — DSM-5-TR / ICD-11 6B00–6B0Z
Agoraphobia — DSM-5-TR / ICD-11 6B00–6B0Z
Selective mutism — DSM-5-TR anxiety
Other specified / unspecified anxiety disorder — DSM-5-TR</t>
        </is>
      </c>
      <c r="N606" s="164" t="inlineStr">
        <is>
          <t>2 · NOT DIAGNOSED — descriptive presentations
School anxiety presentations (not a standalone diagnosis) — Not a DSM diagnosis
Test and exam anxiety — Added
Performance anxiety in oral work — Added
Anticipatory anxiety about transitions — Added
Somatic complaints presenting at school (tummy aches, headaches) — Added
Anxiety secondary to an unmet learning need — Added</t>
        </is>
      </c>
      <c r="O606" s="164" t="inlineStr">
        <is>
          <t>3 · WHO THEY ARE REFERRED TO
Primary Care (mild–mod)
CAMHS (severe)
Primary Care
CAMHS
CAMHS — also under 1.2
NEPS
GP to rule out</t>
        </is>
      </c>
      <c r="P606" s="164" t="inlineStr">
        <is>
          <t>4 · WHAT YOU WOULD DO AT THIS AGE
Self-report · course and workplace demands · refer to adult mental health rather than hold.</t>
        </is>
      </c>
      <c r="Q606" s="164" t="inlineStr">
        <is>
          <t>Adult self-report measures via the service
AGE: 17+
MEASURES: Mood, anxiety, functioning.
CANNOT TELL YOU: This is usually adult mental health territory. Know the boundary and refer.
TIME: —
LANDS IN: Referral record</t>
        </is>
      </c>
    </row>
    <row r="607" outlineLevel="2" ht="408.75" customHeight="1" s="128">
      <c r="A607" s="148" t="n"/>
      <c r="B607" s="149" t="inlineStr">
        <is>
          <t>Young Adult  (17–26 years)</t>
        </is>
      </c>
      <c r="C607" s="149" t="inlineStr">
        <is>
          <t>3. EMOTIONAL</t>
        </is>
      </c>
      <c r="D607" s="148" t="inlineStr">
        <is>
          <t>Everything for this area at this age</t>
        </is>
      </c>
      <c r="E607" s="184" t="inlineStr">
        <is>
          <t>5 dx · 3 pres · 1 tools</t>
        </is>
      </c>
      <c r="F607" s="164" t="inlineStr">
        <is>
          <t>3.3 Obsessive-compulsive and related</t>
        </is>
      </c>
      <c r="G607" s="133" t="n"/>
      <c r="H607" s="148" t="n"/>
      <c r="I607" s="148" t="n"/>
      <c r="J607" s="148" t="n"/>
      <c r="K607" s="148" t="n"/>
      <c r="L607" s="148" t="n"/>
      <c r="M607" s="164" t="inlineStr">
        <is>
          <t>1 · DIAGNOSED — what it could be
Obsessive-Compulsive Disorder — DSM-5-TR / ICD-11 6B20–6B2Z
Body Dysmorphic Disorder — DSM-5-TR / ICD-11 6B20–6B2Z
Hoarding Disorder — DSM-5-TR / ICD-11 6B20–6B2Z
Trichotillomania (hair-pulling) — DSM-5-TR / ICD-11 6B20–6B2Z
Excoriation (skin-picking) Disorder — DSM-5-TR / ICD-11 6B20–6B2Z</t>
        </is>
      </c>
      <c r="N607" s="164" t="inlineStr">
        <is>
          <t>2 · NOT DIAGNOSED — descriptive presentations
Rigidity and routine that is not OCD — Added — check autism first
Repeated checking of work — Added
Ritual at transitions — Added</t>
        </is>
      </c>
      <c r="O607" s="164" t="inlineStr">
        <is>
          <t>3 · WHO THEY ARE REFERRED TO
Primary Care
CAMHS (severe)
CAMHS
NEPS</t>
        </is>
      </c>
      <c r="P607" s="164" t="inlineStr">
        <is>
          <t>4 · WHAT YOU WOULD DO AT THIS AGE
Adult services.</t>
        </is>
      </c>
      <c r="Q607" s="164" t="inlineStr">
        <is>
          <t>Adult self-report measures via the service
AGE: 17+
MEASURES: Mood, anxiety, functioning.
CANNOT TELL YOU: This is usually adult mental health territory. Know the boundary and refer.
TIME: —
LANDS IN: Referral record</t>
        </is>
      </c>
    </row>
    <row r="608" outlineLevel="2" ht="408.75" customHeight="1" s="128">
      <c r="A608" s="148" t="n"/>
      <c r="B608" s="149" t="inlineStr">
        <is>
          <t>Young Adult  (17–26 years)</t>
        </is>
      </c>
      <c r="C608" s="149" t="inlineStr">
        <is>
          <t>3. EMOTIONAL</t>
        </is>
      </c>
      <c r="D608" s="148" t="inlineStr">
        <is>
          <t>Everything for this area at this age</t>
        </is>
      </c>
      <c r="E608" s="184" t="inlineStr">
        <is>
          <t>5 dx · 4 pres · 1 tools</t>
        </is>
      </c>
      <c r="F608" s="164" t="inlineStr">
        <is>
          <t>3.4 Mood</t>
        </is>
      </c>
      <c r="G608" s="133" t="n"/>
      <c r="H608" s="148" t="n"/>
      <c r="I608" s="148" t="n"/>
      <c r="J608" s="148" t="n"/>
      <c r="K608" s="148" t="n"/>
      <c r="L608" s="148" t="n"/>
      <c r="M608" s="164" t="inlineStr">
        <is>
          <t>1 · DIAGNOSED — what it could be
Major Depressive Disorder — single episode — DSM-5-TR / ICD-11 6A70–6A7Z
Major Depressive Disorder — recurrent episode — DSM-5-TR / ICD-11 6A70–6A7Z
Persistent Depressive Disorder (dysthymia) — DSM-5-TR / ICD-11 6A70–6A7Z
Premenstrual Dysphoric Disorder — DSM-5-TR / ICD-11 6A70–6A7Z
Other specified / unspecified depressive disorder — DSM-5-TR</t>
        </is>
      </c>
      <c r="N608" s="164" t="inlineStr">
        <is>
          <t>2 · NOT DIAGNOSED — descriptive presentations
Low mood without diagnostic threshold — Added
Loss of interest in school activities previously enjoyed — Added
Withdrawal from peers — Added
Irritability as the presentation of low mood in young people — Added</t>
        </is>
      </c>
      <c r="O608" s="164" t="inlineStr">
        <is>
          <t>3 · WHO THEY ARE REFERRED TO
CAMHS (mod–severe)
Primary Care (mild–mod)
CAMHS
Primary Care
NEPS</t>
        </is>
      </c>
      <c r="P608" s="164" t="inlineStr">
        <is>
          <t>4 · WHAT YOU WOULD DO AT THIS AGE
Adult services.</t>
        </is>
      </c>
      <c r="Q608" s="164" t="inlineStr">
        <is>
          <t>Adult self-report measures via the service
AGE: 17+
MEASURES: Mood, anxiety, functioning.
CANNOT TELL YOU: This is usually adult mental health territory. Know the boundary and refer.
TIME: —
LANDS IN: Referral record</t>
        </is>
      </c>
    </row>
    <row r="609" outlineLevel="2" ht="408.75" customHeight="1" s="128">
      <c r="A609" s="148" t="n"/>
      <c r="B609" s="149" t="inlineStr">
        <is>
          <t>Young Adult  (17–26 years)</t>
        </is>
      </c>
      <c r="C609" s="149" t="inlineStr">
        <is>
          <t>3. EMOTIONAL</t>
        </is>
      </c>
      <c r="D609" s="148" t="inlineStr">
        <is>
          <t>Everything for this area at this age</t>
        </is>
      </c>
      <c r="E609" s="184" t="inlineStr">
        <is>
          <t>8 dx · 5 pres · 1 tools</t>
        </is>
      </c>
      <c r="F609" s="164" t="inlineStr">
        <is>
          <t>3.5 Trauma, attachment and loss</t>
        </is>
      </c>
      <c r="G609" s="133" t="n"/>
      <c r="H609" s="148" t="n"/>
      <c r="I609" s="148" t="n"/>
      <c r="J609" s="148" t="n"/>
      <c r="K609" s="148" t="n"/>
      <c r="L609" s="148" t="n"/>
      <c r="M609" s="164" t="inlineStr">
        <is>
          <t>1 · DIAGNOSED — what it could be
Reactive Attachment Disorder — DSM-5-TR / ICD-11 6B40–6B4Z
Disinhibited Social Engagement Disorder — DSM-5-TR / ICD-11 6B45
Posttraumatic Stress Disorder — DSM-5-TR / ICD-11 6B40
PTSD — preschool subtype (6 years and under) — DSM-5-TR
Complex PTSD — ICD-11 6B41
Acute Stress Disorder — DSM-5-TR / ICD-11 6B40–6B4Z
Adjustment Disorder (with depressed mood / anxiety / mixed / conduct / unspecified) — DSM-5-TR / ICD-11 6B40–6B4Z
Prolonged Grief Disorder — DSM-5-TR / ICD-11 6B42</t>
        </is>
      </c>
      <c r="N609" s="164" t="inlineStr">
        <is>
          <t>2 · NOT DIAGNOSED — descriptive presentations
Complex or developmental trauma — Not a DSM diagnosis
Adverse Childhood Experiences (ACEs) — Not a DSM diagnosis
Bereavement reaction — Not a DSM diagnosis
Displacement, asylum and resettlement — Added
Trauma-informed classroom practice — Added — the systemic response</t>
        </is>
      </c>
      <c r="O609" s="164" t="inlineStr">
        <is>
          <t>3 · WHO THEY ARE REFERRED TO
Primary Care
CAMHS (severe)
CAMHS
Primary Care (milder)
NEPS critical incident response
NEPS
community services</t>
        </is>
      </c>
      <c r="P609" s="164" t="inlineStr">
        <is>
          <t>4 · WHAT YOU WOULD DO AT THIS AGE
Adult services.</t>
        </is>
      </c>
      <c r="Q609" s="164" t="inlineStr">
        <is>
          <t>Adult self-report measures via the service
AGE: 17+
MEASURES: Mood, anxiety, functioning.
CANNOT TELL YOU: This is usually adult mental health territory. Know the boundary and refer.
TIME: —
LANDS IN: Referral record</t>
        </is>
      </c>
    </row>
    <row r="610" outlineLevel="2" ht="408.75" customHeight="1" s="128">
      <c r="A610" s="148" t="n"/>
      <c r="B610" s="149" t="inlineStr">
        <is>
          <t>Young Adult  (17–26 years)</t>
        </is>
      </c>
      <c r="C610" s="149" t="inlineStr">
        <is>
          <t>3. EMOTIONAL</t>
        </is>
      </c>
      <c r="D610" s="148" t="inlineStr">
        <is>
          <t>Everything for this area at this age</t>
        </is>
      </c>
      <c r="E610" s="184" t="inlineStr">
        <is>
          <t>0 dx · 6 pres · 1 tools</t>
        </is>
      </c>
      <c r="F610" s="164" t="inlineStr">
        <is>
          <t>3.6 School attendance</t>
        </is>
      </c>
      <c r="G610" s="133" t="n"/>
      <c r="H610" s="148" t="n"/>
      <c r="I610" s="148" t="n"/>
      <c r="J610" s="148" t="n"/>
      <c r="K610" s="148" t="n"/>
      <c r="L610" s="148" t="n"/>
      <c r="M610" s="164" t="inlineStr">
        <is>
          <t>1 · DIAGNOSED
None. Everything here is a presentation.</t>
        </is>
      </c>
      <c r="N610" s="164" t="inlineStr">
        <is>
          <t>2 · NOT DIAGNOSED — descriptive presentations
Emotionally Based School Avoidance (school refusal) — Not a DSM diagnosis
Truancy distinguished from EBSA — Added — different formulation, different response
Parentally condoned absence — Added
Absence due to chronic illness — Added
Late arrival and partial attendance — Added
Return-to-school planning after extended absence — Added</t>
        </is>
      </c>
      <c r="O610" s="164" t="inlineStr">
        <is>
          <t>3 · WHO THEY ARE REFERRED TO
NEPS
Primary Care
Educational Welfare (Tusla)
Paediatrics
NEPS for school supports</t>
        </is>
      </c>
      <c r="P610" s="164" t="inlineStr">
        <is>
          <t>4 · WHAT YOU WOULD DO AT THIS AGE
Course attendance and engagement.</t>
        </is>
      </c>
      <c r="Q610" s="164" t="inlineStr">
        <is>
          <t>Adult self-report measures via the service
AGE: 17+
MEASURES: Mood, anxiety, functioning.
CANNOT TELL YOU: This is usually adult mental health territory. Know the boundary and refer.
TIME: —
LANDS IN: Referral record</t>
        </is>
      </c>
    </row>
    <row r="611" outlineLevel="2" ht="79.5" customHeight="1" s="128">
      <c r="A611" s="185" t="n"/>
      <c r="B611" s="186" t="inlineStr">
        <is>
          <t>Young Adult  (17–26 years)</t>
        </is>
      </c>
      <c r="C611" s="186" t="inlineStr">
        <is>
          <t>3. EMOTIONAL</t>
        </is>
      </c>
      <c r="D611" s="185" t="inlineStr">
        <is>
          <t>STOP — not an assessment area</t>
        </is>
      </c>
      <c r="E611" s="187" t="inlineStr">
        <is>
          <t>Do not assess</t>
        </is>
      </c>
      <c r="F611" s="186" t="inlineStr">
        <is>
          <t>3.7 Risk and safeguarding</t>
        </is>
      </c>
      <c r="G611" s="185" t="n"/>
      <c r="H611" s="185" t="n"/>
      <c r="I611" s="185" t="n"/>
      <c r="J611" s="185" t="n"/>
      <c r="K611" s="185" t="n"/>
      <c r="L611" s="185" t="n"/>
      <c r="M611" s="186" t="inlineStr">
        <is>
          <t>This area is not an assessment area. If risk or a safeguarding concern arises, you stop, you tell your supervisor the same day, and you follow Children First and the school DLP route. UCD Handbook §6.2 requires you to raise crises immediately. Know the pathway before the day you need it.</t>
        </is>
      </c>
    </row>
    <row r="612" outlineLevel="2" ht="15" customHeight="1" s="128">
      <c r="A612" s="183" t="inlineStr">
        <is>
          <t>CAT</t>
        </is>
      </c>
      <c r="B612" s="183" t="inlineStr">
        <is>
          <t>Young Adult  (17–26 years)</t>
        </is>
      </c>
      <c r="C612" s="183" t="inlineStr">
        <is>
          <t>4. SOCIAL</t>
        </is>
      </c>
      <c r="D612" s="183" t="n"/>
      <c r="E612" s="183" t="inlineStr">
        <is>
          <t>2 areas present at this age</t>
        </is>
      </c>
      <c r="F612" s="183" t="n"/>
      <c r="G612" s="183" t="n"/>
      <c r="H612" s="183" t="n"/>
      <c r="I612" s="183" t="n"/>
      <c r="J612" s="183" t="n"/>
      <c r="K612" s="183" t="n"/>
      <c r="L612" s="183" t="n"/>
    </row>
    <row r="613" outlineLevel="2" ht="408.75" customHeight="1" s="128">
      <c r="A613" s="148" t="n"/>
      <c r="B613" s="149" t="inlineStr">
        <is>
          <t>Young Adult  (17–26 years)</t>
        </is>
      </c>
      <c r="C613" s="149" t="inlineStr">
        <is>
          <t>4. SOCIAL</t>
        </is>
      </c>
      <c r="D613" s="148" t="inlineStr">
        <is>
          <t>Everything for this area at this age</t>
        </is>
      </c>
      <c r="E613" s="184" t="inlineStr">
        <is>
          <t>6 dx · 9 pres · 2 tools</t>
        </is>
      </c>
      <c r="F613" s="164" t="inlineStr">
        <is>
          <t>4.1 Friendships and social skills</t>
        </is>
      </c>
      <c r="G613" s="133" t="n"/>
      <c r="H613" s="148" t="n"/>
      <c r="I613" s="148" t="n"/>
      <c r="J613" s="148" t="n"/>
      <c r="K613" s="148" t="n"/>
      <c r="L613" s="148" t="n"/>
      <c r="M613" s="164" t="inlineStr">
        <is>
          <t>1 · DIAGNOSED — what it could be
Autism Spectrum Disorder — level 1, requiring support — DSM-5-TR / ICD-11 6A02
Autism Spectrum Disorder — level 2, requiring substantial support — DSM-5-TR / ICD-11 6A02
Autism Spectrum Disorder — level 3, requiring very substantial support — DSM-5-TR / ICD-11 6A02
ASD with accompanying intellectual impairment — DSM-5-TR specifier
ASD with accompanying language impairment — DSM-5-TR specifier
Social (Pragmatic) Communication Disorder — DSM-5-TR / ICD-11 6A01</t>
        </is>
      </c>
      <c r="N613" s="164" t="inlineStr">
        <is>
          <t>2 · NOT DIAGNOSED — descriptive presentations
Pathological Demand Avoidance (PDA) profile — Not a DSM diagnosis
Peer relationship difficulties and social isolation — Not a DSM diagnosis
Bullying — Not a DSM diagnosis
Social adaptive skills — Not a DSM diagnosis
Co-operation with peers in group work — Added — Form 2 survey wording
Turn-taking and shared play — Added
Reading social cues and repair after conflict — Added
Masking and the cost of it — Added
Loneliness without observable difficulty — Added — the quiet ones get missed</t>
        </is>
      </c>
      <c r="O613" s="164" t="inlineStr">
        <is>
          <t>3 · WHO THEY ARE REFERRED TO
CDNT
NEPS for school supports
NEPS
NEPS with SLT
whole-school policy support</t>
        </is>
      </c>
      <c r="P613" s="164" t="inlineStr">
        <is>
          <t>4 · WHAT YOU WOULD DO AT THIS AGE
AQ-10 / adult screening · functional social demands of course or work · adult diagnostic services.</t>
        </is>
      </c>
      <c r="Q613" s="164" t="inlineStr">
        <is>
          <t>AQ-10 / AQ-50
AGE: 16+
MEASURES: Self-report autism screen.
CANNOT TELL YOU: Diagnosis. Refer to adult diagnostic services.
TIME: 5–15 min
LANDS IN: Screening record · referral</t>
        </is>
      </c>
      <c r="R613" s="164" t="inlineStr">
        <is>
          <t>SRS-2 adult form
AGE: 19+
MEASURES: Social communication, informant and self-report.
CANNOT TELL YOU: Diagnosis.
TIME: 15–20 min
LANDS IN: Screening record</t>
        </is>
      </c>
    </row>
    <row r="614" outlineLevel="2" ht="408.75" customHeight="1" s="128">
      <c r="A614" s="148" t="n"/>
      <c r="B614" s="149" t="inlineStr">
        <is>
          <t>Young Adult  (17–26 years)</t>
        </is>
      </c>
      <c r="C614" s="149" t="inlineStr">
        <is>
          <t>4. SOCIAL</t>
        </is>
      </c>
      <c r="D614" s="148" t="inlineStr">
        <is>
          <t>Everything for this area at this age</t>
        </is>
      </c>
      <c r="E614" s="184" t="inlineStr">
        <is>
          <t>3 dx · 8 pres · 2 tools</t>
        </is>
      </c>
      <c r="F614" s="164" t="inlineStr">
        <is>
          <t>4.2 Relationships with adults</t>
        </is>
      </c>
      <c r="G614" s="133" t="n"/>
      <c r="H614" s="148" t="n"/>
      <c r="I614" s="148" t="n"/>
      <c r="J614" s="148" t="n"/>
      <c r="K614" s="148" t="n"/>
      <c r="L614" s="148" t="n"/>
      <c r="M614" s="164" t="inlineStr">
        <is>
          <t>1 · DIAGNOSED — what it could be
Relational problems (parent-child, sibling, upbringing away from parents) — DSM-5-TR Z-codes / ICD-11 Ch.24
Gender Dysphoria in children — DSM-5-TR / ICD-11 Ch.17
Gender Dysphoria in adolescents — DSM-5-TR / ICD-11 Ch.17</t>
        </is>
      </c>
      <c r="N614" s="164" t="inlineStr">
        <is>
          <t>2 · NOT DIAGNOSED — descriptive presentations
Self-advocacy — Not a DSM diagnosis
LGBTQ+ identity support — Not a disorder
Cultural and linguistic identity — Not a disorder
Attitude towards staff — Added — Form 2 survey wording
Trust and the effect of one key adult — Added
Response to authority and to being corrected — Added
Relationship with the SNA and dependence on adult proximity — Added
Help-seeking from adults — Added</t>
        </is>
      </c>
      <c r="O614" s="164" t="inlineStr">
        <is>
          <t>3 · WHO THEY ARE REFERRED TO
Primary Care
CDNT
CAMHS
Specialist services
NEPS
school supports</t>
        </is>
      </c>
      <c r="P614" s="164" t="inlineStr">
        <is>
          <t>4 · WHAT YOU WOULD DO AT THIS AGE
Course tutor and workplace supervisor relationships · self-advocacy for accommodations.</t>
        </is>
      </c>
      <c r="Q614" s="164" t="inlineStr">
        <is>
          <t>AQ-10 / AQ-50
AGE: 16+
MEASURES: Self-report autism screen.
CANNOT TELL YOU: Diagnosis. Refer to adult diagnostic services.
TIME: 5–15 min
LANDS IN: Screening record · referral</t>
        </is>
      </c>
      <c r="R614" s="164" t="inlineStr">
        <is>
          <t>SRS-2 adult form
AGE: 19+
MEASURES: Social communication, informant and self-report.
CANNOT TELL YOU: Diagnosis.
TIME: 15–20 min
LANDS IN: Screening record</t>
        </is>
      </c>
    </row>
    <row r="615" outlineLevel="2" ht="15" customHeight="1" s="128">
      <c r="A615" s="183" t="inlineStr">
        <is>
          <t>CAT</t>
        </is>
      </c>
      <c r="B615" s="183" t="inlineStr">
        <is>
          <t>Young Adult  (17–26 years)</t>
        </is>
      </c>
      <c r="C615" s="183" t="inlineStr">
        <is>
          <t>5. OTHER</t>
        </is>
      </c>
      <c r="D615" s="183" t="n"/>
      <c r="E615" s="183" t="inlineStr">
        <is>
          <t>5 areas present at this age</t>
        </is>
      </c>
      <c r="F615" s="183" t="n"/>
      <c r="G615" s="183" t="n"/>
      <c r="H615" s="183" t="n"/>
      <c r="I615" s="183" t="n"/>
      <c r="J615" s="183" t="n"/>
      <c r="K615" s="183" t="n"/>
      <c r="L615" s="183" t="n"/>
    </row>
    <row r="616" outlineLevel="2" ht="408.75" customHeight="1" s="128">
      <c r="A616" s="148" t="n"/>
      <c r="B616" s="149" t="inlineStr">
        <is>
          <t>Young Adult  (17–26 years)</t>
        </is>
      </c>
      <c r="C616" s="149" t="inlineStr">
        <is>
          <t>5. OTHER</t>
        </is>
      </c>
      <c r="D616" s="148" t="inlineStr">
        <is>
          <t>Everything for this area at this age</t>
        </is>
      </c>
      <c r="E616" s="184" t="inlineStr">
        <is>
          <t>1 dx · 3 pres · 0 tools</t>
        </is>
      </c>
      <c r="F616" s="164" t="inlineStr">
        <is>
          <t>5.1 Vision</t>
        </is>
      </c>
      <c r="G616" s="133" t="n"/>
      <c r="H616" s="148" t="n"/>
      <c r="I616" s="148" t="n"/>
      <c r="J616" s="148" t="n"/>
      <c r="K616" s="148" t="n"/>
      <c r="L616" s="148" t="n"/>
      <c r="M616" s="164" t="inlineStr">
        <is>
          <t>1 · DIAGNOSED — what it could be
Visual impairment — Medical</t>
        </is>
      </c>
      <c r="N616" s="164" t="inlineStr">
        <is>
          <t>2 · NOT DIAGNOSED — descriptive presentations
Uncorrected refractive error — Added — rule out before assessing literacy
Visual fatigue in extended reading — Added
Access to print — font, size, contrast, position in room — Added</t>
        </is>
      </c>
      <c r="O616" s="164" t="inlineStr">
        <is>
          <t>3 · WHO THEY ARE REFERRED TO
Ophthalmology
Visiting Teacher service
CDNT
GP
Optometry
NEPS
Visiting Teacher</t>
        </is>
      </c>
      <c r="P616" s="164" t="inlineStr">
        <is>
          <t>4 · WHAT YOU WOULD DO AT THIS AGE
Access technology and DSA evidence.</t>
        </is>
      </c>
    </row>
    <row r="617" outlineLevel="2" ht="408.75" customHeight="1" s="128">
      <c r="A617" s="148" t="n"/>
      <c r="B617" s="149" t="inlineStr">
        <is>
          <t>Young Adult  (17–26 years)</t>
        </is>
      </c>
      <c r="C617" s="149" t="inlineStr">
        <is>
          <t>5. OTHER</t>
        </is>
      </c>
      <c r="D617" s="148" t="inlineStr">
        <is>
          <t>Everything for this area at this age</t>
        </is>
      </c>
      <c r="E617" s="184" t="inlineStr">
        <is>
          <t>2 dx · 3 pres · 0 tools</t>
        </is>
      </c>
      <c r="F617" s="164" t="inlineStr">
        <is>
          <t>5.2 Hearing</t>
        </is>
      </c>
      <c r="G617" s="133" t="n"/>
      <c r="H617" s="148" t="n"/>
      <c r="I617" s="148" t="n"/>
      <c r="J617" s="148" t="n"/>
      <c r="K617" s="148" t="n"/>
      <c r="L617" s="148" t="n"/>
      <c r="M617" s="164" t="inlineStr">
        <is>
          <t>1 · DIAGNOSED — what it could be
Hearing impairment (mild, moderate, severe, profound; unilateral or bilateral) — Medical
Recurrent otitis media with effusion (glue ear) — Medical</t>
        </is>
      </c>
      <c r="N617" s="164" t="inlineStr">
        <is>
          <t>2 · NOT DIAGNOSED — descriptive presentations
Listening in noise vs listening one-to-one — Added
Classroom acoustics and seating — Added
Hearing history during the years phonics was taught — Added — glue ear at 5 shows up at 8</t>
        </is>
      </c>
      <c r="O617" s="164" t="inlineStr">
        <is>
          <t>3 · WHO THEY ARE REFERRED TO
Audiology
Visiting Teacher service
CDNT
GP
Audiology — common contributor to literacy difficulty
NEPS
Visiting Teacher</t>
        </is>
      </c>
      <c r="P617" s="164" t="inlineStr">
        <is>
          <t>4 · WHAT YOU WOULD DO AT THIS AGE
Access technology and course arrangements.</t>
        </is>
      </c>
    </row>
    <row r="618" outlineLevel="2" ht="408.75" customHeight="1" s="128">
      <c r="A618" s="148" t="n"/>
      <c r="B618" s="149" t="inlineStr">
        <is>
          <t>Young Adult  (17–26 years)</t>
        </is>
      </c>
      <c r="C618" s="149" t="inlineStr">
        <is>
          <t>5. OTHER</t>
        </is>
      </c>
      <c r="D618" s="148" t="inlineStr">
        <is>
          <t>Everything for this area at this age</t>
        </is>
      </c>
      <c r="E618" s="184" t="inlineStr">
        <is>
          <t>11 dx · 7 pres · 2 tools</t>
        </is>
      </c>
      <c r="F618" s="164" t="inlineStr">
        <is>
          <t>5.3 Medical condition or other diagnosis</t>
        </is>
      </c>
      <c r="G618" s="133" t="n"/>
      <c r="H618" s="148" t="n"/>
      <c r="I618" s="148" t="n"/>
      <c r="J618" s="148" t="n"/>
      <c r="K618" s="148" t="n"/>
      <c r="L618" s="148" t="n"/>
      <c r="M618" s="164" t="inlineStr">
        <is>
          <t>1 · DIAGNOSED — what it could be
Epilepsy and its educational impact — Medical / ICD-11 Ch.08
Cerebral palsy (spastic / dyskinetic / ataxic / mixed) — Medical / ICD-11 Ch.08
Spina bifida — Medical / ICD-11 Ch.08
Muscular dystrophy — Medical / ICD-11 Ch.08
Acquired brain injury — Medical / ICD-11 Ch.08
Foetal Alcohol Spectrum Disorder — Prenatal exposure
Genetic syndromes (Down, Fragile X, 22q11.2, Williams, Prader-Willi, Angelman, Rett) — ICD-11 Ch.20
Sleep disorders (insomnia, hypersomnolence, narcolepsy, breathing-related, circadian, RLS, NREM arousal, nightmare, REM behaviour) — DSM-5-TR / ICD-11 Ch.07
Feeding and eating disorders (Pica, Rumination, ARFID, Anorexia, Bulimia, Binge-Eating) — DSM-5-TR / ICD-11 6B80–6B8Z
Elimination disorders (Enuresis, Encopresis) — DSM-5-TR / ICD-11 6C00–6C0Z
Somatic Symptom Disorder / Illness Anxiety / Conversion Disorder — DSM-5-TR / ICD-11 6C20–6C2Z</t>
        </is>
      </c>
      <c r="N618" s="164" t="inlineStr">
        <is>
          <t>2 · NOT DIAGNOSED — descriptive presentations
Physical disability (non-cerebral palsy) — Medical
Multiple disabilities — Medical
Chronic illness affecting school — Medical
Fatigue and stamina needs — Medical
Medication effects on attention and learning — Added
Missed curriculum from hospital admissions — Added
Re-entry to school after illness — Added</t>
        </is>
      </c>
      <c r="O618" s="164" t="inlineStr">
        <is>
          <t>3 · WHO THEY ARE REFERRED TO
Paediatric neurology
CDNT
OT
Physio
Paediatrics
GP
CAMHS pathway
Primary Care
paediatric liaison
NEPS for school supports
NEPS
CAMHS
home tuition</t>
        </is>
      </c>
      <c r="P618" s="164" t="inlineStr">
        <is>
          <t>4 · WHAT YOU WOULD DO AT THIS AGE
Adult services · course accommodations · DSA.</t>
        </is>
      </c>
      <c r="Q618" s="164" t="inlineStr">
        <is>
          <t>ABAS-3 adult form
AGE: to 89
MEASURES: Adaptive functioning in adult life.
CANNOT TELL YOU: Vocational aptitude.
TIME: 20 min
LANDS IN: Report · adult services referral</t>
        </is>
      </c>
      <c r="R618" s="164" t="inlineStr">
        <is>
          <t>Vineland-3 adult
AGE: to 90
MEASURES: Adaptive behaviour.
CANNOT TELL YOU: Cognitive ability.
TIME: 20–60 min
LANDS IN: Adult services referral</t>
        </is>
      </c>
    </row>
    <row r="619" outlineLevel="2" ht="408.75" customHeight="1" s="128">
      <c r="A619" s="148" t="n"/>
      <c r="B619" s="149" t="inlineStr">
        <is>
          <t>Young Adult  (17–26 years)</t>
        </is>
      </c>
      <c r="C619" s="149" t="inlineStr">
        <is>
          <t>5. OTHER</t>
        </is>
      </c>
      <c r="D619" s="148" t="inlineStr">
        <is>
          <t>Everything for this area at this age</t>
        </is>
      </c>
      <c r="E619" s="184" t="inlineStr">
        <is>
          <t>5 dx · 10 pres · 0 tools</t>
        </is>
      </c>
      <c r="F619" s="164" t="inlineStr">
        <is>
          <t>5.5 Involvement of other services</t>
        </is>
      </c>
      <c r="G619" s="133" t="n"/>
      <c r="H619" s="148" t="n"/>
      <c r="I619" s="148" t="n"/>
      <c r="J619" s="148" t="n"/>
      <c r="K619" s="148" t="n"/>
      <c r="L619" s="148" t="n"/>
      <c r="M619" s="164" t="inlineStr">
        <is>
          <t>1 · DIAGNOSED — what it could be
Psychotic disorders (Delusional, Brief Psychotic, Schizophreniform, Schizophrenia, Schizoaffective) — DSM-5-TR / ICD-11 6A20–6A2Z
Bipolar and related disorders (Bipolar I, Bipolar II, Cyclothymic) — DSM-5-TR / ICD-11 6A60–6A6Z
Dissociative disorders (DID, Dissociative Amnesia, Depersonalisation/Derealisation) — DSM-5-TR / ICD-11 6B60–6B6Z
Personality disorders — Clusters A, B, C — DSM-5-TR / ICD-11 6D10–6D11
Catatonia — DSM-5-TR / ICD-11 6A40–6A4Z</t>
        </is>
      </c>
      <c r="N619" s="164" t="inlineStr">
        <is>
          <t>2 · NOT DIAGNOSED — descriptive presentations
Care-experienced children (foster, kinship, residential, aftercare) — Not a DSM diagnosis
Child protection and welfare concerns — Not a DSM diagnosis
Domestic violence exposure — Not a DSM diagnosis
Parenting capacity concerns — Not a DSM diagnosis
Family functioning difficulties — Not a DSM diagnosis
Housing and economic problems — DSM-5-TR Z-codes
Social exclusion, discrimination, acculturation difficulty — DSM-5-TR Z-codes
Knowing which service does what, and the referral route — Added — your named development area
Multi-disciplinary meetings and your role in them — Added
Professional and service boundaries — what is not yours to do — Added — your named development area</t>
        </is>
      </c>
      <c r="O619" s="164" t="inlineStr">
        <is>
          <t>3 · WHO THEY ARE REFERRED TO
CAMHS
Late adolescence and adult services
CAMHS transition
Tusla
Primary Care
Tusla — Children First
community services
NEPS
supervisor</t>
        </is>
      </c>
      <c r="P619" s="164" t="inlineStr">
        <is>
          <t>4 · WHAT YOU WOULD DO AT THIS AGE
Adult services mapping · what ends at 18 and what does not.</t>
        </is>
      </c>
    </row>
    <row r="620" outlineLevel="2" ht="408.75" customHeight="1" s="128">
      <c r="A620" s="148" t="n"/>
      <c r="B620" s="149" t="inlineStr">
        <is>
          <t>Young Adult  (17–26 years)</t>
        </is>
      </c>
      <c r="C620" s="149" t="inlineStr">
        <is>
          <t>5. OTHER</t>
        </is>
      </c>
      <c r="D620" s="148" t="inlineStr">
        <is>
          <t>Everything for this area at this age</t>
        </is>
      </c>
      <c r="E620" s="184" t="inlineStr">
        <is>
          <t>0 dx · 14 pres · 0 tools</t>
        </is>
      </c>
      <c r="F620" s="164" t="inlineStr">
        <is>
          <t>5.6 School and access factors</t>
        </is>
      </c>
      <c r="G620" s="133" t="n"/>
      <c r="H620" s="148" t="n"/>
      <c r="I620" s="148" t="n"/>
      <c r="J620" s="148" t="n"/>
      <c r="K620" s="148" t="n"/>
      <c r="L620" s="148" t="n"/>
      <c r="M620" s="164" t="inlineStr">
        <is>
          <t>1 · DIAGNOSED
None. Everything here is a presentation.</t>
        </is>
      </c>
      <c r="N620" s="164" t="inlineStr">
        <is>
          <t>2 · NOT DIAGNOSED — descriptive presentations
Classroom environment — Context, not a diagnosis
Teaching match — Context, not a diagnosis
Curriculum demands — Context, not a diagnosis
Behaviour system fit — Context, not a diagnosis
Attendance and transitions — Context, not a diagnosis
Transition planning (early years to primary, primary to post-primary, school leaver) — Not a diagnosis
Assistive technology — Not a diagnosis
Reasonable Accommodations in State Examinations (RACE) — Not a diagnosis
SNA and resource teaching allocation — Not a diagnosis
Home learning environment — Context, not a diagnosis
Community context — Context, not a diagnosis
Continuum of Support level and whether it was actually implemented — Added
Whole-school policy and practice — Added — your systemic change development area
Staff training need identified through casework — Added</t>
        </is>
      </c>
      <c r="O620" s="164" t="inlineStr">
        <is>
          <t>3 · WHO THEY ARE REFERRED TO
NEPS
Educational Welfare (Tusla)
SENO
State Examinations Commission
NCSE
Primary Care
community services</t>
        </is>
      </c>
      <c r="P620" s="164" t="inlineStr">
        <is>
          <t>4 · WHAT YOU WOULD DO AT THIS AGE
Course design and accommodation · workplace adjustment.</t>
        </is>
      </c>
    </row>
    <row r="621" ht="19.5" customHeight="1" s="128">
      <c r="A621" s="147" t="inlineStr">
        <is>
          <t>BAND</t>
        </is>
      </c>
      <c r="B621" s="147" t="inlineStr">
        <is>
          <t>Special Setting  (class or school)</t>
        </is>
      </c>
      <c r="C621" s="147" t="n"/>
      <c r="D621" s="147" t="n"/>
      <c r="E621" s="147" t="inlineStr">
        <is>
          <t>Everything below is what this age looks like</t>
        </is>
      </c>
      <c r="F621" s="147" t="n"/>
      <c r="G621" s="147" t="n"/>
      <c r="H621" s="147" t="n"/>
      <c r="I621" s="147" t="n"/>
      <c r="J621" s="147" t="n"/>
      <c r="K621" s="147" t="n"/>
      <c r="L621" s="147" t="n"/>
      <c r="M621" s="147" t="n"/>
      <c r="N621" s="147" t="n"/>
      <c r="O621" s="147" t="n"/>
      <c r="P621" s="147" t="n"/>
      <c r="Q621" s="147" t="n"/>
      <c r="R621" s="147" t="n"/>
      <c r="S621" s="147" t="n"/>
      <c r="T621" s="147" t="n"/>
      <c r="U621" s="147" t="n"/>
      <c r="V621" s="147" t="n"/>
      <c r="W621" s="147" t="n"/>
      <c r="X621" s="147" t="n"/>
      <c r="Y621" s="147" t="n"/>
      <c r="Z621" s="147" t="n"/>
      <c r="AA621" s="147" t="n"/>
      <c r="AB621" s="147" t="n"/>
      <c r="AC621" s="147" t="n"/>
      <c r="AD621" s="147" t="n"/>
      <c r="AE621" s="147" t="n"/>
      <c r="AF621" s="147" t="n"/>
      <c r="AG621" s="147" t="n"/>
      <c r="AH621" s="147" t="n"/>
      <c r="AI621" s="147" t="n"/>
      <c r="AJ621" s="147" t="n"/>
      <c r="AK621" s="147" t="n"/>
    </row>
    <row r="622" outlineLevel="2" ht="15" customHeight="1" s="128">
      <c r="A622" s="183" t="inlineStr">
        <is>
          <t>CAT</t>
        </is>
      </c>
      <c r="B622" s="183" t="inlineStr">
        <is>
          <t>Special Setting  (class or school)</t>
        </is>
      </c>
      <c r="C622" s="183" t="inlineStr">
        <is>
          <t>1. LEARNING</t>
        </is>
      </c>
      <c r="D622" s="183" t="n"/>
      <c r="E622" s="183" t="inlineStr">
        <is>
          <t>6 areas present at this age</t>
        </is>
      </c>
      <c r="F622" s="183" t="n"/>
      <c r="G622" s="183" t="n"/>
      <c r="H622" s="183" t="n"/>
      <c r="I622" s="183" t="n"/>
      <c r="J622" s="183" t="n"/>
      <c r="K622" s="183" t="n"/>
      <c r="L622" s="183" t="n"/>
    </row>
    <row r="623" outlineLevel="2" ht="408.75" customHeight="1" s="128">
      <c r="A623" s="148" t="n"/>
      <c r="B623" s="149" t="inlineStr">
        <is>
          <t>Special Setting  (class or school)</t>
        </is>
      </c>
      <c r="C623" s="149" t="inlineStr">
        <is>
          <t>1. LEARNING</t>
        </is>
      </c>
      <c r="D623" s="148" t="inlineStr">
        <is>
          <t>Everything for this area at this age</t>
        </is>
      </c>
      <c r="E623" s="184" t="inlineStr">
        <is>
          <t>5 dx · 15 pres · 0 tools</t>
        </is>
      </c>
      <c r="F623" s="164" t="inlineStr">
        <is>
          <t>1.1 Attention, concentration and work skills</t>
        </is>
      </c>
      <c r="G623" s="133" t="n"/>
      <c r="H623" s="148" t="n"/>
      <c r="I623" s="148" t="n"/>
      <c r="J623" s="148" t="n"/>
      <c r="K623" s="148" t="n"/>
      <c r="L623" s="148" t="n"/>
      <c r="M623" s="164" t="inlineStr">
        <is>
          <t>1 · DIAGNOSED — what it could be
ADHD — combined presentation — DSM-5-TR / ICD-11 6A05
ADHD — predominantly inattentive presentation — DSM-5-TR / ICD-11 6A05
ADHD — predominantly hyperactive/impulsive presentation — DSM-5-TR / ICD-11 6A05
Other specified ADHD — DSM-5-TR / ICD-11 6A05
Unspecified ADHD — DSM-5-TR / ICD-11 6A05</t>
        </is>
      </c>
      <c r="N623" s="164" t="inlineStr">
        <is>
          <t>2 · NOT DIAGNOSED — descriptive presentations
Working memory difficulty — Executive function profile, not a diagnosis
Inhibition difficulty — Executive function profile
Cognitive flexibility difficulty — Executive function profile
Planning and organisation difficulty — Executive function profile
Task initiation difficulty — Executive function profile
Self-monitoring difficulty — Executive function profile
Motivation and engagement with work — Added — not in the conditions index
Work rate and pace of output — Added
Homework completion and follow-through — Added
Organisation of materials, books and equipment — Added
Sustained attention in whole-class vs one-to-one — Added
Note-taking and recording from the board — Added
Study skills and revision strategy — Added
Help-seeking — knowing when and how to ask — Added
Fatigue, sleep and time-of-day effects on attention — Added</t>
        </is>
      </c>
      <c r="O623" s="164" t="inlineStr">
        <is>
          <t>3 · WHO THEY ARE REFERRED TO
CAMHS (complex or medication)
Primary Care
CAMHS
NEPS
GP if persistent</t>
        </is>
      </c>
      <c r="P623" s="164" t="inlineStr">
        <is>
          <t>4 · WHAT YOU WOULD DO AT THIS AGE
Same tools, but interpret against the setting norm rather than the mainstream norm · staff consultation on the support already in place · check the referral question is about the pupil and not the placement.</t>
        </is>
      </c>
    </row>
    <row r="624" outlineLevel="2" ht="408.75" customHeight="1" s="128">
      <c r="A624" s="148" t="n"/>
      <c r="B624" s="149" t="inlineStr">
        <is>
          <t>Special Setting  (class or school)</t>
        </is>
      </c>
      <c r="C624" s="149" t="inlineStr">
        <is>
          <t>1. LEARNING</t>
        </is>
      </c>
      <c r="D624" s="148" t="inlineStr">
        <is>
          <t>Everything for this area at this age</t>
        </is>
      </c>
      <c r="E624" s="184" t="inlineStr">
        <is>
          <t>5 dx · 9 pres · 1 tools</t>
        </is>
      </c>
      <c r="F624" s="164" t="inlineStr">
        <is>
          <t>1.2 Language skills</t>
        </is>
      </c>
      <c r="G624" s="133" t="n"/>
      <c r="H624" s="148" t="n"/>
      <c r="I624" s="148" t="n"/>
      <c r="J624" s="148" t="n"/>
      <c r="K624" s="148" t="n"/>
      <c r="L624" s="148" t="n"/>
      <c r="M624" s="164" t="inlineStr">
        <is>
          <t>1 · DIAGNOSED — what it could be
Language Disorder (expressive / receptive / mixed) — DLD — DSM-5-TR / ICD-11 6A01
Speech Sound Disorder — DSM-5-TR / ICD-11 6A01
Childhood-Onset Fluency Disorder (stuttering) — DSM-5-TR / ICD-11 6A01
Unspecified Communication Disorder — DSM-5-TR / ICD-11 6A01
Selective mutism — DSM-5-TR anxiety / ICD-11 6B00–6B0Z</t>
        </is>
      </c>
      <c r="N624" s="164" t="inlineStr">
        <is>
          <t>2 · NOT DIAGNOSED — descriptive presentations
AAC and communication access — Not a DSM diagnosis
English as an Additional Language (EAL) — Not a disorder — can mimic language disorder, rule out
Bilingual language development — Not a disorder
Vocabulary gap from limited exposure — Added
Participation in oral work and classroom talk — Added — Form 2 wording
Following multi-step verbal instructions — Added
Narrative and sequencing in spoken account — Added
Word-finding difficulty — Added
Interpreter need and how it changes the assessment — Added</t>
        </is>
      </c>
      <c r="O624" s="164" t="inlineStr">
        <is>
          <t>3 · WHO THEY ARE REFERRED TO
NEPS with SLT
NCSE speech and language class
Primary Care (mild–moderate)
CAMHS (severe) — also under 3.2
SLT
CDNT
NEPS
NEPS interpreter request form</t>
        </is>
      </c>
      <c r="P624" s="164" t="inlineStr">
        <is>
          <t>4 · WHAT YOU WOULD DO AT THIS AGE
Language level of the setting itself · staff consultation on total communication approach · AAC in use and whether it is being used consistently.</t>
        </is>
      </c>
      <c r="Q624" s="164" t="inlineStr">
        <is>
          <t>Communication Matrix / AAC review
AGE: any
MEASURES: Current communication mode and its consistency across staff.
CANNOT TELL YOU: Whether the system suits the pupil — that needs SLT.
TIME: varies
LANDS IN: Consultation record</t>
        </is>
      </c>
    </row>
    <row r="625" outlineLevel="2" ht="408.75" customHeight="1" s="128">
      <c r="A625" s="148" t="n"/>
      <c r="B625" s="149" t="inlineStr">
        <is>
          <t>Special Setting  (class or school)</t>
        </is>
      </c>
      <c r="C625" s="149" t="inlineStr">
        <is>
          <t>1. LEARNING</t>
        </is>
      </c>
      <c r="D625" s="148" t="inlineStr">
        <is>
          <t>Everything for this area at this age</t>
        </is>
      </c>
      <c r="E625" s="184" t="inlineStr">
        <is>
          <t>8 dx · 7 pres · 2 tools</t>
        </is>
      </c>
      <c r="F625" s="164" t="inlineStr">
        <is>
          <t>1.3 Comprehension and general ability</t>
        </is>
      </c>
      <c r="G625" s="133" t="n"/>
      <c r="H625" s="148" t="n"/>
      <c r="I625" s="148" t="n"/>
      <c r="J625" s="148" t="n"/>
      <c r="K625" s="148" t="n"/>
      <c r="L625" s="148" t="n"/>
      <c r="M625" s="164" t="inlineStr">
        <is>
          <t>1 · DIAGNOSED — what it could be
Intellectual Disability — mild — DSM-5-TR / ICD-11 6A00
Intellectual Disability — moderate — DSM-5-TR / ICD-11 6A00
Intellectual Disability — severe — DSM-5-TR / ICD-11 6A00
Intellectual Disability — profound — DSM-5-TR / ICD-11 6A00
Unspecified Intellectual Disability — DSM-5-TR / ICD-11 6A00
Global Developmental Delay — DSM-5-TR / ICD-11 6A00
Borderline Intellectual Functioning (FSIQ approx. 70–79) — DSM-5-TR V-code
Other specified / unspecified neurodevelopmental disorder — DSM-5-TR / ICD-11 6A0Z</t>
        </is>
      </c>
      <c r="N625" s="164" t="inlineStr">
        <is>
          <t>2 · NOT DIAGNOSED — descriptive presentations
Cognitive profile differences (verbal, fluid, working memory, processing speed) — Not a DSM diagnosis
Underachievement not meeting SLD criteria — Not a DSM diagnosis
Giftedness / exceptional ability — Not a DSM diagnosis
Twice exceptional (high ability plus SLD, ADHD or ASD) — Not a DSM diagnosis
Understanding and responding to adult direction — Added — Form 2 wording
Curriculum access at the current level — Added
Interrupted or missed schooling — Added</t>
        </is>
      </c>
      <c r="O625" s="164" t="inlineStr">
        <is>
          <t>3 · WHO THEY ARE REFERRED TO
CDNT
NEPS — below GLD threshold, significant school impact
NEPS
Educational Welfare</t>
        </is>
      </c>
      <c r="P625" s="164" t="inlineStr">
        <is>
          <t>4 · WHAT YOU WOULD DO AT THIS AGE
Non-verbal options (Leiter-3) where the standard battery is not accessible · adaptive measure is usually more informative than IQ · curriculum is likely L1/L2 LCA — assess against that.</t>
        </is>
      </c>
      <c r="Q625" s="164" t="inlineStr">
        <is>
          <t>Leiter-3
AGE: 3:0–75:11
MEASURES: Non-verbal ability without spoken instruction.
CANNOT TELL YOU: Verbal reasoning. Often the only accessible cognitive measure in a special setting.
TIME: 45 min
LANDS IN: Report</t>
        </is>
      </c>
      <c r="R625" s="164" t="inlineStr">
        <is>
          <t>Adaptive measure in place of IQ
AGE: any
MEASURES: Vineland-3 or ABAS-3.
CANNOT TELL YOU: Nothing an IQ would add for planning — in special settings the adaptive profile is usually the more useful document.
TIME: 20–60 min
LANDS IN: Report · care plan</t>
        </is>
      </c>
    </row>
    <row r="626" outlineLevel="2" ht="408.75" customHeight="1" s="128">
      <c r="A626" s="148" t="n"/>
      <c r="B626" s="149" t="inlineStr">
        <is>
          <t>Special Setting  (class or school)</t>
        </is>
      </c>
      <c r="C626" s="149" t="inlineStr">
        <is>
          <t>1. LEARNING</t>
        </is>
      </c>
      <c r="D626" s="148" t="inlineStr">
        <is>
          <t>Everything for this area at this age</t>
        </is>
      </c>
      <c r="E626" s="184" t="inlineStr">
        <is>
          <t>2 dx · 7 pres · 0 tools</t>
        </is>
      </c>
      <c r="F626" s="164" t="inlineStr">
        <is>
          <t>1.4 Literacy — reading (fluency / comprehension), writing and spelling</t>
        </is>
      </c>
      <c r="G626" s="133" t="n"/>
      <c r="H626" s="148" t="n"/>
      <c r="I626" s="148" t="n"/>
      <c r="J626" s="148" t="n"/>
      <c r="K626" s="148" t="n"/>
      <c r="L626" s="148" t="n"/>
      <c r="M626" s="164" t="inlineStr">
        <is>
          <t>1 · DIAGNOSED — what it could be
Specific Learning Disorder with impairment in reading (dyslexia) — DSM-5-TR
Specific Learning Disorder with impairment in written expression (dysgraphia) — DSM-5-TR</t>
        </is>
      </c>
      <c r="N626" s="164" t="inlineStr">
        <is>
          <t>2 · NOT DIAGNOSED — descriptive presentations
Auditory processing concerns — Not a DSM diagnosis
Literacy difficulty not meeting SLD criteria — Added
Reading stamina and avoidance of reading aloud — Added
Handwriting speed and legibility under time pressure — Added
Spelling as a barrier to written output — Added
Assistive technology not yet trialled — Added
Instruction history — what has actually been taught — Added — rule out before concluding disorder</t>
        </is>
      </c>
      <c r="O626" s="164" t="inlineStr">
        <is>
          <t>3 · WHO THEY ARE REFERRED TO
NEPS
Audiology
SLT
OT if motor
SENO</t>
        </is>
      </c>
      <c r="P626" s="164" t="inlineStr">
        <is>
          <t>4 · WHAT YOU WOULD DO AT THIS AGE
Assess against the setting curriculum · functional literacy (signs, forms, money) may matter more than standardised scores.</t>
        </is>
      </c>
    </row>
    <row r="627" outlineLevel="2" ht="408.75" customHeight="1" s="128">
      <c r="A627" s="148" t="n"/>
      <c r="B627" s="149" t="inlineStr">
        <is>
          <t>Special Setting  (class or school)</t>
        </is>
      </c>
      <c r="C627" s="149" t="inlineStr">
        <is>
          <t>1. LEARNING</t>
        </is>
      </c>
      <c r="D627" s="148" t="inlineStr">
        <is>
          <t>Everything for this area at this age</t>
        </is>
      </c>
      <c r="E627" s="184" t="inlineStr">
        <is>
          <t>1 dx · 6 pres · 0 tools</t>
        </is>
      </c>
      <c r="F627" s="164" t="inlineStr">
        <is>
          <t>1.5 Maths skills — concepts and computation</t>
        </is>
      </c>
      <c r="G627" s="133" t="n"/>
      <c r="H627" s="148" t="n"/>
      <c r="I627" s="148" t="n"/>
      <c r="J627" s="148" t="n"/>
      <c r="K627" s="148" t="n"/>
      <c r="L627" s="148" t="n"/>
      <c r="M627" s="164" t="inlineStr">
        <is>
          <t>1 · DIAGNOSED — what it could be
Specific Learning Disorder with impairment in mathematics (dyscalculia) — DSM-5-TR</t>
        </is>
      </c>
      <c r="N627" s="164" t="inlineStr">
        <is>
          <t>2 · NOT DIAGNOSED — descriptive presentations
Numeracy difficulty not meeting SLD criteria — Added
Maths anxiety — Added
Number sense and estimation — Added
Recall of number facts vs procedural method — Added
Word problems — reading as the barrier, not the maths — Added
Working memory load in multi-step calculation — Added</t>
        </is>
      </c>
      <c r="O627" s="164" t="inlineStr">
        <is>
          <t>3 · WHO THEY ARE REFERRED TO
NEPS</t>
        </is>
      </c>
      <c r="P627" s="164" t="inlineStr">
        <is>
          <t>4 · WHAT YOU WOULD DO AT THIS AGE
Functional numeracy against the setting curriculum · practical application over standardised score.</t>
        </is>
      </c>
    </row>
    <row r="628" outlineLevel="2" ht="408.75" customHeight="1" s="128">
      <c r="A628" s="148" t="n"/>
      <c r="B628" s="149" t="inlineStr">
        <is>
          <t>Special Setting  (class or school)</t>
        </is>
      </c>
      <c r="C628" s="149" t="inlineStr">
        <is>
          <t>1. LEARNING</t>
        </is>
      </c>
      <c r="D628" s="148" t="inlineStr">
        <is>
          <t>Everything for this area at this age</t>
        </is>
      </c>
      <c r="E628" s="184" t="inlineStr">
        <is>
          <t>7 dx · 7 pres · 0 tools</t>
        </is>
      </c>
      <c r="F628" s="164" t="inlineStr">
        <is>
          <t>1.6 Co-ordination — fine motor / handwriting, gross motor / PE skills</t>
        </is>
      </c>
      <c r="G628" s="133" t="n"/>
      <c r="H628" s="148" t="n"/>
      <c r="I628" s="148" t="n"/>
      <c r="J628" s="148" t="n"/>
      <c r="K628" s="148" t="n"/>
      <c r="L628" s="148" t="n"/>
      <c r="M628" s="164" t="inlineStr">
        <is>
          <t>1 · DIAGNOSED — what it could be
Developmental Coordination Disorder (dyspraxia) — DSM-5-TR / ICD-11 6A04
Stereotypic Movement Disorder — DSM-5-TR / ICD-11 6A04
Tourette's Disorder — DSM-5-TR / ICD-11 Ch.08
Persistent (chronic) motor or vocal tic disorder — DSM-5-TR / ICD-11 Ch.08
Provisional tic disorder — DSM-5-TR / ICD-11 Ch.08
Other specified / unspecified tic disorder — DSM-5-TR / ICD-11 Ch.08
Hypermobility spectrum disorder — Medical</t>
        </is>
      </c>
      <c r="N628" s="164" t="inlineStr">
        <is>
          <t>2 · NOT DIAGNOSED — descriptive presentations
Fine motor difficulty (handwriting, pencil grip) — Not a DSM diagnosis
Gross motor difficulty (PE, balance, ball skills) — Not a DSM diagnosis
Sensory modulation difficulties (over- or under-responsive) — Not a DSM diagnosis
Sensory discrimination difficulties — Not a DSM diagnosis
Motor-based sensory difficulties — Not a DSM diagnosis
Presentation and care of written work — Added — Form 2 wording
Self-care and independence skills at school — Added</t>
        </is>
      </c>
      <c r="O628" s="164" t="inlineStr">
        <is>
          <t>3 · WHO THEY ARE REFERRED TO
CDNT / Occupational Therapy
CDNT / OT
CAMHS
GP
Paediatrics
Occupational Therapy
OT
Physiotherapy
NEPS</t>
        </is>
      </c>
      <c r="P628" s="164" t="inlineStr">
        <is>
          <t>4 · WHAT YOU WOULD DO AT THIS AGE
Access to the physical environment · equipment and seating in place · OT recommendations already implemented or not.</t>
        </is>
      </c>
    </row>
    <row r="629" outlineLevel="2" ht="15" customHeight="1" s="128">
      <c r="A629" s="183" t="inlineStr">
        <is>
          <t>CAT</t>
        </is>
      </c>
      <c r="B629" s="183" t="inlineStr">
        <is>
          <t>Special Setting  (class or school)</t>
        </is>
      </c>
      <c r="C629" s="183" t="inlineStr">
        <is>
          <t>2. BEHAVIOUR</t>
        </is>
      </c>
      <c r="D629" s="183" t="n"/>
      <c r="E629" s="183" t="inlineStr">
        <is>
          <t>2 areas present at this age</t>
        </is>
      </c>
      <c r="F629" s="183" t="n"/>
      <c r="G629" s="183" t="n"/>
      <c r="H629" s="183" t="n"/>
      <c r="I629" s="183" t="n"/>
      <c r="J629" s="183" t="n"/>
      <c r="K629" s="183" t="n"/>
      <c r="L629" s="183" t="n"/>
    </row>
    <row r="630" outlineLevel="2" ht="408.75" customHeight="1" s="128">
      <c r="A630" s="148" t="n"/>
      <c r="B630" s="149" t="inlineStr">
        <is>
          <t>Special Setting  (class or school)</t>
        </is>
      </c>
      <c r="C630" s="149" t="inlineStr">
        <is>
          <t>2. BEHAVIOUR</t>
        </is>
      </c>
      <c r="D630" s="148" t="inlineStr">
        <is>
          <t>Everything for this area at this age</t>
        </is>
      </c>
      <c r="E630" s="184" t="inlineStr">
        <is>
          <t>5 dx · 8 pres · 1 tools</t>
        </is>
      </c>
      <c r="F630" s="164" t="inlineStr">
        <is>
          <t>2.1 Behaviour in class</t>
        </is>
      </c>
      <c r="G630" s="133" t="n"/>
      <c r="H630" s="148" t="n"/>
      <c r="I630" s="148" t="n"/>
      <c r="J630" s="148" t="n"/>
      <c r="K630" s="148" t="n"/>
      <c r="L630" s="148" t="n"/>
      <c r="M630" s="164" t="inlineStr">
        <is>
          <t>1 · DIAGNOSED — what it could be
Oppositional Defiant Disorder — mild — DSM-5-TR / ICD-11 6C90–6C9Z
Oppositional Defiant Disorder — moderate — DSM-5-TR / ICD-11 6C90–6C9Z
Oppositional Defiant Disorder — severe — DSM-5-TR / ICD-11 6C90–6C9Z
Intermittent Explosive Disorder — DSM-5-TR / ICD-11 6C70–6C7Z
Disruptive Mood Dysregulation Disorder — DSM-5-TR / ICD-11 6A70–6A7Z</t>
        </is>
      </c>
      <c r="N630" s="164" t="inlineStr">
        <is>
          <t>2 · NOT DIAGNOSED — descriptive presentations
Behaviour that challenges — Not a DSM diagnosis
Behaviour function (ABC analysis, trigger-behaviour-consequence) — Formulation approach, not a diagnosis
Emotion regulation in the classroom — Added
Response to correction and repair after an incident — Added
Transitions between activities and between classes — Added
Behaviour system fit — is the system working for this pupil — Added
Escalation and de-escalation pattern — Added
Behaviour as communication of an unmet learning need — Added — always test this hypothesis</t>
        </is>
      </c>
      <c r="O630" s="164" t="inlineStr">
        <is>
          <t>3 · WHO THEY ARE REFERRED TO
NEPS (school behaviour)
CAMHS
NEPS
CAMHS (mod–severe)
Primary Care (mild–mod)</t>
        </is>
      </c>
      <c r="P630" s="164" t="inlineStr">
        <is>
          <t>4 · WHAT YOU WOULD DO AT THIS AGE
Behaviour against the setting baseline · staff consistency · whether the environment is generating the behaviour.</t>
        </is>
      </c>
      <c r="Q630" s="164" t="inlineStr">
        <is>
          <t>Functional behaviour assessment (ABC)
AGE: any
MEASURES: Antecedent, behaviour, consequence patterns across a week.
CANNOT TELL YOU: Internal state. It describes function, not feeling.
TIME: 1 week recording
LANDS IN: Appendix 7 observation · behaviour support plan</t>
        </is>
      </c>
    </row>
    <row r="631" outlineLevel="2" ht="408.75" customHeight="1" s="128">
      <c r="A631" s="148" t="n"/>
      <c r="B631" s="149" t="inlineStr">
        <is>
          <t>Special Setting  (class or school)</t>
        </is>
      </c>
      <c r="C631" s="149" t="inlineStr">
        <is>
          <t>2. BEHAVIOUR</t>
        </is>
      </c>
      <c r="D631" s="148" t="inlineStr">
        <is>
          <t>Everything for this area at this age</t>
        </is>
      </c>
      <c r="E631" s="184" t="inlineStr">
        <is>
          <t>9 dx · 6 pres · 1 tools</t>
        </is>
      </c>
      <c r="F631" s="164" t="inlineStr">
        <is>
          <t>2.2 Behaviour during break times and around the school</t>
        </is>
      </c>
      <c r="G631" s="133" t="n"/>
      <c r="H631" s="148" t="n"/>
      <c r="I631" s="148" t="n"/>
      <c r="J631" s="148" t="n"/>
      <c r="K631" s="148" t="n"/>
      <c r="L631" s="148" t="n"/>
      <c r="M631" s="164" t="inlineStr">
        <is>
          <t>1 · DIAGNOSED — what it could be
Conduct Disorder — childhood-onset type — DSM-5-TR / ICD-11 6C90–6C9Z
Conduct Disorder — adolescent-onset type — DSM-5-TR / ICD-11 6C90–6C9Z
Conduct Disorder — unspecified onset — DSM-5-TR / ICD-11 6C90–6C9Z
Pyromania — DSM-5-TR / ICD-11 6C70–6C7Z
Kleptomania — DSM-5-TR / ICD-11 6C70–6C7Z
Other specified / unspecified disruptive, impulse-control and conduct disorder — DSM-5-TR
Substance use disorders (alcohol, cannabis, opioid, stimulant, tobacco, inhalant, sedative, hallucinogen) — DSM-5-TR / ICD-11 6C40–6C4Z
Gambling Disorder — DSM-5-TR / ICD-11 6C50–6C5Z
Gaming Disorder / Internet Gaming Disorder — ICD-11 6C51</t>
        </is>
      </c>
      <c r="N631" s="164" t="inlineStr">
        <is>
          <t>2 · NOT DIAGNOSED — descriptive presentations
Harmful or sexualised behaviour in children — Not a DSM diagnosis
Adolescent substance misuse / dual diagnosis — Not a standalone diagnosis
Unstructured time — yard and corridor as the difficulty — Added
Supervision ratio and yard layout — Added
Group dynamics and peer influence — Added
Risk-taking without a diagnosis attached — Added</t>
        </is>
      </c>
      <c r="O631" s="164" t="inlineStr">
        <is>
          <t>3 · WHO THEY ARE REFERRED TO
NEPS
CAMHS
Addiction services
Tusla</t>
        </is>
      </c>
      <c r="P631" s="164" t="inlineStr">
        <is>
          <t>4 · WHAT YOU WOULD DO AT THIS AGE
Break-time structure in the setting · supported vs unsupported time · staffing at transitions.</t>
        </is>
      </c>
      <c r="Q631" s="164" t="inlineStr">
        <is>
          <t>Functional behaviour assessment (ABC)
AGE: any
MEASURES: Antecedent, behaviour, consequence patterns across a week.
CANNOT TELL YOU: Internal state. It describes function, not feeling.
TIME: 1 week recording
LANDS IN: Appendix 7 observation · behaviour support plan</t>
        </is>
      </c>
    </row>
    <row r="632" outlineLevel="2" ht="15" customHeight="1" s="128">
      <c r="A632" s="183" t="inlineStr">
        <is>
          <t>CAT</t>
        </is>
      </c>
      <c r="B632" s="183" t="inlineStr">
        <is>
          <t>Special Setting  (class or school)</t>
        </is>
      </c>
      <c r="C632" s="183" t="inlineStr">
        <is>
          <t>3. EMOTIONAL</t>
        </is>
      </c>
      <c r="D632" s="183" t="n"/>
      <c r="E632" s="183" t="inlineStr">
        <is>
          <t>7 areas present at this age</t>
        </is>
      </c>
      <c r="F632" s="183" t="n"/>
      <c r="G632" s="183" t="n"/>
      <c r="H632" s="183" t="n"/>
      <c r="I632" s="183" t="n"/>
      <c r="J632" s="183" t="n"/>
      <c r="K632" s="183" t="n"/>
      <c r="L632" s="183" t="n"/>
    </row>
    <row r="633" outlineLevel="2" ht="408.75" customHeight="1" s="128">
      <c r="A633" s="148" t="n"/>
      <c r="B633" s="149" t="inlineStr">
        <is>
          <t>Special Setting  (class or school)</t>
        </is>
      </c>
      <c r="C633" s="149" t="inlineStr">
        <is>
          <t>3. EMOTIONAL</t>
        </is>
      </c>
      <c r="D633" s="148" t="inlineStr">
        <is>
          <t>Everything for this area at this age</t>
        </is>
      </c>
      <c r="E633" s="184" t="inlineStr">
        <is>
          <t>0 dx · 7 pres · 1 tools</t>
        </is>
      </c>
      <c r="F633" s="164" t="inlineStr">
        <is>
          <t>3.1 Confidence and self-esteem</t>
        </is>
      </c>
      <c r="G633" s="133" t="n"/>
      <c r="H633" s="148" t="n"/>
      <c r="I633" s="148" t="n"/>
      <c r="J633" s="148" t="n"/>
      <c r="K633" s="148" t="n"/>
      <c r="L633" s="148" t="n"/>
      <c r="M633" s="164" t="inlineStr">
        <is>
          <t>1 · DIAGNOSED
None. Everything here is a presentation.</t>
        </is>
      </c>
      <c r="N633" s="164" t="inlineStr">
        <is>
          <t>2 · NOT DIAGNOSED — descriptive presentations
Low confidence and self-esteem — Not a DSM diagnosis
Learned helplessness — Not a DSM diagnosis
Academic self-concept vs global self-esteem — Added
Attribution style — effort vs ability — Added
Response to failure and setback — Added — Form 2 survey wording
Perfectionism and fear of getting it wrong — Added
Self-esteem as a consequence of unidentified SLD — Added — check the sequence</t>
        </is>
      </c>
      <c r="O633" s="164" t="inlineStr">
        <is>
          <t>3 · WHO THEY ARE REFERRED TO
NEPS</t>
        </is>
      </c>
      <c r="P633" s="164" t="inlineStr">
        <is>
          <t>4 · WHAT YOU WOULD DO AT THIS AGE
Self-concept relative to the setting peer group, not the mainstream one.</t>
        </is>
      </c>
      <c r="Q633" s="164" t="inlineStr">
        <is>
          <t>Functional behaviour assessment (ABC)
AGE: any
MEASURES: Antecedent, behaviour, consequence patterns across a week.
CANNOT TELL YOU: Internal state. It describes function, not feeling.
TIME: 1 week recording
LANDS IN: Appendix 7 observation · behaviour support plan</t>
        </is>
      </c>
    </row>
    <row r="634" outlineLevel="2" ht="408.75" customHeight="1" s="128">
      <c r="A634" s="148" t="n"/>
      <c r="B634" s="149" t="inlineStr">
        <is>
          <t>Special Setting  (class or school)</t>
        </is>
      </c>
      <c r="C634" s="149" t="inlineStr">
        <is>
          <t>3. EMOTIONAL</t>
        </is>
      </c>
      <c r="D634" s="148" t="inlineStr">
        <is>
          <t>Everything for this area at this age</t>
        </is>
      </c>
      <c r="E634" s="184" t="inlineStr">
        <is>
          <t>8 dx · 6 pres · 1 tools</t>
        </is>
      </c>
      <c r="F634" s="164" t="inlineStr">
        <is>
          <t>3.2 Anxiety</t>
        </is>
      </c>
      <c r="G634" s="133" t="n"/>
      <c r="H634" s="148" t="n"/>
      <c r="I634" s="148" t="n"/>
      <c r="J634" s="148" t="n"/>
      <c r="K634" s="148" t="n"/>
      <c r="L634" s="148" t="n"/>
      <c r="M634" s="164" t="inlineStr">
        <is>
          <t>1 · DIAGNOSED — what it could be
Separation Anxiety Disorder — DSM-5-TR / ICD-11 6B00–6B0Z
Social Anxiety Disorder (social phobia) — DSM-5-TR / ICD-11 6B00–6B0Z
Generalised Anxiety Disorder — DSM-5-TR / ICD-11 6B00–6B0Z
Specific Phobia — DSM-5-TR / ICD-11 6B00–6B0Z
Panic Disorder — DSM-5-TR / ICD-11 6B00–6B0Z
Agoraphobia — DSM-5-TR / ICD-11 6B00–6B0Z
Selective mutism — DSM-5-TR anxiety
Other specified / unspecified anxiety disorder — DSM-5-TR</t>
        </is>
      </c>
      <c r="N634" s="164" t="inlineStr">
        <is>
          <t>2 · NOT DIAGNOSED — descriptive presentations
School anxiety presentations (not a standalone diagnosis) — Not a DSM diagnosis
Test and exam anxiety — Added
Performance anxiety in oral work — Added
Anticipatory anxiety about transitions — Added
Somatic complaints presenting at school (tummy aches, headaches) — Added
Anxiety secondary to an unmet learning need — Added</t>
        </is>
      </c>
      <c r="O634" s="164" t="inlineStr">
        <is>
          <t>3 · WHO THEY ARE REFERRED TO
Primary Care (mild–mod)
CAMHS (severe)
Primary Care
CAMHS
CAMHS — also under 1.2
NEPS
GP to rule out</t>
        </is>
      </c>
      <c r="P634" s="164" t="inlineStr">
        <is>
          <t>4 · WHAT YOU WOULD DO AT THIS AGE
Anxiety about the setting or about transition out of it · staff report on where and when.</t>
        </is>
      </c>
      <c r="Q634" s="164" t="inlineStr">
        <is>
          <t>Functional behaviour assessment (ABC)
AGE: any
MEASURES: Antecedent, behaviour, consequence patterns across a week.
CANNOT TELL YOU: Internal state. It describes function, not feeling.
TIME: 1 week recording
LANDS IN: Appendix 7 observation · behaviour support plan</t>
        </is>
      </c>
    </row>
    <row r="635" outlineLevel="2" ht="408.75" customHeight="1" s="128">
      <c r="A635" s="148" t="n"/>
      <c r="B635" s="149" t="inlineStr">
        <is>
          <t>Special Setting  (class or school)</t>
        </is>
      </c>
      <c r="C635" s="149" t="inlineStr">
        <is>
          <t>3. EMOTIONAL</t>
        </is>
      </c>
      <c r="D635" s="148" t="inlineStr">
        <is>
          <t>Everything for this area at this age</t>
        </is>
      </c>
      <c r="E635" s="184" t="inlineStr">
        <is>
          <t>5 dx · 3 pres · 1 tools</t>
        </is>
      </c>
      <c r="F635" s="164" t="inlineStr">
        <is>
          <t>3.3 Obsessive-compulsive and related</t>
        </is>
      </c>
      <c r="G635" s="133" t="n"/>
      <c r="H635" s="148" t="n"/>
      <c r="I635" s="148" t="n"/>
      <c r="J635" s="148" t="n"/>
      <c r="K635" s="148" t="n"/>
      <c r="L635" s="148" t="n"/>
      <c r="M635" s="164" t="inlineStr">
        <is>
          <t>1 · DIAGNOSED — what it could be
Obsessive-Compulsive Disorder — DSM-5-TR / ICD-11 6B20–6B2Z
Body Dysmorphic Disorder — DSM-5-TR / ICD-11 6B20–6B2Z
Hoarding Disorder — DSM-5-TR / ICD-11 6B20–6B2Z
Trichotillomania (hair-pulling) — DSM-5-TR / ICD-11 6B20–6B2Z
Excoriation (skin-picking) Disorder — DSM-5-TR / ICD-11 6B20–6B2Z</t>
        </is>
      </c>
      <c r="N635" s="164" t="inlineStr">
        <is>
          <t>2 · NOT DIAGNOSED — descriptive presentations
Rigidity and routine that is not OCD — Added — check autism first
Repeated checking of work — Added
Ritual at transitions — Added</t>
        </is>
      </c>
      <c r="O635" s="164" t="inlineStr">
        <is>
          <t>3 · WHO THEY ARE REFERRED TO
Primary Care
CAMHS (severe)
CAMHS
NEPS</t>
        </is>
      </c>
      <c r="P635" s="164" t="inlineStr">
        <is>
          <t>4 · WHAT YOU WOULD DO AT THIS AGE
Distinguish autistic routine from compulsion — the function differs.</t>
        </is>
      </c>
      <c r="Q635" s="164" t="inlineStr">
        <is>
          <t>Functional behaviour assessment (ABC)
AGE: any
MEASURES: Antecedent, behaviour, consequence patterns across a week.
CANNOT TELL YOU: Internal state. It describes function, not feeling.
TIME: 1 week recording
LANDS IN: Appendix 7 observation · behaviour support plan</t>
        </is>
      </c>
    </row>
    <row r="636" outlineLevel="2" ht="408.75" customHeight="1" s="128">
      <c r="A636" s="148" t="n"/>
      <c r="B636" s="149" t="inlineStr">
        <is>
          <t>Special Setting  (class or school)</t>
        </is>
      </c>
      <c r="C636" s="149" t="inlineStr">
        <is>
          <t>3. EMOTIONAL</t>
        </is>
      </c>
      <c r="D636" s="148" t="inlineStr">
        <is>
          <t>Everything for this area at this age</t>
        </is>
      </c>
      <c r="E636" s="184" t="inlineStr">
        <is>
          <t>5 dx · 4 pres · 1 tools</t>
        </is>
      </c>
      <c r="F636" s="164" t="inlineStr">
        <is>
          <t>3.4 Mood</t>
        </is>
      </c>
      <c r="G636" s="133" t="n"/>
      <c r="H636" s="148" t="n"/>
      <c r="I636" s="148" t="n"/>
      <c r="J636" s="148" t="n"/>
      <c r="K636" s="148" t="n"/>
      <c r="L636" s="148" t="n"/>
      <c r="M636" s="164" t="inlineStr">
        <is>
          <t>1 · DIAGNOSED — what it could be
Major Depressive Disorder — single episode — DSM-5-TR / ICD-11 6A70–6A7Z
Major Depressive Disorder — recurrent episode — DSM-5-TR / ICD-11 6A70–6A7Z
Persistent Depressive Disorder (dysthymia) — DSM-5-TR / ICD-11 6A70–6A7Z
Premenstrual Dysphoric Disorder — DSM-5-TR / ICD-11 6A70–6A7Z
Other specified / unspecified depressive disorder — DSM-5-TR</t>
        </is>
      </c>
      <c r="N636" s="164" t="inlineStr">
        <is>
          <t>2 · NOT DIAGNOSED — descriptive presentations
Low mood without diagnostic threshold — Added
Loss of interest in school activities previously enjoyed — Added
Withdrawal from peers — Added
Irritability as the presentation of low mood in young people — Added</t>
        </is>
      </c>
      <c r="O636" s="164" t="inlineStr">
        <is>
          <t>3 · WHO THEY ARE REFERRED TO
CAMHS (mod–severe)
Primary Care (mild–mod)
CAMHS
Primary Care
NEPS</t>
        </is>
      </c>
      <c r="P636" s="164" t="inlineStr">
        <is>
          <t>4 · WHAT YOU WOULD DO AT THIS AGE
Mood against the setting baseline · staff who know the pupil best.</t>
        </is>
      </c>
      <c r="Q636" s="164" t="inlineStr">
        <is>
          <t>Functional behaviour assessment (ABC)
AGE: any
MEASURES: Antecedent, behaviour, consequence patterns across a week.
CANNOT TELL YOU: Internal state. It describes function, not feeling.
TIME: 1 week recording
LANDS IN: Appendix 7 observation · behaviour support plan</t>
        </is>
      </c>
    </row>
    <row r="637" outlineLevel="2" ht="408.75" customHeight="1" s="128">
      <c r="A637" s="148" t="n"/>
      <c r="B637" s="149" t="inlineStr">
        <is>
          <t>Special Setting  (class or school)</t>
        </is>
      </c>
      <c r="C637" s="149" t="inlineStr">
        <is>
          <t>3. EMOTIONAL</t>
        </is>
      </c>
      <c r="D637" s="148" t="inlineStr">
        <is>
          <t>Everything for this area at this age</t>
        </is>
      </c>
      <c r="E637" s="184" t="inlineStr">
        <is>
          <t>8 dx · 5 pres · 1 tools</t>
        </is>
      </c>
      <c r="F637" s="164" t="inlineStr">
        <is>
          <t>3.5 Trauma, attachment and loss</t>
        </is>
      </c>
      <c r="G637" s="133" t="n"/>
      <c r="H637" s="148" t="n"/>
      <c r="I637" s="148" t="n"/>
      <c r="J637" s="148" t="n"/>
      <c r="K637" s="148" t="n"/>
      <c r="L637" s="148" t="n"/>
      <c r="M637" s="164" t="inlineStr">
        <is>
          <t>1 · DIAGNOSED — what it could be
Reactive Attachment Disorder — DSM-5-TR / ICD-11 6B40–6B4Z
Disinhibited Social Engagement Disorder — DSM-5-TR / ICD-11 6B45
Posttraumatic Stress Disorder — DSM-5-TR / ICD-11 6B40
PTSD — preschool subtype (6 years and under) — DSM-5-TR
Complex PTSD — ICD-11 6B41
Acute Stress Disorder — DSM-5-TR / ICD-11 6B40–6B4Z
Adjustment Disorder (with depressed mood / anxiety / mixed / conduct / unspecified) — DSM-5-TR / ICD-11 6B40–6B4Z
Prolonged Grief Disorder — DSM-5-TR / ICD-11 6B42</t>
        </is>
      </c>
      <c r="N637" s="164" t="inlineStr">
        <is>
          <t>2 · NOT DIAGNOSED — descriptive presentations
Complex or developmental trauma — Not a DSM diagnosis
Adverse Childhood Experiences (ACEs) — Not a DSM diagnosis
Bereavement reaction — Not a DSM diagnosis
Displacement, asylum and resettlement — Added
Trauma-informed classroom practice — Added — the systemic response</t>
        </is>
      </c>
      <c r="O637" s="164" t="inlineStr">
        <is>
          <t>3 · WHO THEY ARE REFERRED TO
Primary Care
CAMHS (severe)
CAMHS
Primary Care (milder)
NEPS critical incident response
NEPS
community services</t>
        </is>
      </c>
      <c r="P637" s="164" t="inlineStr">
        <is>
          <t>4 · WHAT YOU WOULD DO AT THIS AGE
Setting stability and staff consistency as the intervention.</t>
        </is>
      </c>
      <c r="Q637" s="164" t="inlineStr">
        <is>
          <t>Functional behaviour assessment (ABC)
AGE: any
MEASURES: Antecedent, behaviour, consequence patterns across a week.
CANNOT TELL YOU: Internal state. It describes function, not feeling.
TIME: 1 week recording
LANDS IN: Appendix 7 observation · behaviour support plan</t>
        </is>
      </c>
    </row>
    <row r="638" outlineLevel="2" ht="408.75" customHeight="1" s="128">
      <c r="A638" s="148" t="n"/>
      <c r="B638" s="149" t="inlineStr">
        <is>
          <t>Special Setting  (class or school)</t>
        </is>
      </c>
      <c r="C638" s="149" t="inlineStr">
        <is>
          <t>3. EMOTIONAL</t>
        </is>
      </c>
      <c r="D638" s="148" t="inlineStr">
        <is>
          <t>Everything for this area at this age</t>
        </is>
      </c>
      <c r="E638" s="184" t="inlineStr">
        <is>
          <t>0 dx · 6 pres · 1 tools</t>
        </is>
      </c>
      <c r="F638" s="164" t="inlineStr">
        <is>
          <t>3.6 School attendance</t>
        </is>
      </c>
      <c r="G638" s="133" t="n"/>
      <c r="H638" s="148" t="n"/>
      <c r="I638" s="148" t="n"/>
      <c r="J638" s="148" t="n"/>
      <c r="K638" s="148" t="n"/>
      <c r="L638" s="148" t="n"/>
      <c r="M638" s="164" t="inlineStr">
        <is>
          <t>1 · DIAGNOSED
None. Everything here is a presentation.</t>
        </is>
      </c>
      <c r="N638" s="164" t="inlineStr">
        <is>
          <t>2 · NOT DIAGNOSED — descriptive presentations
Emotionally Based School Avoidance (school refusal) — Not a DSM diagnosis
Truancy distinguished from EBSA — Added — different formulation, different response
Parentally condoned absence — Added
Absence due to chronic illness — Added
Late arrival and partial attendance — Added
Return-to-school planning after extended absence — Added</t>
        </is>
      </c>
      <c r="O638" s="164" t="inlineStr">
        <is>
          <t>3 · WHO THEY ARE REFERRED TO
NEPS
Primary Care
Educational Welfare (Tusla)
Paediatrics
NEPS for school supports</t>
        </is>
      </c>
      <c r="P638" s="164" t="inlineStr">
        <is>
          <t>4 · WHAT YOU WOULD DO AT THIS AGE
Attendance into and within the setting · transport as a factor.</t>
        </is>
      </c>
      <c r="Q638" s="164" t="inlineStr">
        <is>
          <t>Functional behaviour assessment (ABC)
AGE: any
MEASURES: Antecedent, behaviour, consequence patterns across a week.
CANNOT TELL YOU: Internal state. It describes function, not feeling.
TIME: 1 week recording
LANDS IN: Appendix 7 observation · behaviour support plan</t>
        </is>
      </c>
    </row>
    <row r="639" outlineLevel="2" ht="79.5" customHeight="1" s="128">
      <c r="A639" s="185" t="n"/>
      <c r="B639" s="186" t="inlineStr">
        <is>
          <t>Special Setting  (class or school)</t>
        </is>
      </c>
      <c r="C639" s="186" t="inlineStr">
        <is>
          <t>3. EMOTIONAL</t>
        </is>
      </c>
      <c r="D639" s="185" t="inlineStr">
        <is>
          <t>STOP — not an assessment area</t>
        </is>
      </c>
      <c r="E639" s="187" t="inlineStr">
        <is>
          <t>Do not assess</t>
        </is>
      </c>
      <c r="F639" s="186" t="inlineStr">
        <is>
          <t>3.7 Risk and safeguarding</t>
        </is>
      </c>
      <c r="G639" s="185" t="n"/>
      <c r="H639" s="185" t="n"/>
      <c r="I639" s="185" t="n"/>
      <c r="J639" s="185" t="n"/>
      <c r="K639" s="185" t="n"/>
      <c r="L639" s="185" t="n"/>
      <c r="M639" s="186" t="inlineStr">
        <is>
          <t>This area is not an assessment area. If risk or a safeguarding concern arises, you stop, you tell your supervisor the same day, and you follow Children First and the school DLP route. UCD Handbook §6.2 requires you to raise crises immediately. Know the pathway before the day you need it.</t>
        </is>
      </c>
    </row>
    <row r="640" outlineLevel="2" ht="15" customHeight="1" s="128">
      <c r="A640" s="183" t="inlineStr">
        <is>
          <t>CAT</t>
        </is>
      </c>
      <c r="B640" s="183" t="inlineStr">
        <is>
          <t>Special Setting  (class or school)</t>
        </is>
      </c>
      <c r="C640" s="183" t="inlineStr">
        <is>
          <t>4. SOCIAL</t>
        </is>
      </c>
      <c r="D640" s="183" t="n"/>
      <c r="E640" s="183" t="inlineStr">
        <is>
          <t>2 areas present at this age</t>
        </is>
      </c>
      <c r="F640" s="183" t="n"/>
      <c r="G640" s="183" t="n"/>
      <c r="H640" s="183" t="n"/>
      <c r="I640" s="183" t="n"/>
      <c r="J640" s="183" t="n"/>
      <c r="K640" s="183" t="n"/>
      <c r="L640" s="183" t="n"/>
    </row>
    <row r="641" outlineLevel="2" ht="408.75" customHeight="1" s="128">
      <c r="A641" s="148" t="n"/>
      <c r="B641" s="149" t="inlineStr">
        <is>
          <t>Special Setting  (class or school)</t>
        </is>
      </c>
      <c r="C641" s="149" t="inlineStr">
        <is>
          <t>4. SOCIAL</t>
        </is>
      </c>
      <c r="D641" s="148" t="inlineStr">
        <is>
          <t>Everything for this area at this age</t>
        </is>
      </c>
      <c r="E641" s="184" t="inlineStr">
        <is>
          <t>6 dx · 9 pres · 0 tools</t>
        </is>
      </c>
      <c r="F641" s="164" t="inlineStr">
        <is>
          <t>4.1 Friendships and social skills</t>
        </is>
      </c>
      <c r="G641" s="133" t="n"/>
      <c r="H641" s="148" t="n"/>
      <c r="I641" s="148" t="n"/>
      <c r="J641" s="148" t="n"/>
      <c r="K641" s="148" t="n"/>
      <c r="L641" s="148" t="n"/>
      <c r="M641" s="164" t="inlineStr">
        <is>
          <t>1 · DIAGNOSED — what it could be
Autism Spectrum Disorder — level 1, requiring support — DSM-5-TR / ICD-11 6A02
Autism Spectrum Disorder — level 2, requiring substantial support — DSM-5-TR / ICD-11 6A02
Autism Spectrum Disorder — level 3, requiring very substantial support — DSM-5-TR / ICD-11 6A02
ASD with accompanying intellectual impairment — DSM-5-TR specifier
ASD with accompanying language impairment — DSM-5-TR specifier
Social (Pragmatic) Communication Disorder — DSM-5-TR / ICD-11 6A01</t>
        </is>
      </c>
      <c r="N641" s="164" t="inlineStr">
        <is>
          <t>2 · NOT DIAGNOSED — descriptive presentations
Pathological Demand Avoidance (PDA) profile — Not a DSM diagnosis
Peer relationship difficulties and social isolation — Not a DSM diagnosis
Bullying — Not a DSM diagnosis
Social adaptive skills — Not a DSM diagnosis
Co-operation with peers in group work — Added — Form 2 survey wording
Turn-taking and shared play — Added
Reading social cues and repair after conflict — Added
Masking and the cost of it — Added
Loneliness without observable difficulty — Added — the quiet ones get missed</t>
        </is>
      </c>
      <c r="O641" s="164" t="inlineStr">
        <is>
          <t>3 · WHO THEY ARE REFERRED TO
CDNT
NEPS for school supports
NEPS
NEPS with SLT
whole-school policy support</t>
        </is>
      </c>
      <c r="P641" s="164" t="inlineStr">
        <is>
          <t>4 · WHAT YOU WOULD DO AT THIS AGE
Social opportunity within the setting · integration arrangements · peer group available to the pupil.</t>
        </is>
      </c>
    </row>
    <row r="642" outlineLevel="2" ht="408.75" customHeight="1" s="128">
      <c r="A642" s="148" t="n"/>
      <c r="B642" s="149" t="inlineStr">
        <is>
          <t>Special Setting  (class or school)</t>
        </is>
      </c>
      <c r="C642" s="149" t="inlineStr">
        <is>
          <t>4. SOCIAL</t>
        </is>
      </c>
      <c r="D642" s="148" t="inlineStr">
        <is>
          <t>Everything for this area at this age</t>
        </is>
      </c>
      <c r="E642" s="184" t="inlineStr">
        <is>
          <t>3 dx · 8 pres · 0 tools</t>
        </is>
      </c>
      <c r="F642" s="164" t="inlineStr">
        <is>
          <t>4.2 Relationships with adults</t>
        </is>
      </c>
      <c r="G642" s="133" t="n"/>
      <c r="H642" s="148" t="n"/>
      <c r="I642" s="148" t="n"/>
      <c r="J642" s="148" t="n"/>
      <c r="K642" s="148" t="n"/>
      <c r="L642" s="148" t="n"/>
      <c r="M642" s="164" t="inlineStr">
        <is>
          <t>1 · DIAGNOSED — what it could be
Relational problems (parent-child, sibling, upbringing away from parents) — DSM-5-TR Z-codes / ICD-11 Ch.24
Gender Dysphoria in children — DSM-5-TR / ICD-11 Ch.17
Gender Dysphoria in adolescents — DSM-5-TR / ICD-11 Ch.17</t>
        </is>
      </c>
      <c r="N642" s="164" t="inlineStr">
        <is>
          <t>2 · NOT DIAGNOSED — descriptive presentations
Self-advocacy — Not a DSM diagnosis
LGBTQ+ identity support — Not a disorder
Cultural and linguistic identity — Not a disorder
Attitude towards staff — Added — Form 2 survey wording
Trust and the effect of one key adult — Added
Response to authority and to being corrected — Added
Relationship with the SNA and dependence on adult proximity — Added
Help-seeking from adults — Added</t>
        </is>
      </c>
      <c r="O642" s="164" t="inlineStr">
        <is>
          <t>3 · WHO THEY ARE REFERRED TO
Primary Care
CDNT
CAMHS
Specialist services
NEPS
school supports</t>
        </is>
      </c>
      <c r="P642" s="164" t="inlineStr">
        <is>
          <t>4 · WHAT YOU WOULD DO AT THIS AGE
Staff consistency and key-worker arrangements · dependence on one adult and what happens when they are absent.</t>
        </is>
      </c>
    </row>
    <row r="643" outlineLevel="2" ht="15" customHeight="1" s="128">
      <c r="A643" s="183" t="inlineStr">
        <is>
          <t>CAT</t>
        </is>
      </c>
      <c r="B643" s="183" t="inlineStr">
        <is>
          <t>Special Setting  (class or school)</t>
        </is>
      </c>
      <c r="C643" s="183" t="inlineStr">
        <is>
          <t>5. OTHER</t>
        </is>
      </c>
      <c r="D643" s="183" t="n"/>
      <c r="E643" s="183" t="inlineStr">
        <is>
          <t>6 areas present at this age</t>
        </is>
      </c>
      <c r="F643" s="183" t="n"/>
      <c r="G643" s="183" t="n"/>
      <c r="H643" s="183" t="n"/>
      <c r="I643" s="183" t="n"/>
      <c r="J643" s="183" t="n"/>
      <c r="K643" s="183" t="n"/>
      <c r="L643" s="183" t="n"/>
    </row>
    <row r="644" outlineLevel="2" ht="408.75" customHeight="1" s="128">
      <c r="A644" s="148" t="n"/>
      <c r="B644" s="149" t="inlineStr">
        <is>
          <t>Special Setting  (class or school)</t>
        </is>
      </c>
      <c r="C644" s="149" t="inlineStr">
        <is>
          <t>5. OTHER</t>
        </is>
      </c>
      <c r="D644" s="148" t="inlineStr">
        <is>
          <t>Everything for this area at this age</t>
        </is>
      </c>
      <c r="E644" s="184" t="inlineStr">
        <is>
          <t>1 dx · 3 pres · 0 tools</t>
        </is>
      </c>
      <c r="F644" s="164" t="inlineStr">
        <is>
          <t>5.1 Vision</t>
        </is>
      </c>
      <c r="G644" s="133" t="n"/>
      <c r="H644" s="148" t="n"/>
      <c r="I644" s="148" t="n"/>
      <c r="J644" s="148" t="n"/>
      <c r="K644" s="148" t="n"/>
      <c r="L644" s="148" t="n"/>
      <c r="M644" s="164" t="inlineStr">
        <is>
          <t>1 · DIAGNOSED — what it could be
Visual impairment — Medical</t>
        </is>
      </c>
      <c r="N644" s="164" t="inlineStr">
        <is>
          <t>2 · NOT DIAGNOSED — descriptive presentations
Uncorrected refractive error — Added — rule out before assessing literacy
Visual fatigue in extended reading — Added
Access to print — font, size, contrast, position in room — Added</t>
        </is>
      </c>
      <c r="O644" s="164" t="inlineStr">
        <is>
          <t>3 · WHO THEY ARE REFERRED TO
Ophthalmology
Visiting Teacher service
CDNT
GP
Optometry
NEPS
Visiting Teacher</t>
        </is>
      </c>
      <c r="P644" s="164" t="inlineStr">
        <is>
          <t>4 · WHAT YOU WOULD DO AT THIS AGE
Environmental access audit.</t>
        </is>
      </c>
    </row>
    <row r="645" outlineLevel="2" ht="408.75" customHeight="1" s="128">
      <c r="A645" s="148" t="n"/>
      <c r="B645" s="149" t="inlineStr">
        <is>
          <t>Special Setting  (class or school)</t>
        </is>
      </c>
      <c r="C645" s="149" t="inlineStr">
        <is>
          <t>5. OTHER</t>
        </is>
      </c>
      <c r="D645" s="148" t="inlineStr">
        <is>
          <t>Everything for this area at this age</t>
        </is>
      </c>
      <c r="E645" s="184" t="inlineStr">
        <is>
          <t>2 dx · 3 pres · 0 tools</t>
        </is>
      </c>
      <c r="F645" s="164" t="inlineStr">
        <is>
          <t>5.2 Hearing</t>
        </is>
      </c>
      <c r="G645" s="133" t="n"/>
      <c r="H645" s="148" t="n"/>
      <c r="I645" s="148" t="n"/>
      <c r="J645" s="148" t="n"/>
      <c r="K645" s="148" t="n"/>
      <c r="L645" s="148" t="n"/>
      <c r="M645" s="164" t="inlineStr">
        <is>
          <t>1 · DIAGNOSED — what it could be
Hearing impairment (mild, moderate, severe, profound; unilateral or bilateral) — Medical
Recurrent otitis media with effusion (glue ear) — Medical</t>
        </is>
      </c>
      <c r="N645" s="164" t="inlineStr">
        <is>
          <t>2 · NOT DIAGNOSED — descriptive presentations
Listening in noise vs listening one-to-one — Added
Classroom acoustics and seating — Added
Hearing history during the years phonics was taught — Added — glue ear at 5 shows up at 8</t>
        </is>
      </c>
      <c r="O645" s="164" t="inlineStr">
        <is>
          <t>3 · WHO THEY ARE REFERRED TO
Audiology
Visiting Teacher service
CDNT
GP
Audiology — common contributor to literacy difficulty
NEPS
Visiting Teacher</t>
        </is>
      </c>
      <c r="P645" s="164" t="inlineStr">
        <is>
          <t>4 · WHAT YOU WOULD DO AT THIS AGE
Acoustic environment and total communication approach.</t>
        </is>
      </c>
    </row>
    <row r="646" outlineLevel="2" ht="408.75" customHeight="1" s="128">
      <c r="A646" s="148" t="n"/>
      <c r="B646" s="149" t="inlineStr">
        <is>
          <t>Special Setting  (class or school)</t>
        </is>
      </c>
      <c r="C646" s="149" t="inlineStr">
        <is>
          <t>5. OTHER</t>
        </is>
      </c>
      <c r="D646" s="148" t="inlineStr">
        <is>
          <t>Everything for this area at this age</t>
        </is>
      </c>
      <c r="E646" s="184" t="inlineStr">
        <is>
          <t>11 dx · 7 pres · 1 tools</t>
        </is>
      </c>
      <c r="F646" s="164" t="inlineStr">
        <is>
          <t>5.3 Medical condition or other diagnosis</t>
        </is>
      </c>
      <c r="G646" s="133" t="n"/>
      <c r="H646" s="148" t="n"/>
      <c r="I646" s="148" t="n"/>
      <c r="J646" s="148" t="n"/>
      <c r="K646" s="148" t="n"/>
      <c r="L646" s="148" t="n"/>
      <c r="M646" s="164" t="inlineStr">
        <is>
          <t>1 · DIAGNOSED — what it could be
Epilepsy and its educational impact — Medical / ICD-11 Ch.08
Cerebral palsy (spastic / dyskinetic / ataxic / mixed) — Medical / ICD-11 Ch.08
Spina bifida — Medical / ICD-11 Ch.08
Muscular dystrophy — Medical / ICD-11 Ch.08
Acquired brain injury — Medical / ICD-11 Ch.08
Foetal Alcohol Spectrum Disorder — Prenatal exposure
Genetic syndromes (Down, Fragile X, 22q11.2, Williams, Prader-Willi, Angelman, Rett) — ICD-11 Ch.20
Sleep disorders (insomnia, hypersomnolence, narcolepsy, breathing-related, circadian, RLS, NREM arousal, nightmare, REM behaviour) — DSM-5-TR / ICD-11 Ch.07
Feeding and eating disorders (Pica, Rumination, ARFID, Anorexia, Bulimia, Binge-Eating) — DSM-5-TR / ICD-11 6B80–6B8Z
Elimination disorders (Enuresis, Encopresis) — DSM-5-TR / ICD-11 6C00–6C0Z
Somatic Symptom Disorder / Illness Anxiety / Conversion Disorder — DSM-5-TR / ICD-11 6C20–6C2Z</t>
        </is>
      </c>
      <c r="N646" s="164" t="inlineStr">
        <is>
          <t>2 · NOT DIAGNOSED — descriptive presentations
Physical disability (non-cerebral palsy) — Medical
Multiple disabilities — Medical
Chronic illness affecting school — Medical
Fatigue and stamina needs — Medical
Medication effects on attention and learning — Added
Missed curriculum from hospital admissions — Added
Re-entry to school after illness — Added</t>
        </is>
      </c>
      <c r="O646" s="164" t="inlineStr">
        <is>
          <t>3 · WHO THEY ARE REFERRED TO
Paediatric neurology
CDNT
OT
Physio
Paediatrics
GP
CAMHS pathway
Primary Care
paediatric liaison
NEPS for school supports
NEPS
CAMHS
home tuition</t>
        </is>
      </c>
      <c r="P646" s="164" t="inlineStr">
        <is>
          <t>4 · WHAT YOU WOULD DO AT THIS AGE
Care plan within the setting · nursing support · staff training needs.</t>
        </is>
      </c>
      <c r="Q646" s="164" t="inlineStr">
        <is>
          <t>Vineland-3 / ABAS-3
AGE: full range
MEASURES: Adaptive functioning against the setting's own curriculum (L1LP / L2LP).
CANNOT TELL YOU: Progress against mainstream norms, which is rarely the right comparison here.
TIME: 20–60 min
LANDS IN: Report · L1/L2 planning</t>
        </is>
      </c>
    </row>
    <row r="647" outlineLevel="2" ht="408.75" customHeight="1" s="128">
      <c r="A647" s="148" t="n"/>
      <c r="B647" s="149" t="inlineStr">
        <is>
          <t>Special Setting  (class or school)</t>
        </is>
      </c>
      <c r="C647" s="149" t="inlineStr">
        <is>
          <t>5. OTHER</t>
        </is>
      </c>
      <c r="D647" s="148" t="inlineStr">
        <is>
          <t>Everything for this area at this age</t>
        </is>
      </c>
      <c r="E647" s="184" t="inlineStr">
        <is>
          <t>0 dx · 5 pres · 2 tools</t>
        </is>
      </c>
      <c r="F647" s="164" t="inlineStr">
        <is>
          <t>5.4 Concerns about early development</t>
        </is>
      </c>
      <c r="G647" s="133" t="n"/>
      <c r="H647" s="148" t="n"/>
      <c r="I647" s="148" t="n"/>
      <c r="J647" s="148" t="n"/>
      <c r="K647" s="148" t="n"/>
      <c r="L647" s="148" t="n"/>
      <c r="M647" s="164" t="inlineStr">
        <is>
          <t>1 · DIAGNOSED
None. Everything here is a presentation.</t>
        </is>
      </c>
      <c r="N647" s="164" t="inlineStr">
        <is>
          <t>2 · NOT DIAGNOSED — descriptive presentations
Parent-infant mental health / 0–3 attachment work — Not a DSM diagnosis
Early Intervention Team caseload (0–6, pre-diagnostic) — Not a DSM diagnosis
Delayed developmental milestones — Not a DSM diagnosis
AIM level and preschool support already in place — Added
Transition from preschool to primary — Added</t>
        </is>
      </c>
      <c r="O647" s="164" t="inlineStr">
        <is>
          <t>3 · WHO THEY ARE REFERRED TO
CDNT 0–6 teams
Primary Care
CDNT
Public Health Nurse
Paediatrics
AIM
NEPS
SENO</t>
        </is>
      </c>
      <c r="P647" s="164" t="inlineStr">
        <is>
          <t>4 · WHAT YOU WOULD DO AT THIS AGE
Early intervention class or unit · AIM supports.</t>
        </is>
      </c>
      <c r="Q647" s="164" t="inlineStr">
        <is>
          <t>Leiter-3
AGE: 3:0–75:11
MEASURES: Non-verbal ability without spoken instruction.
CANNOT TELL YOU: Verbal reasoning. Often the only accessible cognitive measure in a special setting.
TIME: 45 min
LANDS IN: Report</t>
        </is>
      </c>
      <c r="R647" s="164" t="inlineStr">
        <is>
          <t>Adaptive measure in place of IQ
AGE: any
MEASURES: Vineland-3 or ABAS-3.
CANNOT TELL YOU: Nothing an IQ would add for planning — in special settings the adaptive profile is usually the more useful document.
TIME: 20–60 min
LANDS IN: Report · care plan</t>
        </is>
      </c>
    </row>
    <row r="648" outlineLevel="2" ht="408.75" customHeight="1" s="128">
      <c r="A648" s="148" t="n"/>
      <c r="B648" s="149" t="inlineStr">
        <is>
          <t>Special Setting  (class or school)</t>
        </is>
      </c>
      <c r="C648" s="149" t="inlineStr">
        <is>
          <t>5. OTHER</t>
        </is>
      </c>
      <c r="D648" s="148" t="inlineStr">
        <is>
          <t>Everything for this area at this age</t>
        </is>
      </c>
      <c r="E648" s="184" t="inlineStr">
        <is>
          <t>5 dx · 10 pres · 0 tools</t>
        </is>
      </c>
      <c r="F648" s="164" t="inlineStr">
        <is>
          <t>5.5 Involvement of other services</t>
        </is>
      </c>
      <c r="G648" s="133" t="n"/>
      <c r="H648" s="148" t="n"/>
      <c r="I648" s="148" t="n"/>
      <c r="J648" s="148" t="n"/>
      <c r="K648" s="148" t="n"/>
      <c r="L648" s="148" t="n"/>
      <c r="M648" s="164" t="inlineStr">
        <is>
          <t>1 · DIAGNOSED — what it could be
Psychotic disorders (Delusional, Brief Psychotic, Schizophreniform, Schizophrenia, Schizoaffective) — DSM-5-TR / ICD-11 6A20–6A2Z
Bipolar and related disorders (Bipolar I, Bipolar II, Cyclothymic) — DSM-5-TR / ICD-11 6A60–6A6Z
Dissociative disorders (DID, Dissociative Amnesia, Depersonalisation/Derealisation) — DSM-5-TR / ICD-11 6B60–6B6Z
Personality disorders — Clusters A, B, C — DSM-5-TR / ICD-11 6D10–6D11
Catatonia — DSM-5-TR / ICD-11 6A40–6A4Z</t>
        </is>
      </c>
      <c r="N648" s="164" t="inlineStr">
        <is>
          <t>2 · NOT DIAGNOSED — descriptive presentations
Care-experienced children (foster, kinship, residential, aftercare) — Not a DSM diagnosis
Child protection and welfare concerns — Not a DSM diagnosis
Domestic violence exposure — Not a DSM diagnosis
Parenting capacity concerns — Not a DSM diagnosis
Family functioning difficulties — Not a DSM diagnosis
Housing and economic problems — DSM-5-TR Z-codes
Social exclusion, discrimination, acculturation difficulty — DSM-5-TR Z-codes
Knowing which service does what, and the referral route — Added — your named development area
Multi-disciplinary meetings and your role in them — Added
Professional and service boundaries — what is not yours to do — Added — your named development area</t>
        </is>
      </c>
      <c r="O648" s="164" t="inlineStr">
        <is>
          <t>3 · WHO THEY ARE REFERRED TO
CAMHS
Late adolescence and adult services
CAMHS transition
Tusla
Primary Care
Tusla — Children First
community services
NEPS
supervisor</t>
        </is>
      </c>
      <c r="P648" s="164" t="inlineStr">
        <is>
          <t>4 · WHAT YOU WOULD DO AT THIS AGE
Multi-disciplinary team around the setting.</t>
        </is>
      </c>
    </row>
    <row r="649" outlineLevel="2" ht="408.75" customHeight="1" s="128">
      <c r="A649" s="148" t="n"/>
      <c r="B649" s="149" t="inlineStr">
        <is>
          <t>Special Setting  (class or school)</t>
        </is>
      </c>
      <c r="C649" s="149" t="inlineStr">
        <is>
          <t>5. OTHER</t>
        </is>
      </c>
      <c r="D649" s="148" t="inlineStr">
        <is>
          <t>Everything for this area at this age</t>
        </is>
      </c>
      <c r="E649" s="184" t="inlineStr">
        <is>
          <t>0 dx · 14 pres · 0 tools</t>
        </is>
      </c>
      <c r="F649" s="164" t="inlineStr">
        <is>
          <t>5.6 School and access factors</t>
        </is>
      </c>
      <c r="G649" s="133" t="n"/>
      <c r="H649" s="148" t="n"/>
      <c r="I649" s="148" t="n"/>
      <c r="J649" s="148" t="n"/>
      <c r="K649" s="148" t="n"/>
      <c r="L649" s="148" t="n"/>
      <c r="M649" s="164" t="inlineStr">
        <is>
          <t>1 · DIAGNOSED
None. Everything here is a presentation.</t>
        </is>
      </c>
      <c r="N649" s="164" t="inlineStr">
        <is>
          <t>2 · NOT DIAGNOSED — descriptive presentations
Classroom environment — Context, not a diagnosis
Teaching match — Context, not a diagnosis
Curriculum demands — Context, not a diagnosis
Behaviour system fit — Context, not a diagnosis
Attendance and transitions — Context, not a diagnosis
Transition planning (early years to primary, primary to post-primary, school leaver) — Not a diagnosis
Assistive technology — Not a diagnosis
Reasonable Accommodations in State Examinations (RACE) — Not a diagnosis
SNA and resource teaching allocation — Not a diagnosis
Home learning environment — Context, not a diagnosis
Community context — Context, not a diagnosis
Continuum of Support level and whether it was actually implemented — Added
Whole-school policy and practice — Added — your systemic change development area
Staff training need identified through casework — Added</t>
        </is>
      </c>
      <c r="O649" s="164" t="inlineStr">
        <is>
          <t>3 · WHO THEY ARE REFERRED TO
NEPS
Educational Welfare (Tusla)
SENO
State Examinations Commission
NCSE
Primary Care
community services</t>
        </is>
      </c>
      <c r="P649" s="164" t="inlineStr">
        <is>
          <t>4 · WHAT YOU WOULD DO AT THIS AGE
This is the band. Setting organisation, staffing, curriculum and integration are the assessment.</t>
        </is>
      </c>
    </row>
    <row r="651" ht="21.75" customHeight="1" s="128">
      <c r="A651" s="142" t="inlineStr">
        <is>
          <t>PART E</t>
        </is>
      </c>
      <c r="B651" s="142" t="inlineStr">
        <is>
          <t>THE THREE-YEAR ROUTE</t>
        </is>
      </c>
      <c r="C651" s="142" t="n"/>
      <c r="D651" s="142" t="n"/>
      <c r="E651" s="142" t="inlineStr">
        <is>
          <t>What each body requires, by year, and where you actually stand. Read the Status column — it is the honest one.</t>
        </is>
      </c>
      <c r="F651" s="142" t="n"/>
      <c r="G651" s="142" t="n"/>
      <c r="H651" s="142" t="n"/>
      <c r="I651" s="142" t="n"/>
      <c r="J651" s="142" t="n"/>
      <c r="K651" s="142" t="n"/>
      <c r="L651" s="142" t="n"/>
      <c r="M651" s="142" t="n"/>
      <c r="N651" s="142" t="n"/>
      <c r="O651" s="142" t="n"/>
      <c r="P651" s="142" t="n"/>
      <c r="Q651" s="142" t="n"/>
      <c r="R651" s="142" t="n"/>
      <c r="S651" s="142" t="n"/>
      <c r="T651" s="142" t="n"/>
      <c r="U651" s="142" t="n"/>
      <c r="V651" s="142" t="n"/>
      <c r="W651" s="142" t="n"/>
      <c r="X651" s="142" t="n"/>
      <c r="Y651" s="142" t="n"/>
      <c r="Z651" s="142" t="n"/>
      <c r="AA651" s="142" t="n"/>
      <c r="AB651" s="142" t="n"/>
      <c r="AC651" s="142" t="n"/>
      <c r="AD651" s="142" t="n"/>
      <c r="AE651" s="142" t="n"/>
      <c r="AF651" s="142" t="n"/>
      <c r="AG651" s="142" t="n"/>
      <c r="AH651" s="142" t="n"/>
      <c r="AI651" s="142" t="n"/>
      <c r="AJ651" s="142" t="n"/>
      <c r="AK651" s="142" t="n"/>
    </row>
    <row r="652" ht="15" customHeight="1" s="128">
      <c r="A652" s="179" t="n"/>
      <c r="B652" s="179" t="inlineStr">
        <is>
          <t>Year</t>
        </is>
      </c>
      <c r="C652" s="179" t="inlineStr">
        <is>
          <t>Body</t>
        </is>
      </c>
      <c r="D652" s="179" t="inlineStr">
        <is>
          <t>Requirement</t>
        </is>
      </c>
      <c r="E652" s="179" t="inlineStr">
        <is>
          <t>What it requires in full</t>
        </is>
      </c>
      <c r="F652" s="179" t="inlineStr">
        <is>
          <t>Where you stand</t>
        </is>
      </c>
      <c r="G652" s="179" t="n"/>
      <c r="H652" s="179" t="n"/>
      <c r="I652" s="179" t="n"/>
      <c r="J652" s="179" t="n"/>
      <c r="K652" s="179" t="n"/>
      <c r="L652" s="179" t="n"/>
    </row>
    <row r="653" ht="79.5" customHeight="1" s="128">
      <c r="A653" s="188" t="n"/>
      <c r="B653" s="189" t="inlineStr">
        <is>
          <t>Year 1</t>
        </is>
      </c>
      <c r="C653" s="189" t="inlineStr">
        <is>
          <t>UCD</t>
        </is>
      </c>
      <c r="D653" s="188" t="n"/>
      <c r="E653" s="177" t="inlineStr">
        <is>
          <t xml:space="preserve">75 placement days minimum; 8 competencies rated; Appendices </t>
        </is>
      </c>
      <c r="F653" s="177" t="inlineStr">
        <is>
          <t>75 placement days minimum; 8 competencies rated; Appendices 1, 4, 5, 6, 7, 8; reflective essay.</t>
        </is>
      </c>
      <c r="G653" s="177" t="inlineStr">
        <is>
          <t>You passed 75 on 06/07/2026 with 78 confirmed plus 6 pending. Outstanding: countersignature, PENDING decisions, 4 Appendix 7 trainee sections.</t>
        </is>
      </c>
      <c r="H653" s="188" t="n"/>
      <c r="I653" s="188" t="n"/>
      <c r="J653" s="188" t="n"/>
      <c r="K653" s="188" t="n"/>
      <c r="L653" s="188" t="n"/>
    </row>
    <row r="654" ht="79.5" customHeight="1" s="128">
      <c r="A654" s="188" t="n"/>
      <c r="B654" s="189" t="inlineStr">
        <is>
          <t>Year 1</t>
        </is>
      </c>
      <c r="C654" s="189" t="inlineStr">
        <is>
          <t>PSI Accreditation</t>
        </is>
      </c>
      <c r="D654" s="188" t="n"/>
      <c r="E654" s="177" t="inlineStr">
        <is>
          <t>Placement contract (3.3.9); 1 hour weekly supervision plus 3</t>
        </is>
      </c>
      <c r="F654" s="177" t="inlineStr">
        <is>
          <t>Placement contract (3.3.9); 1 hour weekly supervision plus 30 min per placement day; observation in BOTH directions; mid-placement review; two review meetings with written feedback.</t>
        </is>
      </c>
      <c r="G654" s="177" t="inlineStr">
        <is>
          <t>Observation of your supervisor is the half trainees skip. Two of your four Appendix 7 forms can be you observing them.</t>
        </is>
      </c>
      <c r="H654" s="188" t="n"/>
      <c r="I654" s="188" t="n"/>
      <c r="J654" s="188" t="n"/>
      <c r="K654" s="188" t="n"/>
      <c r="L654" s="188" t="n"/>
    </row>
    <row r="655" ht="79.5" customHeight="1" s="128">
      <c r="A655" s="190" t="n"/>
      <c r="B655" s="191" t="inlineStr">
        <is>
          <t>Year 1</t>
        </is>
      </c>
      <c r="C655" s="191" t="inlineStr">
        <is>
          <t>PSI settings (3.3.6)</t>
        </is>
      </c>
      <c r="D655" s="190" t="n"/>
      <c r="E655" s="192" t="inlineStr">
        <is>
          <t>Experience must include mainstream primary, post-primary AND</t>
        </is>
      </c>
      <c r="F655" s="192" t="inlineStr">
        <is>
          <t>Experience must include mainstream primary, post-primary AND special education.</t>
        </is>
      </c>
      <c r="G655" s="193" t="inlineStr">
        <is>
          <t>NOT MET. One post-primary day (St Nathy's, 15/04/2026) and no special education. Both are requirements, not preferences.</t>
        </is>
      </c>
      <c r="H655" s="190" t="n"/>
      <c r="I655" s="190" t="n"/>
      <c r="J655" s="190" t="n"/>
      <c r="K655" s="190" t="n"/>
      <c r="L655" s="190" t="n"/>
    </row>
    <row r="656" ht="79.5" customHeight="1" s="128">
      <c r="A656" s="190" t="n"/>
      <c r="B656" s="191" t="inlineStr">
        <is>
          <t>Year 1</t>
        </is>
      </c>
      <c r="C656" s="191" t="inlineStr">
        <is>
          <t>UCD Table 3</t>
        </is>
      </c>
      <c r="D656" s="190" t="n"/>
      <c r="E656" s="192" t="inlineStr">
        <is>
          <t>Two experiences in each of five age bands; seven report cate</t>
        </is>
      </c>
      <c r="F656" s="192" t="inlineStr">
        <is>
          <t>Two experiences in each of five age bands; seven report categories.</t>
        </is>
      </c>
      <c r="G656" s="193" t="inlineStr">
        <is>
          <t>Early Years and Young Adult unevidenced and CANNOT be closed retrospectively — they must be named in the Appendix 1 before a placement starts.</t>
        </is>
      </c>
      <c r="H656" s="190" t="n"/>
      <c r="I656" s="190" t="n"/>
      <c r="J656" s="190" t="n"/>
      <c r="K656" s="190" t="n"/>
      <c r="L656" s="190" t="n"/>
    </row>
    <row r="657" ht="79.5" customHeight="1" s="128">
      <c r="A657" s="188" t="n"/>
      <c r="B657" s="189" t="inlineStr">
        <is>
          <t>Year 2</t>
        </is>
      </c>
      <c r="C657" s="189" t="inlineStr">
        <is>
          <t>PSI Accreditation</t>
        </is>
      </c>
      <c r="D657" s="188" t="n"/>
      <c r="E657" s="177" t="inlineStr">
        <is>
          <t>Cumulative total climbing toward 300 days; each placement in</t>
        </is>
      </c>
      <c r="F657" s="177" t="inlineStr">
        <is>
          <t>Cumulative total climbing toward 300 days; each placement in a psychological service at least 60 days.</t>
        </is>
      </c>
      <c r="G657" s="177" t="inlineStr">
        <is>
          <t>Cavan, Primary Care and Disability placements carry this. Count per placement, not per year.</t>
        </is>
      </c>
      <c r="H657" s="188" t="n"/>
      <c r="I657" s="188" t="n"/>
      <c r="J657" s="188" t="n"/>
      <c r="K657" s="188" t="n"/>
      <c r="L657" s="188" t="n"/>
    </row>
    <row r="658" ht="79.5" customHeight="1" s="128">
      <c r="A658" s="188" t="n"/>
      <c r="B658" s="189" t="inlineStr">
        <is>
          <t>Year 2</t>
        </is>
      </c>
      <c r="C658" s="189" t="inlineStr">
        <is>
          <t>CORU readiness</t>
        </is>
      </c>
      <c r="D658" s="188" t="n"/>
      <c r="E658" s="177" t="inlineStr">
        <is>
          <t>The 102 Standards of Proficiency are the registration standa</t>
        </is>
      </c>
      <c r="F658" s="177" t="inlineStr">
        <is>
          <t>The 102 Standards of Proficiency are the registration standard. Domains 1–4 are generic; Domain 5 (45 standards) is educational-psychology specific.</t>
        </is>
      </c>
      <c r="G658" s="177" t="inlineStr">
        <is>
          <t>9 standards are currently cited by no skill in this workbook — see Part B and filter column G for 'NOT YET CITED'.</t>
        </is>
      </c>
      <c r="H658" s="188" t="n"/>
      <c r="I658" s="188" t="n"/>
      <c r="J658" s="188" t="n"/>
      <c r="K658" s="188" t="n"/>
      <c r="L658" s="188" t="n"/>
    </row>
    <row r="659" ht="79.5" customHeight="1" s="128">
      <c r="A659" s="188" t="n"/>
      <c r="B659" s="189" t="inlineStr">
        <is>
          <t>Year 3</t>
        </is>
      </c>
      <c r="C659" s="189" t="inlineStr">
        <is>
          <t>UCD</t>
        </is>
      </c>
      <c r="D659" s="188" t="n"/>
      <c r="E659" s="177" t="inlineStr">
        <is>
          <t>Funder placement; doctoral thesis; final competency ratings.</t>
        </is>
      </c>
      <c r="F659" s="177" t="inlineStr">
        <is>
          <t>Funder placement; doctoral thesis; final competency ratings.</t>
        </is>
      </c>
      <c r="G659" s="177" t="inlineStr">
        <is>
          <t>Your D2 scoping review feeds this. Practice-based research on placement is the cheapest route to the Research competency.</t>
        </is>
      </c>
      <c r="H659" s="188" t="n"/>
      <c r="I659" s="188" t="n"/>
      <c r="J659" s="188" t="n"/>
      <c r="K659" s="188" t="n"/>
      <c r="L659" s="188" t="n"/>
    </row>
    <row r="660" ht="79.5" customHeight="1" s="128">
      <c r="A660" s="188" t="n"/>
      <c r="B660" s="189" t="inlineStr">
        <is>
          <t>After</t>
        </is>
      </c>
      <c r="C660" s="189" t="inlineStr">
        <is>
          <t>PSI membership</t>
        </is>
      </c>
      <c r="D660" s="188" t="n"/>
      <c r="E660" s="177" t="inlineStr">
        <is>
          <t>Graduate of a PSI-accredited programme. UCD is PSI-accredite</t>
        </is>
      </c>
      <c r="F660" s="177" t="inlineStr">
        <is>
          <t>Graduate of a PSI-accredited programme. UCD is PSI-accredited.</t>
        </is>
      </c>
      <c r="G660" s="177" t="inlineStr">
        <is>
          <t>This is the route that exists now.</t>
        </is>
      </c>
      <c r="H660" s="188" t="n"/>
      <c r="I660" s="188" t="n"/>
      <c r="J660" s="188" t="n"/>
      <c r="K660" s="188" t="n"/>
      <c r="L660" s="188" t="n"/>
    </row>
    <row r="661" ht="79.5" customHeight="1" s="128">
      <c r="A661" s="188" t="n"/>
      <c r="B661" s="189" t="inlineStr">
        <is>
          <t>After</t>
        </is>
      </c>
      <c r="C661" s="189" t="inlineStr">
        <is>
          <t>CORU registration</t>
        </is>
      </c>
      <c r="D661" s="188" t="n"/>
      <c r="E661" s="177" t="inlineStr">
        <is>
          <t>CORU registers Psychologists. The register for the professio</t>
        </is>
      </c>
      <c r="F661" s="177" t="inlineStr">
        <is>
          <t>CORU registers Psychologists. The register for the profession is NOT YET OPEN, and UCD will need separate CORU approval of the programme (PSI Accreditation 2.1.6).</t>
        </is>
      </c>
      <c r="G661" s="177" t="inlineStr">
        <is>
          <t>Two parallel tracks, not a hierarchy. Do not assume PSI accreditation delivers CORU registration automatically — check the position each year.</t>
        </is>
      </c>
      <c r="H661" s="188" t="n"/>
      <c r="I661" s="188" t="n"/>
      <c r="J661" s="188" t="n"/>
      <c r="K661" s="188" t="n"/>
      <c r="L661" s="188" t="n"/>
    </row>
    <row r="663" ht="21.75" customHeight="1" s="128">
      <c r="A663" s="142" t="inlineStr">
        <is>
          <t>PART F</t>
        </is>
      </c>
      <c r="B663" s="142" t="inlineStr">
        <is>
          <t>PAPERS BEHIND THE TOOL CHOICES</t>
        </is>
      </c>
      <c r="C663" s="142" t="n"/>
      <c r="D663" s="142" t="n"/>
      <c r="E663" s="142" t="inlineStr">
        <is>
          <t>Found through Elicit. Click the citation to open.</t>
        </is>
      </c>
      <c r="F663" s="142" t="n"/>
      <c r="G663" s="142" t="n"/>
      <c r="H663" s="142" t="n"/>
      <c r="I663" s="142" t="n"/>
      <c r="J663" s="142" t="n"/>
      <c r="K663" s="142" t="n"/>
      <c r="L663" s="142" t="n"/>
      <c r="M663" s="142" t="n"/>
      <c r="N663" s="142" t="n"/>
      <c r="O663" s="142" t="n"/>
      <c r="P663" s="142" t="n"/>
      <c r="Q663" s="142" t="n"/>
      <c r="R663" s="142" t="n"/>
      <c r="S663" s="142" t="n"/>
      <c r="T663" s="142" t="n"/>
      <c r="U663" s="142" t="n"/>
      <c r="V663" s="142" t="n"/>
      <c r="W663" s="142" t="n"/>
      <c r="X663" s="142" t="n"/>
      <c r="Y663" s="142" t="n"/>
      <c r="Z663" s="142" t="n"/>
      <c r="AA663" s="142" t="n"/>
      <c r="AB663" s="142" t="n"/>
      <c r="AC663" s="142" t="n"/>
      <c r="AD663" s="142" t="n"/>
      <c r="AE663" s="142" t="n"/>
      <c r="AF663" s="142" t="n"/>
      <c r="AG663" s="142" t="n"/>
      <c r="AH663" s="142" t="n"/>
      <c r="AI663" s="142" t="n"/>
      <c r="AJ663" s="142" t="n"/>
      <c r="AK663" s="142" t="n"/>
    </row>
    <row r="664" ht="60" customHeight="1" s="128">
      <c r="D664" s="175" t="inlineStr">
        <is>
          <t>Paper</t>
        </is>
      </c>
      <c r="E664" s="194" t="inlineStr">
        <is>
          <t>Burgess, A., Luke, C., Jackman, M., et al. (2024). Clinical utility and psychometric properties of tools for early detection of developmental concerns and disability in young children: A scoping review. Developmental Medicine &amp; Child Neurology, 67, 286–.</t>
        </is>
      </c>
      <c r="F664" s="175" t="inlineStr">
        <is>
          <t>Early Years tool selection — what the screening evidence actually supports.</t>
        </is>
      </c>
    </row>
    <row r="665" ht="60" customHeight="1" s="128">
      <c r="D665" s="175" t="inlineStr">
        <is>
          <t>Paper</t>
        </is>
      </c>
      <c r="E665" s="194" t="inlineStr">
        <is>
          <t>Velikonja, T., Edbrooke-Childs, J., Calderón, A., Sleed, M., Brown, A., &amp; Deighton, J. (2017). The psychometric properties of the Ages &amp; Stages Questionnaires for ages 2–2.5: a systematic review. Child: Care, Health and Development, 43(1).</t>
        </is>
      </c>
      <c r="F665" s="175" t="inlineStr">
        <is>
          <t>ASQ-3 — positive specificity in 19 of 19 instances reported, but evidence varies by language version and context.</t>
        </is>
      </c>
    </row>
    <row r="666" ht="60" customHeight="1" s="128">
      <c r="D666" s="175" t="inlineStr">
        <is>
          <t>Paper</t>
        </is>
      </c>
      <c r="E666" s="194" t="inlineStr">
        <is>
          <t>Tuerk, C., Saha, T., Bouchard, M., &amp; Booij, L. (2023). Computerized cognitive test batteries for children and adolescents: A scoping review. Archives of Clinical Neuropsychology.</t>
        </is>
      </c>
      <c r="F666" s="175" t="inlineStr">
        <is>
          <t>Only 13% of studies reported psychometric properties — read before adopting any computerised battery.</t>
        </is>
      </c>
    </row>
    <row r="667" ht="60" customHeight="1" s="128">
      <c r="D667" s="175" t="inlineStr">
        <is>
          <t>Paper</t>
        </is>
      </c>
      <c r="E667" s="194" t="inlineStr">
        <is>
          <t>Bliznashka, L., Hentschel, E., Ali, N. B., et al. (2025). Psychometric properties of early childhood development assessment tools in low- and middle-income countries: a systematic review. BMJ Open.</t>
        </is>
      </c>
      <c r="F667" s="175" t="inlineStr">
        <is>
          <t>Measurement invariance was reported in only 9% of articles — directly relevant to assessing children from other cultural and linguistic backgrounds.</t>
        </is>
      </c>
    </row>
    <row r="668" ht="60" customHeight="1" s="128">
      <c r="D668" s="175" t="inlineStr">
        <is>
          <t>Paper</t>
        </is>
      </c>
      <c r="E668" s="194" t="inlineStr">
        <is>
          <t>Myers, S. G., Solem, S., &amp; Wells, A. (2019). The Metacognitions Questionnaire and its derivatives in children and adolescents: A systematic review of psychometric properties. Frontiers in Psychology, 10, 1871.</t>
        </is>
      </c>
      <c r="F668" s="175" t="inlineStr">
        <is>
          <t>Adolescent self-report measures — which version is defensible at which age.</t>
        </is>
      </c>
    </row>
    <row r="670" ht="21.75" customHeight="1" s="128">
      <c r="A670" s="142" t="inlineStr">
        <is>
          <t>PART G</t>
        </is>
      </c>
      <c r="B670" s="142" t="inlineStr">
        <is>
          <t>TOOL BY TOOL — TAUGHT</t>
        </is>
      </c>
      <c r="C670" s="142" t="n"/>
      <c r="D670" s="142" t="n"/>
      <c r="E670" s="142" t="inlineStr">
        <is>
          <t>Before you open the kit · administering · scoring · interpreting · the errors · what to read. Written for the instruments you have actually used.</t>
        </is>
      </c>
      <c r="F670" s="142" t="n"/>
      <c r="G670" s="142" t="n"/>
      <c r="H670" s="142" t="n"/>
      <c r="I670" s="142" t="n"/>
      <c r="J670" s="142" t="n"/>
      <c r="K670" s="142" t="n"/>
      <c r="L670" s="142" t="n"/>
      <c r="M670" s="142" t="n"/>
      <c r="N670" s="142" t="n"/>
      <c r="O670" s="142" t="n"/>
      <c r="P670" s="142" t="n"/>
      <c r="Q670" s="142" t="n"/>
      <c r="R670" s="142" t="n"/>
      <c r="S670" s="142" t="n"/>
      <c r="T670" s="142" t="n"/>
      <c r="U670" s="142" t="n"/>
      <c r="V670" s="142" t="n"/>
      <c r="W670" s="142" t="n"/>
      <c r="X670" s="142" t="n"/>
      <c r="Y670" s="142" t="n"/>
      <c r="Z670" s="142" t="n"/>
      <c r="AA670" s="142" t="n"/>
      <c r="AB670" s="142" t="n"/>
      <c r="AC670" s="142" t="n"/>
      <c r="AD670" s="142" t="n"/>
      <c r="AE670" s="142" t="n"/>
      <c r="AF670" s="142" t="n"/>
      <c r="AG670" s="142" t="n"/>
      <c r="AH670" s="142" t="n"/>
      <c r="AI670" s="142" t="n"/>
      <c r="AJ670" s="142" t="n"/>
      <c r="AK670" s="142" t="n"/>
    </row>
    <row r="671" ht="15" customHeight="1" s="128">
      <c r="A671" s="147" t="inlineStr">
        <is>
          <t>TOOL</t>
        </is>
      </c>
      <c r="B671" s="147" t="inlineStr">
        <is>
          <t>WIAT-III UK</t>
        </is>
      </c>
      <c r="C671" s="147" t="n"/>
      <c r="D671" s="147" t="n"/>
      <c r="E671" s="147" t="inlineStr">
        <is>
          <t>5 teaching sections</t>
        </is>
      </c>
      <c r="F671" s="147" t="n"/>
      <c r="G671" s="147" t="n"/>
      <c r="H671" s="147" t="n"/>
      <c r="I671" s="147" t="n"/>
      <c r="J671" s="147" t="n"/>
      <c r="K671" s="147" t="n"/>
      <c r="L671" s="147" t="n"/>
    </row>
    <row r="672" outlineLevel="2" ht="150" customHeight="1" s="128">
      <c r="A672" s="188" t="n"/>
      <c r="B672" s="139" t="inlineStr">
        <is>
          <t>WIAT-III UK</t>
        </is>
      </c>
      <c r="C672" s="188" t="n"/>
      <c r="D672" s="188" t="inlineStr">
        <is>
          <t>1 · Before you open the kit</t>
        </is>
      </c>
      <c r="E672" s="189" t="inlineStr">
        <is>
          <t>4 points</t>
        </is>
      </c>
      <c r="F672" s="188" t="n"/>
      <c r="G672" s="188" t="n"/>
      <c r="H672" s="188" t="n"/>
      <c r="I672" s="188" t="n"/>
      <c r="J672" s="188" t="n"/>
      <c r="K672" s="188" t="n"/>
      <c r="L672" s="188" t="n"/>
      <c r="M672" s="165" t="inlineStr">
        <is>
          <t>Know which subtests you need before you open the kit. WIAT-III is modular — administering all of it wastes two hours and tires the child. If the referral is reading, you need Word Reading, Pseudoword Decoding, Reading Comprehension and Oral Reading Fluency. Spelling and Written Expression only if writing is in question.</t>
        </is>
      </c>
      <c r="N672" s="165" t="inlineStr">
        <is>
          <t>Check the age range and the norms your service holds. WIAT-III UK runs 4:0–25:11, but UK and US norms differ and the teacher-report form is separate. Confirm which edition is in the cupboard.</t>
        </is>
      </c>
      <c r="O672" s="165" t="inlineStr">
        <is>
          <t>Have the WISC-V (or equivalent) result in front of you if you have one. WIAT-III is only meaningful against an expectation, and the expectation comes from the cognitive profile.</t>
        </is>
      </c>
      <c r="P672" s="165" t="inlineStr">
        <is>
          <t>Rule out vision and hearing first. A child with uncorrected refractive error or a history of glue ear will produce a literacy profile you will misinterpret.</t>
        </is>
      </c>
    </row>
    <row r="673" outlineLevel="2" ht="150" customHeight="1" s="128">
      <c r="A673" s="188" t="n"/>
      <c r="B673" s="139" t="inlineStr">
        <is>
          <t>WIAT-III UK</t>
        </is>
      </c>
      <c r="C673" s="188" t="n"/>
      <c r="D673" s="188" t="inlineStr">
        <is>
          <t>2 · Administering it</t>
        </is>
      </c>
      <c r="E673" s="189" t="inlineStr">
        <is>
          <t>4 points</t>
        </is>
      </c>
      <c r="F673" s="188" t="n"/>
      <c r="G673" s="188" t="n"/>
      <c r="H673" s="188" t="n"/>
      <c r="I673" s="188" t="n"/>
      <c r="J673" s="188" t="n"/>
      <c r="K673" s="188" t="n"/>
      <c r="L673" s="188" t="n"/>
      <c r="M673" s="165" t="inlineStr">
        <is>
          <t>Start points are age-based, reversal rules are subtest-specific. Read the rule for each subtest in the record form before you begin, not during.</t>
        </is>
      </c>
      <c r="N673" s="165" t="inlineStr">
        <is>
          <t>Oral Reading Fluency requires you to mark errors live while timing. Practise on a colleague twice before a real child. You cannot reconstruct it afterwards.</t>
        </is>
      </c>
      <c r="O673" s="165" t="inlineStr">
        <is>
          <t>Written Expression is the subtest trainees most often administer incorrectly — the timing and the prompt wording are exact. Use the script.</t>
        </is>
      </c>
      <c r="P673" s="165" t="inlineStr">
        <is>
          <t>Record behaviour as you go: self-corrections, finger-tracking, subvocalising, where fatigue started. These go in the report and they are often more useful than the score.</t>
        </is>
      </c>
    </row>
    <row r="674" outlineLevel="2" ht="129.75" customHeight="1" s="128">
      <c r="A674" s="188" t="n"/>
      <c r="B674" s="139" t="inlineStr">
        <is>
          <t>WIAT-III UK</t>
        </is>
      </c>
      <c r="C674" s="188" t="n"/>
      <c r="D674" s="188" t="inlineStr">
        <is>
          <t>3 · Scoring it</t>
        </is>
      </c>
      <c r="E674" s="189" t="inlineStr">
        <is>
          <t>4 points</t>
        </is>
      </c>
      <c r="F674" s="188" t="n"/>
      <c r="G674" s="188" t="n"/>
      <c r="H674" s="188" t="n"/>
      <c r="I674" s="188" t="n"/>
      <c r="J674" s="188" t="n"/>
      <c r="K674" s="188" t="n"/>
      <c r="L674" s="188" t="n"/>
      <c r="M674" s="165" t="inlineStr">
        <is>
          <t>Score the same day. Oral Reading Fluency and Written Expression in particular become unscoreable from memory.</t>
        </is>
      </c>
      <c r="N674" s="165" t="inlineStr">
        <is>
          <t>Use the scoring criteria for Written Expression rather than your impression — it has a rubric and trainee scoring drifts generous.</t>
        </is>
      </c>
      <c r="O674" s="165" t="inlineStr">
        <is>
          <t>Check every raw-to-standard conversion twice. A transcription error in a report that goes to a SENO is the kind of mistake that is hard to recover from.</t>
        </is>
      </c>
      <c r="P674" s="165" t="inlineStr">
        <is>
          <t>Calculate the ability–achievement discrepancy if your service uses one, but know its limits — it under-identifies children with low average cognitive scores.</t>
        </is>
      </c>
    </row>
    <row r="675" outlineLevel="2" ht="150" customHeight="1" s="128">
      <c r="A675" s="177" t="n"/>
      <c r="B675" s="165" t="inlineStr">
        <is>
          <t>WIAT-III UK</t>
        </is>
      </c>
      <c r="C675" s="177" t="n"/>
      <c r="D675" s="177" t="inlineStr">
        <is>
          <t>4 · Interpreting it</t>
        </is>
      </c>
      <c r="E675" s="182" t="inlineStr">
        <is>
          <t>4 points</t>
        </is>
      </c>
      <c r="F675" s="177" t="n"/>
      <c r="G675" s="177" t="n"/>
      <c r="H675" s="177" t="n"/>
      <c r="I675" s="177" t="n"/>
      <c r="J675" s="177" t="n"/>
      <c r="K675" s="177" t="n"/>
      <c r="L675" s="177" t="n"/>
      <c r="M675" s="165" t="inlineStr">
        <is>
          <t>Compare attainment against the cognitive expectation, not against the class. A standard score of 85 means something different for a child with a GAI of 118 than for a child with a GAI of 85.</t>
        </is>
      </c>
      <c r="N675" s="165" t="inlineStr">
        <is>
          <t>Separate the components. Accurate but slow is a fluency problem. Fluent but poor comprehension is a language or vocabulary problem. Inaccurate decoding is phonological. These lead to different recommendations.</t>
        </is>
      </c>
      <c r="O675" s="165" t="inlineStr">
        <is>
          <t>Always ask what has been taught. Two years of structured phonics and still at the 4th percentile is a different finding from no systematic phonics instruction at all.</t>
        </is>
      </c>
      <c r="P675" s="165" t="inlineStr">
        <is>
          <t>Write the limitations sentence: what the WIAT-III could not tell you about this child.</t>
        </is>
      </c>
    </row>
    <row r="676" outlineLevel="2" ht="109.5" customHeight="1" s="128">
      <c r="A676" s="193" t="n"/>
      <c r="B676" s="166" t="inlineStr">
        <is>
          <t>WIAT-III UK</t>
        </is>
      </c>
      <c r="C676" s="193" t="n"/>
      <c r="D676" s="193" t="inlineStr">
        <is>
          <t>5 · The errors that cost marks</t>
        </is>
      </c>
      <c r="E676" s="195" t="inlineStr">
        <is>
          <t>5 points</t>
        </is>
      </c>
      <c r="F676" s="193" t="n"/>
      <c r="G676" s="193" t="n"/>
      <c r="H676" s="193" t="n"/>
      <c r="I676" s="193" t="n"/>
      <c r="J676" s="193" t="n"/>
      <c r="K676" s="193" t="n"/>
      <c r="L676" s="193" t="n"/>
      <c r="M676" s="166" t="inlineStr">
        <is>
          <t>Administering the whole battery when four subtests would answer the question.</t>
        </is>
      </c>
      <c r="N676" s="166" t="inlineStr">
        <is>
          <t>Scoring Oral Reading Fluency after the session.</t>
        </is>
      </c>
      <c r="O676" s="166" t="inlineStr">
        <is>
          <t>Interpreting attainment without a cognitive comparison.</t>
        </is>
      </c>
      <c r="P676" s="166" t="inlineStr">
        <is>
          <t>Concluding disorder without establishing instructional history.</t>
        </is>
      </c>
      <c r="Q676" s="166" t="inlineStr">
        <is>
          <t>Reporting a composite that masks a large split between its subtests.</t>
        </is>
      </c>
    </row>
    <row r="677" outlineLevel="2" ht="99.75" customHeight="1" s="128">
      <c r="A677" s="188" t="n"/>
      <c r="B677" s="139" t="inlineStr">
        <is>
          <t>WIAT-III UK</t>
        </is>
      </c>
      <c r="C677" s="188" t="n"/>
      <c r="D677" s="188" t="inlineStr">
        <is>
          <t>6 · What to read</t>
        </is>
      </c>
      <c r="E677" s="189" t="inlineStr">
        <is>
          <t>3 readings</t>
        </is>
      </c>
      <c r="F677" s="188" t="n"/>
      <c r="G677" s="188" t="n"/>
      <c r="H677" s="188" t="n"/>
      <c r="I677" s="188" t="n"/>
      <c r="J677" s="188" t="n"/>
      <c r="K677" s="188" t="n"/>
      <c r="L677" s="188" t="n"/>
      <c r="M677" s="165" t="inlineStr">
        <is>
          <t>WIAT-III UK administration and scoring manual — the subtest-by-subtest rules.</t>
        </is>
      </c>
      <c r="N677" s="196" t="inlineStr">
        <is>
          <t>Snowling, M. J., &amp; Hulme, C. (2011). Evidence-based interventions for reading and language difficulties. BJEP, 81(1).
→ click to open</t>
        </is>
      </c>
      <c r="O677" s="165" t="inlineStr">
        <is>
          <t>Sattler, J. M. (2018). Assessment of children: Cognitive foundations — the achievement chapters.</t>
        </is>
      </c>
    </row>
    <row r="678" ht="15" customHeight="1" s="128">
      <c r="A678" s="147" t="inlineStr">
        <is>
          <t>TOOL</t>
        </is>
      </c>
      <c r="B678" s="147" t="inlineStr">
        <is>
          <t>SRS-2</t>
        </is>
      </c>
      <c r="C678" s="147" t="n"/>
      <c r="D678" s="147" t="n"/>
      <c r="E678" s="147" t="inlineStr">
        <is>
          <t>5 teaching sections</t>
        </is>
      </c>
      <c r="F678" s="147" t="n"/>
      <c r="G678" s="147" t="n"/>
      <c r="H678" s="147" t="n"/>
      <c r="I678" s="147" t="n"/>
      <c r="J678" s="147" t="n"/>
      <c r="K678" s="147" t="n"/>
      <c r="L678" s="147" t="n"/>
    </row>
    <row r="679" outlineLevel="2" ht="150" customHeight="1" s="128">
      <c r="A679" s="188" t="n"/>
      <c r="B679" s="139" t="inlineStr">
        <is>
          <t>SRS-2</t>
        </is>
      </c>
      <c r="C679" s="188" t="n"/>
      <c r="D679" s="188" t="inlineStr">
        <is>
          <t>1 · Before you open the kit</t>
        </is>
      </c>
      <c r="E679" s="189" t="inlineStr">
        <is>
          <t>4 points</t>
        </is>
      </c>
      <c r="F679" s="188" t="n"/>
      <c r="G679" s="188" t="n"/>
      <c r="H679" s="188" t="n"/>
      <c r="I679" s="188" t="n"/>
      <c r="J679" s="188" t="n"/>
      <c r="K679" s="188" t="n"/>
      <c r="L679" s="188" t="n"/>
      <c r="M679" s="165" t="inlineStr">
        <is>
          <t>Read the manual chapter on interpretation before you hand out a single form. This is your named development area and the SRS-2 is the most commonly misused screener in school practice.</t>
        </is>
      </c>
      <c r="N679" s="165" t="inlineStr">
        <is>
          <t>Know which form you need: preschool (2:6–4:5), school-age (4–18), adult self-report and adult informant are all separate. Using the wrong form invalidates the T-score.</t>
        </is>
      </c>
      <c r="O679" s="165" t="inlineStr">
        <is>
          <t>Get both a parent and a teacher form. Rater disagreement on the SRS-2 is common and the disagreement is data — it usually means the demands differ between settings.</t>
        </is>
      </c>
      <c r="P679" s="165" t="inlineStr">
        <is>
          <t>Be clear with yourself about what it is for. It is a screening and severity measure, not a diagnostic instrument, and it does not distinguish autism from anxiety, ADHD or language disorder.</t>
        </is>
      </c>
    </row>
    <row r="680" outlineLevel="2" ht="150" customHeight="1" s="128">
      <c r="A680" s="188" t="n"/>
      <c r="B680" s="139" t="inlineStr">
        <is>
          <t>SRS-2</t>
        </is>
      </c>
      <c r="C680" s="188" t="n"/>
      <c r="D680" s="188" t="inlineStr">
        <is>
          <t>2 · Administering it</t>
        </is>
      </c>
      <c r="E680" s="189" t="inlineStr">
        <is>
          <t>3 points</t>
        </is>
      </c>
      <c r="F680" s="188" t="n"/>
      <c r="G680" s="188" t="n"/>
      <c r="H680" s="188" t="n"/>
      <c r="I680" s="188" t="n"/>
      <c r="J680" s="188" t="n"/>
      <c r="K680" s="188" t="n"/>
      <c r="L680" s="188" t="n"/>
      <c r="M680" s="165" t="inlineStr">
        <is>
          <t>It is a rating scale, so 'administration' is really instruction. Tell the rater the time frame, that they should rate what they see rather than what they believe causes it, and that there are no right answers.</t>
        </is>
      </c>
      <c r="N680" s="165" t="inlineStr">
        <is>
          <t>Check for omitted items before the rater leaves. More than a small number of omissions makes the T-score unusable.</t>
        </is>
      </c>
      <c r="O680" s="165" t="inlineStr">
        <is>
          <t>For teacher forms, make sure the rater has known the child long enough. A teacher six weeks into the year is rating a stranger.</t>
        </is>
      </c>
    </row>
    <row r="681" outlineLevel="2" ht="129.75" customHeight="1" s="128">
      <c r="A681" s="188" t="n"/>
      <c r="B681" s="139" t="inlineStr">
        <is>
          <t>SRS-2</t>
        </is>
      </c>
      <c r="C681" s="188" t="n"/>
      <c r="D681" s="188" t="inlineStr">
        <is>
          <t>3 · Scoring it</t>
        </is>
      </c>
      <c r="E681" s="189" t="inlineStr">
        <is>
          <t>3 points</t>
        </is>
      </c>
      <c r="F681" s="188" t="n"/>
      <c r="G681" s="188" t="n"/>
      <c r="H681" s="188" t="n"/>
      <c r="I681" s="188" t="n"/>
      <c r="J681" s="188" t="n"/>
      <c r="K681" s="188" t="n"/>
      <c r="L681" s="188" t="n"/>
      <c r="M681" s="165" t="inlineStr">
        <is>
          <t>Total T-score plus five treatment subscales and the two DSM-5 compatible subscales. Know which your service reports.</t>
        </is>
      </c>
      <c r="N681" s="165" t="inlineStr">
        <is>
          <t>T-scores: 59 and below in the normal range; 60–65 mild; 66–75 moderate; 76 and above severe. Check these against your manual's own bands — do not quote them from memory in a report.</t>
        </is>
      </c>
      <c r="O681" s="165" t="inlineStr">
        <is>
          <t>Score both raters separately and look at the profile shape, not only the total.</t>
        </is>
      </c>
    </row>
    <row r="682" outlineLevel="2" ht="150" customHeight="1" s="128">
      <c r="A682" s="177" t="n"/>
      <c r="B682" s="165" t="inlineStr">
        <is>
          <t>SRS-2</t>
        </is>
      </c>
      <c r="C682" s="177" t="n"/>
      <c r="D682" s="177" t="inlineStr">
        <is>
          <t>4 · Interpreting it</t>
        </is>
      </c>
      <c r="E682" s="182" t="inlineStr">
        <is>
          <t>4 points</t>
        </is>
      </c>
      <c r="F682" s="177" t="n"/>
      <c r="G682" s="177" t="n"/>
      <c r="H682" s="177" t="n"/>
      <c r="I682" s="177" t="n"/>
      <c r="J682" s="177" t="n"/>
      <c r="K682" s="177" t="n"/>
      <c r="L682" s="177" t="n"/>
      <c r="M682" s="165" t="inlineStr">
        <is>
          <t>An elevated total is a reason to refer, not a conclusion. Say so in the report in those words.</t>
        </is>
      </c>
      <c r="N682" s="165" t="inlineStr">
        <is>
          <t>Look at which subscales drive the elevation. Social motivation elevated with social cognition intact looks different from the reverse.</t>
        </is>
      </c>
      <c r="O682" s="165" t="inlineStr">
        <is>
          <t>Consider the alternatives explicitly in the report: anxiety, language disorder, ADHD and trauma all elevate SRS-2 scores. Naming what you ruled out and why is the grade-5 move.</t>
        </is>
      </c>
      <c r="P682" s="165" t="inlineStr">
        <is>
          <t>Be alert to under-detection in girls and in verbally able children who mask. A normal-range score in a child whose teacher is worried does not close the question.</t>
        </is>
      </c>
    </row>
    <row r="683" outlineLevel="2" ht="109.5" customHeight="1" s="128">
      <c r="A683" s="193" t="n"/>
      <c r="B683" s="166" t="inlineStr">
        <is>
          <t>SRS-2</t>
        </is>
      </c>
      <c r="C683" s="193" t="n"/>
      <c r="D683" s="193" t="inlineStr">
        <is>
          <t>5 · The errors that cost marks</t>
        </is>
      </c>
      <c r="E683" s="195" t="inlineStr">
        <is>
          <t>5 points</t>
        </is>
      </c>
      <c r="F683" s="193" t="n"/>
      <c r="G683" s="193" t="n"/>
      <c r="H683" s="193" t="n"/>
      <c r="I683" s="193" t="n"/>
      <c r="J683" s="193" t="n"/>
      <c r="K683" s="193" t="n"/>
      <c r="L683" s="193" t="n"/>
      <c r="M683" s="166" t="inlineStr">
        <is>
          <t>Using it as though it were diagnostic.</t>
        </is>
      </c>
      <c r="N683" s="166" t="inlineStr">
        <is>
          <t>Using the wrong age form.</t>
        </is>
      </c>
      <c r="O683" s="166" t="inlineStr">
        <is>
          <t>Reporting a total T-score without the subscale profile.</t>
        </is>
      </c>
      <c r="P683" s="166" t="inlineStr">
        <is>
          <t>Not considering anxiety or language disorder as alternative explanations.</t>
        </is>
      </c>
      <c r="Q683" s="166" t="inlineStr">
        <is>
          <t>Treating a normal score as a rule-out in a masking child.</t>
        </is>
      </c>
    </row>
    <row r="684" outlineLevel="2" ht="99.75" customHeight="1" s="128">
      <c r="A684" s="188" t="n"/>
      <c r="B684" s="139" t="inlineStr">
        <is>
          <t>SRS-2</t>
        </is>
      </c>
      <c r="C684" s="188" t="n"/>
      <c r="D684" s="188" t="inlineStr">
        <is>
          <t>6 · What to read</t>
        </is>
      </c>
      <c r="E684" s="189" t="inlineStr">
        <is>
          <t>3 readings</t>
        </is>
      </c>
      <c r="F684" s="188" t="n"/>
      <c r="G684" s="188" t="n"/>
      <c r="H684" s="188" t="n"/>
      <c r="I684" s="188" t="n"/>
      <c r="J684" s="188" t="n"/>
      <c r="K684" s="188" t="n"/>
      <c r="L684" s="188" t="n"/>
      <c r="M684" s="165" t="inlineStr">
        <is>
          <t>SRS-2 manual — Constantino &amp; Gruber. The interpretation chapter specifically.</t>
        </is>
      </c>
      <c r="N684" s="196" t="inlineStr">
        <is>
          <t>Myers, S. G., Solem, S., &amp; Wells, A. (2019). Systematic review of psychometric properties in children and adolescents. Frontiers in Psychology, 10, 1871.
→ click to open</t>
        </is>
      </c>
      <c r="O684" s="165" t="inlineStr">
        <is>
          <t>Frederickson, N., &amp; Cline, T. (2009). Special educational needs, inclusion and diversity — on screening and identification.</t>
        </is>
      </c>
    </row>
    <row r="685" ht="15" customHeight="1" s="128">
      <c r="A685" s="147" t="inlineStr">
        <is>
          <t>TOOL</t>
        </is>
      </c>
      <c r="B685" s="147" t="inlineStr">
        <is>
          <t>DASH</t>
        </is>
      </c>
      <c r="C685" s="147" t="n"/>
      <c r="D685" s="147" t="n"/>
      <c r="E685" s="147" t="inlineStr">
        <is>
          <t>5 teaching sections</t>
        </is>
      </c>
      <c r="F685" s="147" t="n"/>
      <c r="G685" s="147" t="n"/>
      <c r="H685" s="147" t="n"/>
      <c r="I685" s="147" t="n"/>
      <c r="J685" s="147" t="n"/>
      <c r="K685" s="147" t="n"/>
      <c r="L685" s="147" t="n"/>
    </row>
    <row r="686" outlineLevel="2" ht="150" customHeight="1" s="128">
      <c r="A686" s="188" t="n"/>
      <c r="B686" s="139" t="inlineStr">
        <is>
          <t>DASH</t>
        </is>
      </c>
      <c r="C686" s="188" t="n"/>
      <c r="D686" s="188" t="inlineStr">
        <is>
          <t>1 · Before you open the kit</t>
        </is>
      </c>
      <c r="E686" s="189" t="inlineStr">
        <is>
          <t>3 points</t>
        </is>
      </c>
      <c r="F686" s="188" t="n"/>
      <c r="G686" s="188" t="n"/>
      <c r="H686" s="188" t="n"/>
      <c r="I686" s="188" t="n"/>
      <c r="J686" s="188" t="n"/>
      <c r="K686" s="188" t="n"/>
      <c r="L686" s="188" t="n"/>
      <c r="M686" s="165" t="inlineStr">
        <is>
          <t>DASH covers 9:0–16:11; DASH-17+ covers 17:0–25:0. Check the date of birth before you take it off the shelf.</t>
        </is>
      </c>
      <c r="N686" s="165" t="inlineStr">
        <is>
          <t>Know what question you are answering. DASH measures handwriting speed. If the question is legibility, or whether the difficulty is motor versus orthographic, DASH alone will not answer it.</t>
        </is>
      </c>
      <c r="O686" s="165" t="inlineStr">
        <is>
          <t>Have a pen the child is comfortable with and a stable writing surface. A wobbly table changes the result.</t>
        </is>
      </c>
    </row>
    <row r="687" outlineLevel="2" ht="150" customHeight="1" s="128">
      <c r="A687" s="188" t="n"/>
      <c r="B687" s="139" t="inlineStr">
        <is>
          <t>DASH</t>
        </is>
      </c>
      <c r="C687" s="188" t="n"/>
      <c r="D687" s="188" t="inlineStr">
        <is>
          <t>2 · Administering it</t>
        </is>
      </c>
      <c r="E687" s="189" t="inlineStr">
        <is>
          <t>3 points</t>
        </is>
      </c>
      <c r="F687" s="188" t="n"/>
      <c r="G687" s="188" t="n"/>
      <c r="H687" s="188" t="n"/>
      <c r="I687" s="188" t="n"/>
      <c r="J687" s="188" t="n"/>
      <c r="K687" s="188" t="n"/>
      <c r="L687" s="188" t="n"/>
      <c r="M687" s="165" t="inlineStr">
        <is>
          <t>Five tasks: Copy Best, Copy Fast, Alphabet Writing, Graphic Speed and Free Writing. Each is timed exactly. Use a stopwatch, not a phone you might touch.</t>
        </is>
      </c>
      <c r="N687" s="165" t="inlineStr">
        <is>
          <t>The instruction wording matters — Copy Best and Copy Fast differ only in instruction, and that contrast is the whole point of the pair.</t>
        </is>
      </c>
      <c r="O687" s="165" t="inlineStr">
        <is>
          <t>Watch grip, posture, pressure and pauses. Note where in the Free Writing task output drops off.</t>
        </is>
      </c>
    </row>
    <row r="688" outlineLevel="2" ht="129.75" customHeight="1" s="128">
      <c r="A688" s="188" t="n"/>
      <c r="B688" s="139" t="inlineStr">
        <is>
          <t>DASH</t>
        </is>
      </c>
      <c r="C688" s="188" t="n"/>
      <c r="D688" s="188" t="inlineStr">
        <is>
          <t>3 · Scoring it</t>
        </is>
      </c>
      <c r="E688" s="189" t="inlineStr">
        <is>
          <t>2 points</t>
        </is>
      </c>
      <c r="F688" s="188" t="n"/>
      <c r="G688" s="188" t="n"/>
      <c r="H688" s="188" t="n"/>
      <c r="I688" s="188" t="n"/>
      <c r="J688" s="188" t="n"/>
      <c r="K688" s="188" t="n"/>
      <c r="L688" s="188" t="n"/>
      <c r="M688" s="165" t="inlineStr">
        <is>
          <t>Words per minute for the writing tasks, converted to scaled scores by age.</t>
        </is>
      </c>
      <c r="N688" s="165" t="inlineStr">
        <is>
          <t>The Copy Best versus Copy Fast contrast tells you whether the child can speed up at a cost to quality, or cannot speed up at all. These lead to different recommendations.</t>
        </is>
      </c>
    </row>
    <row r="689" outlineLevel="2" ht="150" customHeight="1" s="128">
      <c r="A689" s="177" t="n"/>
      <c r="B689" s="165" t="inlineStr">
        <is>
          <t>DASH</t>
        </is>
      </c>
      <c r="C689" s="177" t="n"/>
      <c r="D689" s="177" t="inlineStr">
        <is>
          <t>4 · Interpreting it</t>
        </is>
      </c>
      <c r="E689" s="182" t="inlineStr">
        <is>
          <t>4 points</t>
        </is>
      </c>
      <c r="F689" s="177" t="n"/>
      <c r="G689" s="177" t="n"/>
      <c r="H689" s="177" t="n"/>
      <c r="I689" s="177" t="n"/>
      <c r="J689" s="177" t="n"/>
      <c r="K689" s="177" t="n"/>
      <c r="L689" s="177" t="n"/>
      <c r="M689" s="165" t="inlineStr">
        <is>
          <t>Slow handwriting is a barrier to demonstrating knowledge, not a measure of knowledge. Say that plainly in the report.</t>
        </is>
      </c>
      <c r="N689" s="165" t="inlineStr">
        <is>
          <t>For RACE evidence, DASH supports an application but does not constitute one — check the current State Examinations Commission criteria.</t>
        </is>
      </c>
      <c r="O689" s="165" t="inlineStr">
        <is>
          <t>If the profile suggests a motor basis, refer to OT. If it suggests orthographic or spelling load, that is a literacy recommendation. Say which you think it is and why.</t>
        </is>
      </c>
      <c r="P689" s="165" t="inlineStr">
        <is>
          <t>Trial a word processor and report what happened. Evidence of a trial is worth more than a score.</t>
        </is>
      </c>
    </row>
    <row r="690" outlineLevel="2" ht="109.5" customHeight="1" s="128">
      <c r="A690" s="193" t="n"/>
      <c r="B690" s="166" t="inlineStr">
        <is>
          <t>DASH</t>
        </is>
      </c>
      <c r="C690" s="193" t="n"/>
      <c r="D690" s="193" t="inlineStr">
        <is>
          <t>5 · The errors that cost marks</t>
        </is>
      </c>
      <c r="E690" s="195" t="inlineStr">
        <is>
          <t>5 points</t>
        </is>
      </c>
      <c r="F690" s="193" t="n"/>
      <c r="G690" s="193" t="n"/>
      <c r="H690" s="193" t="n"/>
      <c r="I690" s="193" t="n"/>
      <c r="J690" s="193" t="n"/>
      <c r="K690" s="193" t="n"/>
      <c r="L690" s="193" t="n"/>
      <c r="M690" s="166" t="inlineStr">
        <is>
          <t>Using DASH outside its age range.</t>
        </is>
      </c>
      <c r="N690" s="166" t="inlineStr">
        <is>
          <t>Reporting speed without the Copy Best / Copy Fast contrast.</t>
        </is>
      </c>
      <c r="O690" s="166" t="inlineStr">
        <is>
          <t>Concluding a motor cause without OT input.</t>
        </is>
      </c>
      <c r="P690" s="166" t="inlineStr">
        <is>
          <t>Promising exam accommodations on the basis of a DASH score alone.</t>
        </is>
      </c>
      <c r="Q690" s="166" t="inlineStr">
        <is>
          <t>Not trialling assistive technology before recommending a scribe.</t>
        </is>
      </c>
    </row>
    <row r="691" outlineLevel="2" ht="99.75" customHeight="1" s="128">
      <c r="A691" s="188" t="n"/>
      <c r="B691" s="139" t="inlineStr">
        <is>
          <t>DASH</t>
        </is>
      </c>
      <c r="C691" s="188" t="n"/>
      <c r="D691" s="188" t="inlineStr">
        <is>
          <t>6 · What to read</t>
        </is>
      </c>
      <c r="E691" s="189" t="inlineStr">
        <is>
          <t>3 readings</t>
        </is>
      </c>
      <c r="F691" s="188" t="n"/>
      <c r="G691" s="188" t="n"/>
      <c r="H691" s="188" t="n"/>
      <c r="I691" s="188" t="n"/>
      <c r="J691" s="188" t="n"/>
      <c r="K691" s="188" t="n"/>
      <c r="L691" s="188" t="n"/>
      <c r="M691" s="165" t="inlineStr">
        <is>
          <t>DASH and DASH-17+ manuals — Barnett, Henderson, Scheib &amp; Schulz.</t>
        </is>
      </c>
      <c r="N691" s="196" t="inlineStr">
        <is>
          <t>State Examinations Commission — current RACE guidance. Check the year.
→ click to open</t>
        </is>
      </c>
      <c r="O691" s="196" t="inlineStr">
        <is>
          <t>Rosenblum, S., Weiss, P. L., &amp; Parush, S. (2003). Product and process evaluation of handwriting difficulties. Educational Psychology Review, 15(1).
→ click to open</t>
        </is>
      </c>
    </row>
    <row r="692" ht="15" customHeight="1" s="128">
      <c r="A692" s="147" t="inlineStr">
        <is>
          <t>TOOL</t>
        </is>
      </c>
      <c r="B692" s="147" t="inlineStr">
        <is>
          <t>ABAS-3</t>
        </is>
      </c>
      <c r="C692" s="147" t="n"/>
      <c r="D692" s="147" t="n"/>
      <c r="E692" s="147" t="inlineStr">
        <is>
          <t>5 teaching sections</t>
        </is>
      </c>
      <c r="F692" s="147" t="n"/>
      <c r="G692" s="147" t="n"/>
      <c r="H692" s="147" t="n"/>
      <c r="I692" s="147" t="n"/>
      <c r="J692" s="147" t="n"/>
      <c r="K692" s="147" t="n"/>
      <c r="L692" s="147" t="n"/>
    </row>
    <row r="693" outlineLevel="2" ht="150" customHeight="1" s="128">
      <c r="A693" s="188" t="n"/>
      <c r="B693" s="139" t="inlineStr">
        <is>
          <t>ABAS-3</t>
        </is>
      </c>
      <c r="C693" s="188" t="n"/>
      <c r="D693" s="188" t="inlineStr">
        <is>
          <t>1 · Before you open the kit</t>
        </is>
      </c>
      <c r="E693" s="189" t="inlineStr">
        <is>
          <t>4 points</t>
        </is>
      </c>
      <c r="F693" s="188" t="n"/>
      <c r="G693" s="188" t="n"/>
      <c r="H693" s="188" t="n"/>
      <c r="I693" s="188" t="n"/>
      <c r="J693" s="188" t="n"/>
      <c r="K693" s="188" t="n"/>
      <c r="L693" s="188" t="n"/>
      <c r="M693" s="165" t="inlineStr">
        <is>
          <t>Adaptive behaviour is what a person actually does day to day, not what they can do when asked. That distinction governs everything about this instrument.</t>
        </is>
      </c>
      <c r="N693" s="165" t="inlineStr">
        <is>
          <t>Choose the right form: parent/primary caregiver (0–5), parent (5–21), teacher/daycare (2–5), teacher (5–21), adult (16–89). Each has its own norms.</t>
        </is>
      </c>
      <c r="O693" s="165" t="inlineStr">
        <is>
          <t>Get more than one rater where you can. Home and school adaptive profiles commonly differ and the difference is informative.</t>
        </is>
      </c>
      <c r="P693" s="165" t="inlineStr">
        <is>
          <t>If intellectual disability is the question, you need both an adaptive measure and a cognitive one. Neither alone is sufficient.</t>
        </is>
      </c>
    </row>
    <row r="694" outlineLevel="2" ht="150" customHeight="1" s="128">
      <c r="A694" s="188" t="n"/>
      <c r="B694" s="139" t="inlineStr">
        <is>
          <t>ABAS-3</t>
        </is>
      </c>
      <c r="C694" s="188" t="n"/>
      <c r="D694" s="188" t="inlineStr">
        <is>
          <t>2 · Administering it</t>
        </is>
      </c>
      <c r="E694" s="189" t="inlineStr">
        <is>
          <t>3 points</t>
        </is>
      </c>
      <c r="F694" s="188" t="n"/>
      <c r="G694" s="188" t="n"/>
      <c r="H694" s="188" t="n"/>
      <c r="I694" s="188" t="n"/>
      <c r="J694" s="188" t="n"/>
      <c r="K694" s="188" t="n"/>
      <c r="L694" s="188" t="n"/>
      <c r="M694" s="165" t="inlineStr">
        <is>
          <t>It is an informant rating scale. Explain the 'is not able', 'never when needed', 'sometimes', 'always' response options carefully — raters routinely confuse capacity with frequency.</t>
        </is>
      </c>
      <c r="N694" s="165" t="inlineStr">
        <is>
          <t>Check the guess items. If a rater has guessed on many items in a domain, that domain is unreliable.</t>
        </is>
      </c>
      <c r="O694" s="165" t="inlineStr">
        <is>
          <t>Sit with the rater if literacy or language is a concern rather than handing the form over.</t>
        </is>
      </c>
    </row>
    <row r="695" outlineLevel="2" ht="129.75" customHeight="1" s="128">
      <c r="A695" s="188" t="n"/>
      <c r="B695" s="139" t="inlineStr">
        <is>
          <t>ABAS-3</t>
        </is>
      </c>
      <c r="C695" s="188" t="n"/>
      <c r="D695" s="188" t="inlineStr">
        <is>
          <t>3 · Scoring it</t>
        </is>
      </c>
      <c r="E695" s="189" t="inlineStr">
        <is>
          <t>2 points</t>
        </is>
      </c>
      <c r="F695" s="188" t="n"/>
      <c r="G695" s="188" t="n"/>
      <c r="H695" s="188" t="n"/>
      <c r="I695" s="188" t="n"/>
      <c r="J695" s="188" t="n"/>
      <c r="K695" s="188" t="n"/>
      <c r="L695" s="188" t="n"/>
      <c r="M695" s="165" t="inlineStr">
        <is>
          <t>General Adaptive Composite, three domains (conceptual, social, practical), and nine or ten skill areas depending on form.</t>
        </is>
      </c>
      <c r="N695" s="165" t="inlineStr">
        <is>
          <t>Look at the skill-area profile, not just the GAC. A flat low profile and a spiky one mean different things for planning.</t>
        </is>
      </c>
    </row>
    <row r="696" outlineLevel="2" ht="150" customHeight="1" s="128">
      <c r="A696" s="177" t="n"/>
      <c r="B696" s="165" t="inlineStr">
        <is>
          <t>ABAS-3</t>
        </is>
      </c>
      <c r="C696" s="177" t="n"/>
      <c r="D696" s="177" t="inlineStr">
        <is>
          <t>4 · Interpreting it</t>
        </is>
      </c>
      <c r="E696" s="182" t="inlineStr">
        <is>
          <t>3 points</t>
        </is>
      </c>
      <c r="F696" s="177" t="n"/>
      <c r="G696" s="177" t="n"/>
      <c r="H696" s="177" t="n"/>
      <c r="I696" s="177" t="n"/>
      <c r="J696" s="177" t="n"/>
      <c r="K696" s="177" t="n"/>
      <c r="L696" s="177" t="n"/>
      <c r="M696" s="165" t="inlineStr">
        <is>
          <t>Compare with the cognitive profile. Adaptive far below cognitive suggests opportunity, anxiety or over-support; adaptive above cognitive suggests good scaffolding or an underestimating cognitive score.</t>
        </is>
      </c>
      <c r="N696" s="165" t="inlineStr">
        <is>
          <t>For transition planning this is often the more useful document than an IQ. Use it that way.</t>
        </is>
      </c>
      <c r="O696" s="165" t="inlineStr">
        <is>
          <t>Note explicitly where adult support may be suppressing independence — 'always does when needed' can mean the SNA does it.</t>
        </is>
      </c>
    </row>
    <row r="697" outlineLevel="2" ht="109.5" customHeight="1" s="128">
      <c r="A697" s="193" t="n"/>
      <c r="B697" s="166" t="inlineStr">
        <is>
          <t>ABAS-3</t>
        </is>
      </c>
      <c r="C697" s="193" t="n"/>
      <c r="D697" s="193" t="inlineStr">
        <is>
          <t>5 · The errors that cost marks</t>
        </is>
      </c>
      <c r="E697" s="195" t="inlineStr">
        <is>
          <t>5 points</t>
        </is>
      </c>
      <c r="F697" s="193" t="n"/>
      <c r="G697" s="193" t="n"/>
      <c r="H697" s="193" t="n"/>
      <c r="I697" s="193" t="n"/>
      <c r="J697" s="193" t="n"/>
      <c r="K697" s="193" t="n"/>
      <c r="L697" s="193" t="n"/>
      <c r="M697" s="166" t="inlineStr">
        <is>
          <t>Using the wrong form for the age or rater.</t>
        </is>
      </c>
      <c r="N697" s="166" t="inlineStr">
        <is>
          <t>Reporting the GAC without the skill-area profile.</t>
        </is>
      </c>
      <c r="O697" s="166" t="inlineStr">
        <is>
          <t>Ignoring guess items.</t>
        </is>
      </c>
      <c r="P697" s="166" t="inlineStr">
        <is>
          <t>Treating adaptive score as a proxy for ability.</t>
        </is>
      </c>
      <c r="Q697" s="166" t="inlineStr">
        <is>
          <t>Not noticing that adult proximity is suppressing the profile.</t>
        </is>
      </c>
    </row>
    <row r="698" outlineLevel="2" ht="99.75" customHeight="1" s="128">
      <c r="A698" s="188" t="n"/>
      <c r="B698" s="139" t="inlineStr">
        <is>
          <t>ABAS-3</t>
        </is>
      </c>
      <c r="C698" s="188" t="n"/>
      <c r="D698" s="188" t="inlineStr">
        <is>
          <t>6 · What to read</t>
        </is>
      </c>
      <c r="E698" s="189" t="inlineStr">
        <is>
          <t>3 readings</t>
        </is>
      </c>
      <c r="F698" s="188" t="n"/>
      <c r="G698" s="188" t="n"/>
      <c r="H698" s="188" t="n"/>
      <c r="I698" s="188" t="n"/>
      <c r="J698" s="188" t="n"/>
      <c r="K698" s="188" t="n"/>
      <c r="L698" s="188" t="n"/>
      <c r="M698" s="165" t="inlineStr">
        <is>
          <t>ABAS-3 manual — Harrison &amp; Oakland.</t>
        </is>
      </c>
      <c r="N698" s="196" t="inlineStr">
        <is>
          <t>Tassé, M. J., et al. (2012). The construct of adaptive behavior. American Journal on Intellectual and Developmental Disabilities, 117(4).
→ click to open</t>
        </is>
      </c>
      <c r="O698" s="196" t="inlineStr">
        <is>
          <t>AAIDD — definition and classification of intellectual disability.
→ click to open</t>
        </is>
      </c>
    </row>
    <row r="699" ht="15" customHeight="1" s="128">
      <c r="A699" s="147" t="inlineStr">
        <is>
          <t>TOOL</t>
        </is>
      </c>
      <c r="B699" s="147" t="inlineStr">
        <is>
          <t>DCD-Q</t>
        </is>
      </c>
      <c r="C699" s="147" t="n"/>
      <c r="D699" s="147" t="n"/>
      <c r="E699" s="147" t="inlineStr">
        <is>
          <t>5 teaching sections</t>
        </is>
      </c>
      <c r="F699" s="147" t="n"/>
      <c r="G699" s="147" t="n"/>
      <c r="H699" s="147" t="n"/>
      <c r="I699" s="147" t="n"/>
      <c r="J699" s="147" t="n"/>
      <c r="K699" s="147" t="n"/>
      <c r="L699" s="147" t="n"/>
    </row>
    <row r="700" outlineLevel="2" ht="150" customHeight="1" s="128">
      <c r="A700" s="188" t="n"/>
      <c r="B700" s="139" t="inlineStr">
        <is>
          <t>DCD-Q</t>
        </is>
      </c>
      <c r="C700" s="188" t="n"/>
      <c r="D700" s="188" t="inlineStr">
        <is>
          <t>1 · Before you open the kit</t>
        </is>
      </c>
      <c r="E700" s="189" t="inlineStr">
        <is>
          <t>3 points</t>
        </is>
      </c>
      <c r="F700" s="188" t="n"/>
      <c r="G700" s="188" t="n"/>
      <c r="H700" s="188" t="n"/>
      <c r="I700" s="188" t="n"/>
      <c r="J700" s="188" t="n"/>
      <c r="K700" s="188" t="n"/>
      <c r="L700" s="188" t="n"/>
      <c r="M700" s="165" t="inlineStr">
        <is>
          <t>The DCD-Q is a parent-report screen for 5:0–15:0. It is a screen. DCD is diagnosed by OT or the CDNT, not by you.</t>
        </is>
      </c>
      <c r="N700" s="165" t="inlineStr">
        <is>
          <t>Pair it with a performance measure — Movement ABC-2 — if one is available. Parent report and performance can diverge.</t>
        </is>
      </c>
      <c r="O700" s="165" t="inlineStr">
        <is>
          <t>Establish that the difficulty is not better explained by a medical condition, visual impairment or an intellectual disability. DCD is a diagnosis of exclusion in part.</t>
        </is>
      </c>
    </row>
    <row r="701" outlineLevel="2" ht="150" customHeight="1" s="128">
      <c r="A701" s="188" t="n"/>
      <c r="B701" s="139" t="inlineStr">
        <is>
          <t>DCD-Q</t>
        </is>
      </c>
      <c r="C701" s="188" t="n"/>
      <c r="D701" s="188" t="inlineStr">
        <is>
          <t>2 · Administering it</t>
        </is>
      </c>
      <c r="E701" s="189" t="inlineStr">
        <is>
          <t>2 points</t>
        </is>
      </c>
      <c r="F701" s="188" t="n"/>
      <c r="G701" s="188" t="n"/>
      <c r="H701" s="188" t="n"/>
      <c r="I701" s="188" t="n"/>
      <c r="J701" s="188" t="n"/>
      <c r="K701" s="188" t="n"/>
      <c r="L701" s="188" t="n"/>
      <c r="M701" s="165" t="inlineStr">
        <is>
          <t>Fifteen items, parent-rated, comparing the child with peers. Emphasise the peer comparison — parents often rate against a sibling.</t>
        </is>
      </c>
      <c r="N701" s="165" t="inlineStr">
        <is>
          <t>Ask about daily function directly alongside the form: dressing, cutlery, bike, stairs, PE, handwriting. The conversation is usually more informative than the score.</t>
        </is>
      </c>
    </row>
    <row r="702" outlineLevel="2" ht="129.75" customHeight="1" s="128">
      <c r="A702" s="188" t="n"/>
      <c r="B702" s="139" t="inlineStr">
        <is>
          <t>DCD-Q</t>
        </is>
      </c>
      <c r="C702" s="188" t="n"/>
      <c r="D702" s="188" t="inlineStr">
        <is>
          <t>3 · Scoring it</t>
        </is>
      </c>
      <c r="E702" s="189" t="inlineStr">
        <is>
          <t>2 points</t>
        </is>
      </c>
      <c r="F702" s="188" t="n"/>
      <c r="G702" s="188" t="n"/>
      <c r="H702" s="188" t="n"/>
      <c r="I702" s="188" t="n"/>
      <c r="J702" s="188" t="n"/>
      <c r="K702" s="188" t="n"/>
      <c r="L702" s="188" t="n"/>
      <c r="M702" s="165" t="inlineStr">
        <is>
          <t>Total score against age-banded cut-offs indicating suspected DCD or not.</t>
        </is>
      </c>
      <c r="N702" s="165" t="inlineStr">
        <is>
          <t>Scores near the cut-off should be reported as near the cut-off, not resolved in either direction.</t>
        </is>
      </c>
    </row>
    <row r="703" outlineLevel="2" ht="150" customHeight="1" s="128">
      <c r="A703" s="177" t="n"/>
      <c r="B703" s="165" t="inlineStr">
        <is>
          <t>DCD-Q</t>
        </is>
      </c>
      <c r="C703" s="177" t="n"/>
      <c r="D703" s="177" t="inlineStr">
        <is>
          <t>4 · Interpreting it</t>
        </is>
      </c>
      <c r="E703" s="182" t="inlineStr">
        <is>
          <t>3 points</t>
        </is>
      </c>
      <c r="F703" s="177" t="n"/>
      <c r="G703" s="177" t="n"/>
      <c r="H703" s="177" t="n"/>
      <c r="I703" s="177" t="n"/>
      <c r="J703" s="177" t="n"/>
      <c r="K703" s="177" t="n"/>
      <c r="L703" s="177" t="n"/>
      <c r="M703" s="165" t="inlineStr">
        <is>
          <t>A positive screen means refer to OT, and say so in exactly those words.</t>
        </is>
      </c>
      <c r="N703" s="165" t="inlineStr">
        <is>
          <t>Report the functional impact on school participation — that is your contribution, not the diagnosis.</t>
        </is>
      </c>
      <c r="O703" s="165" t="inlineStr">
        <is>
          <t>Note co-occurrence: DCD frequently co-occurs with ADHD and with DLD. Consider whether a second presentation is being missed.</t>
        </is>
      </c>
    </row>
    <row r="704" outlineLevel="2" ht="109.5" customHeight="1" s="128">
      <c r="A704" s="193" t="n"/>
      <c r="B704" s="166" t="inlineStr">
        <is>
          <t>DCD-Q</t>
        </is>
      </c>
      <c r="C704" s="193" t="n"/>
      <c r="D704" s="193" t="inlineStr">
        <is>
          <t>5 · The errors that cost marks</t>
        </is>
      </c>
      <c r="E704" s="195" t="inlineStr">
        <is>
          <t>4 points</t>
        </is>
      </c>
      <c r="F704" s="193" t="n"/>
      <c r="G704" s="193" t="n"/>
      <c r="H704" s="193" t="n"/>
      <c r="I704" s="193" t="n"/>
      <c r="J704" s="193" t="n"/>
      <c r="K704" s="193" t="n"/>
      <c r="L704" s="193" t="n"/>
      <c r="M704" s="166" t="inlineStr">
        <is>
          <t>Writing 'has DCD' rather than 'screens positive; OT referral recommended'.</t>
        </is>
      </c>
      <c r="N704" s="166" t="inlineStr">
        <is>
          <t>Using it without a performance measure or a functional conversation.</t>
        </is>
      </c>
      <c r="O704" s="166" t="inlineStr">
        <is>
          <t>Not asking about handwriting specifically.</t>
        </is>
      </c>
      <c r="P704" s="166" t="inlineStr">
        <is>
          <t>Missing co-occurring ADHD or language difficulty.</t>
        </is>
      </c>
    </row>
    <row r="705" outlineLevel="2" ht="99.75" customHeight="1" s="128">
      <c r="A705" s="188" t="n"/>
      <c r="B705" s="139" t="inlineStr">
        <is>
          <t>DCD-Q</t>
        </is>
      </c>
      <c r="C705" s="188" t="n"/>
      <c r="D705" s="188" t="inlineStr">
        <is>
          <t>6 · What to read</t>
        </is>
      </c>
      <c r="E705" s="189" t="inlineStr">
        <is>
          <t>2 readings</t>
        </is>
      </c>
      <c r="F705" s="188" t="n"/>
      <c r="G705" s="188" t="n"/>
      <c r="H705" s="188" t="n"/>
      <c r="I705" s="188" t="n"/>
      <c r="J705" s="188" t="n"/>
      <c r="K705" s="188" t="n"/>
      <c r="L705" s="188" t="n"/>
      <c r="M705" s="196" t="inlineStr">
        <is>
          <t>Wilson, B. N., et al. (2009). Psychometric properties of the revised DCD Questionnaire. Physical &amp; Occupational Therapy in Pediatrics, 29(2).
→ click to open</t>
        </is>
      </c>
      <c r="N705" s="196" t="inlineStr">
        <is>
          <t>Blank, R., et al. (2019). International clinical practice recommendations on DCD. Developmental Medicine &amp; Child Neurology, 61(3).
→ click to open</t>
        </is>
      </c>
    </row>
    <row r="706" ht="15" customHeight="1" s="128">
      <c r="A706" s="147" t="inlineStr">
        <is>
          <t>TOOL</t>
        </is>
      </c>
      <c r="B706" s="147" t="inlineStr">
        <is>
          <t>Movement ABC-2</t>
        </is>
      </c>
      <c r="C706" s="147" t="n"/>
      <c r="D706" s="147" t="n"/>
      <c r="E706" s="147" t="inlineStr">
        <is>
          <t>5 teaching sections</t>
        </is>
      </c>
      <c r="F706" s="147" t="n"/>
      <c r="G706" s="147" t="n"/>
      <c r="H706" s="147" t="n"/>
      <c r="I706" s="147" t="n"/>
      <c r="J706" s="147" t="n"/>
      <c r="K706" s="147" t="n"/>
      <c r="L706" s="147" t="n"/>
    </row>
    <row r="707" outlineLevel="2" ht="150" customHeight="1" s="128">
      <c r="A707" s="188" t="n"/>
      <c r="B707" s="139" t="inlineStr">
        <is>
          <t>Movement ABC-2</t>
        </is>
      </c>
      <c r="C707" s="188" t="n"/>
      <c r="D707" s="188" t="inlineStr">
        <is>
          <t>1 · Before you open the kit</t>
        </is>
      </c>
      <c r="E707" s="189" t="inlineStr">
        <is>
          <t>3 points</t>
        </is>
      </c>
      <c r="F707" s="188" t="n"/>
      <c r="G707" s="188" t="n"/>
      <c r="H707" s="188" t="n"/>
      <c r="I707" s="188" t="n"/>
      <c r="J707" s="188" t="n"/>
      <c r="K707" s="188" t="n"/>
      <c r="L707" s="188" t="n"/>
      <c r="M707" s="165" t="inlineStr">
        <is>
          <t>Age bands 3:0–6:11, 7:0–10:11, 11:0–16:11, each with its own tasks. Using the wrong band invalidates the result.</t>
        </is>
      </c>
      <c r="N707" s="165" t="inlineStr">
        <is>
          <t>You need space, a stopwatch and the full kit including the mat. Check the kit is complete before the school visit, not on arrival.</t>
        </is>
      </c>
      <c r="O707" s="165" t="inlineStr">
        <is>
          <t>Know that this is a performance measure of motor function, not a diagnosis of DCD.</t>
        </is>
      </c>
    </row>
    <row r="708" outlineLevel="2" ht="150" customHeight="1" s="128">
      <c r="A708" s="188" t="n"/>
      <c r="B708" s="139" t="inlineStr">
        <is>
          <t>Movement ABC-2</t>
        </is>
      </c>
      <c r="C708" s="188" t="n"/>
      <c r="D708" s="188" t="inlineStr">
        <is>
          <t>2 · Administering it</t>
        </is>
      </c>
      <c r="E708" s="189" t="inlineStr">
        <is>
          <t>3 points</t>
        </is>
      </c>
      <c r="F708" s="188" t="n"/>
      <c r="G708" s="188" t="n"/>
      <c r="H708" s="188" t="n"/>
      <c r="I708" s="188" t="n"/>
      <c r="J708" s="188" t="n"/>
      <c r="K708" s="188" t="n"/>
      <c r="L708" s="188" t="n"/>
      <c r="M708" s="165" t="inlineStr">
        <is>
          <t>Three components: manual dexterity, aiming and catching, balance. Demonstrate each task exactly as scripted and allow the permitted practice trials.</t>
        </is>
      </c>
      <c r="N708" s="165" t="inlineStr">
        <is>
          <t>Record qualitative observations on the checklist — posture, effort, frustration, strategy. These distinguish a child who cannot from a child who has given up.</t>
        </is>
      </c>
      <c r="O708" s="165" t="inlineStr">
        <is>
          <t>Stop if the child becomes distressed. A partial protocol with a note is better than a complete one obtained under pressure.</t>
        </is>
      </c>
    </row>
    <row r="709" outlineLevel="2" ht="129.75" customHeight="1" s="128">
      <c r="A709" s="188" t="n"/>
      <c r="B709" s="139" t="inlineStr">
        <is>
          <t>Movement ABC-2</t>
        </is>
      </c>
      <c r="C709" s="188" t="n"/>
      <c r="D709" s="188" t="inlineStr">
        <is>
          <t>3 · Scoring it</t>
        </is>
      </c>
      <c r="E709" s="189" t="inlineStr">
        <is>
          <t>2 points</t>
        </is>
      </c>
      <c r="F709" s="188" t="n"/>
      <c r="G709" s="188" t="n"/>
      <c r="H709" s="188" t="n"/>
      <c r="I709" s="188" t="n"/>
      <c r="J709" s="188" t="n"/>
      <c r="K709" s="188" t="n"/>
      <c r="L709" s="188" t="n"/>
      <c r="M709" s="165" t="inlineStr">
        <is>
          <t>Item raw scores to standard scores to component scores to a total, with traffic-light zones.</t>
        </is>
      </c>
      <c r="N709" s="165" t="inlineStr">
        <is>
          <t>Report the component profile. A child can be red on balance and green on dexterity, and that matters for what school should do.</t>
        </is>
      </c>
    </row>
    <row r="710" outlineLevel="2" ht="150" customHeight="1" s="128">
      <c r="A710" s="177" t="n"/>
      <c r="B710" s="165" t="inlineStr">
        <is>
          <t>Movement ABC-2</t>
        </is>
      </c>
      <c r="C710" s="177" t="n"/>
      <c r="D710" s="177" t="inlineStr">
        <is>
          <t>4 · Interpreting it</t>
        </is>
      </c>
      <c r="E710" s="182" t="inlineStr">
        <is>
          <t>3 points</t>
        </is>
      </c>
      <c r="F710" s="177" t="n"/>
      <c r="G710" s="177" t="n"/>
      <c r="H710" s="177" t="n"/>
      <c r="I710" s="177" t="n"/>
      <c r="J710" s="177" t="n"/>
      <c r="K710" s="177" t="n"/>
      <c r="L710" s="177" t="n"/>
      <c r="M710" s="165" t="inlineStr">
        <is>
          <t>Translate into school terms: PE participation, handwriting, lunch, stairs, playground safety.</t>
        </is>
      </c>
      <c r="N710" s="165" t="inlineStr">
        <is>
          <t>Refer to OT for diagnosis. Your report describes the educational impact.</t>
        </is>
      </c>
      <c r="O710" s="165" t="inlineStr">
        <is>
          <t>Check for co-occurring difficulties before concluding the motor profile explains everything.</t>
        </is>
      </c>
    </row>
    <row r="711" outlineLevel="2" ht="109.5" customHeight="1" s="128">
      <c r="A711" s="193" t="n"/>
      <c r="B711" s="166" t="inlineStr">
        <is>
          <t>Movement ABC-2</t>
        </is>
      </c>
      <c r="C711" s="193" t="n"/>
      <c r="D711" s="193" t="inlineStr">
        <is>
          <t>5 · The errors that cost marks</t>
        </is>
      </c>
      <c r="E711" s="195" t="inlineStr">
        <is>
          <t>5 points</t>
        </is>
      </c>
      <c r="F711" s="193" t="n"/>
      <c r="G711" s="193" t="n"/>
      <c r="H711" s="193" t="n"/>
      <c r="I711" s="193" t="n"/>
      <c r="J711" s="193" t="n"/>
      <c r="K711" s="193" t="n"/>
      <c r="L711" s="193" t="n"/>
      <c r="M711" s="166" t="inlineStr">
        <is>
          <t>Using the wrong age band.</t>
        </is>
      </c>
      <c r="N711" s="166" t="inlineStr">
        <is>
          <t>Skipping the qualitative checklist.</t>
        </is>
      </c>
      <c r="O711" s="166" t="inlineStr">
        <is>
          <t>Reporting a total and not the components.</t>
        </is>
      </c>
      <c r="P711" s="166" t="inlineStr">
        <is>
          <t>Implying a DCD diagnosis.</t>
        </is>
      </c>
      <c r="Q711" s="166" t="inlineStr">
        <is>
          <t>Assessing without an OT referral pathway already identified.</t>
        </is>
      </c>
    </row>
    <row r="712" outlineLevel="2" ht="99.75" customHeight="1" s="128">
      <c r="A712" s="188" t="n"/>
      <c r="B712" s="139" t="inlineStr">
        <is>
          <t>Movement ABC-2</t>
        </is>
      </c>
      <c r="C712" s="188" t="n"/>
      <c r="D712" s="188" t="inlineStr">
        <is>
          <t>6 · What to read</t>
        </is>
      </c>
      <c r="E712" s="189" t="inlineStr">
        <is>
          <t>3 readings</t>
        </is>
      </c>
      <c r="F712" s="188" t="n"/>
      <c r="G712" s="188" t="n"/>
      <c r="H712" s="188" t="n"/>
      <c r="I712" s="188" t="n"/>
      <c r="J712" s="188" t="n"/>
      <c r="K712" s="188" t="n"/>
      <c r="L712" s="188" t="n"/>
      <c r="M712" s="165" t="inlineStr">
        <is>
          <t>Movement ABC-2 manual — Henderson, Sugden &amp; Barnett.</t>
        </is>
      </c>
      <c r="N712" s="196" t="inlineStr">
        <is>
          <t>Blank, R., et al. (2019). International clinical practice recommendations on DCD.
→ click to open</t>
        </is>
      </c>
      <c r="O712" s="196" t="inlineStr">
        <is>
          <t>Burgess, A., et al. (2024). Clinical utility and psychometric properties of tools for early detection of developmental concerns. DMCN.
→ click to open</t>
        </is>
      </c>
    </row>
    <row r="714" ht="30" customHeight="1" s="128">
      <c r="A714" s="142" t="inlineStr">
        <is>
          <t>PART H</t>
        </is>
      </c>
      <c r="B714" s="142" t="inlineStr">
        <is>
          <t>METHODS IN FULL — EVERYTHING ON ONE ROW</t>
        </is>
      </c>
      <c r="C714" s="142" t="n"/>
      <c r="D714" s="142" t="n"/>
      <c r="E714" s="142" t="inlineStr">
        <is>
          <t>One row per method. Reading right: history and who made it · the evidence · when and why · what you need · how to administer it · what it looks like at each age · a worked example with a script · the questions you will be asked and what to say · why this over the alternatives · the citations.</t>
        </is>
      </c>
      <c r="F714" s="142" t="n"/>
      <c r="G714" s="142" t="n"/>
      <c r="H714" s="142" t="n"/>
      <c r="I714" s="142" t="n"/>
      <c r="J714" s="142" t="n"/>
      <c r="K714" s="142" t="n"/>
      <c r="L714" s="142" t="n"/>
      <c r="M714" s="142" t="n"/>
      <c r="N714" s="142" t="n"/>
      <c r="O714" s="142" t="n"/>
      <c r="P714" s="142" t="n"/>
      <c r="Q714" s="142" t="n"/>
      <c r="R714" s="142" t="n"/>
      <c r="S714" s="142" t="n"/>
      <c r="T714" s="142" t="n"/>
      <c r="U714" s="142" t="n"/>
      <c r="V714" s="142" t="n"/>
      <c r="W714" s="142" t="n"/>
      <c r="X714" s="142" t="n"/>
      <c r="Y714" s="142" t="n"/>
      <c r="Z714" s="142" t="n"/>
      <c r="AA714" s="142" t="n"/>
      <c r="AB714" s="142" t="n"/>
      <c r="AC714" s="142" t="n"/>
      <c r="AD714" s="142" t="n"/>
      <c r="AE714" s="142" t="n"/>
      <c r="AF714" s="142" t="n"/>
      <c r="AG714" s="142" t="n"/>
      <c r="AH714" s="142" t="n"/>
      <c r="AI714" s="142" t="n"/>
      <c r="AJ714" s="142" t="n"/>
      <c r="AK714" s="142" t="n"/>
    </row>
    <row r="715" ht="33.75" customHeight="1" s="128">
      <c r="A715" s="155" t="n"/>
      <c r="B715" s="155" t="n"/>
      <c r="C715" s="155" t="n"/>
      <c r="D715" s="155" t="n"/>
      <c r="E715" s="156" t="inlineStr">
        <is>
          <t>read left to right →</t>
        </is>
      </c>
      <c r="F715" s="155" t="n"/>
      <c r="G715" s="155" t="n"/>
      <c r="H715" s="155" t="n"/>
      <c r="I715" s="155" t="n"/>
      <c r="J715" s="155" t="n"/>
      <c r="K715" s="155" t="n"/>
      <c r="L715" s="155" t="n"/>
      <c r="M715" s="157" t="inlineStr">
        <is>
          <t>1 · History — who made it, when, why</t>
        </is>
      </c>
      <c r="N715" s="157" t="inlineStr">
        <is>
          <t>2 · Evidence — how good is it</t>
        </is>
      </c>
      <c r="O715" s="157" t="inlineStr">
        <is>
          <t>3 · When and why it is needed</t>
        </is>
      </c>
      <c r="P715" s="157" t="inlineStr">
        <is>
          <t>4 · What you need before you start</t>
        </is>
      </c>
      <c r="Q715" s="157" t="inlineStr">
        <is>
          <t>5 · How to administer it, step by step</t>
        </is>
      </c>
      <c r="R715" s="157" t="inlineStr">
        <is>
          <t>6 · Early Years 0–5</t>
        </is>
      </c>
      <c r="S715" s="157" t="inlineStr">
        <is>
          <t>7 · School Age 6–12</t>
        </is>
      </c>
      <c r="T715" s="157" t="inlineStr">
        <is>
          <t>8 · Adolescent 13–16</t>
        </is>
      </c>
      <c r="U715" s="157" t="inlineStr">
        <is>
          <t>9 · Worked example with a script</t>
        </is>
      </c>
      <c r="V715" s="157" t="inlineStr">
        <is>
          <t>10 · Theory it rests on</t>
        </is>
      </c>
      <c r="W715" s="157" t="inlineStr">
        <is>
          <t>11 · Frameworks to hold in mind</t>
        </is>
      </c>
      <c r="X715" s="157" t="inlineStr">
        <is>
          <t>12 · RISK, SAFETY AND RED FLAGS</t>
        </is>
      </c>
      <c r="Y715" s="157" t="inlineStr">
        <is>
          <t>13 · What you will learn — and what you will not</t>
        </is>
      </c>
      <c r="Z715" s="157" t="inlineStr">
        <is>
          <t>14 · Questions you will be asked, and what to say</t>
        </is>
      </c>
      <c r="AA715" s="157" t="inlineStr">
        <is>
          <t>15 · Why this over the alternatives</t>
        </is>
      </c>
      <c r="AB715" s="157" t="inlineStr">
        <is>
          <t>16 · WHAT TO DO NEXT — proceed to</t>
        </is>
      </c>
      <c r="AC715" s="157" t="inlineStr">
        <is>
          <t>17 · Bring to supervision</t>
        </is>
      </c>
      <c r="AD715" s="157" t="inlineStr">
        <is>
          <t>18 · Reflection — what good and poor look like</t>
        </is>
      </c>
      <c r="AE715" s="157" t="inlineStr">
        <is>
          <t>19 · Timeline across the three years</t>
        </is>
      </c>
      <c r="AF715" s="157" t="inlineStr">
        <is>
          <t>20 · Citations</t>
        </is>
      </c>
    </row>
    <row r="716" ht="408.75" customHeight="1" s="128">
      <c r="A716" s="158" t="inlineStr">
        <is>
          <t>METHOD</t>
        </is>
      </c>
      <c r="B716" s="159" t="inlineStr">
        <is>
          <t>Competency 1 Assessment · Competency 2 Formulation</t>
        </is>
      </c>
      <c r="C716" s="161" t="inlineStr">
        <is>
          <t>Structured play observation</t>
        </is>
      </c>
      <c r="D716" s="158" t="inlineStr">
        <is>
          <t>Method in full</t>
        </is>
      </c>
      <c r="E716" s="161" t="inlineStr">
        <is>
          <t>Structured play observation</t>
        </is>
      </c>
      <c r="F716" s="162" t="inlineStr">
        <is>
          <t>Everything about this method is on this row. Scroll right.</t>
        </is>
      </c>
      <c r="G716" s="197" t="inlineStr">
        <is>
          <t>3.1 · 3.2 · 5.28 · 5.29 · 5.31</t>
        </is>
      </c>
      <c r="H716" s="197" t="inlineStr">
        <is>
          <t>1.2.8 · 1.3.1 · 2.3.1</t>
        </is>
      </c>
      <c r="I716" s="158" t="n"/>
      <c r="J716" s="158" t="n"/>
      <c r="K716" s="158" t="n"/>
      <c r="L716" s="158" t="n"/>
      <c r="M716" s="165" t="inlineStr">
        <is>
          <t>Play as a unit of psychological observation comes from three separate roots, not one.
MILDRED PARTEN (1932, University of Minnesota) produced the first systematic observational taxonomy of children's social play: unoccupied, solitary, onlooker, parallel, associative and co-operative. Her categories are still the ones used to describe social participation at preschool age.
JEAN PIAGET (1945, 'Play, Dreams and Imitation in Childhood') described play as assimilation and set out practice play, symbolic play and games with rules as developmental stages.
LEV VYGOTSKY (written 1933, widely available in English from 1978) argued the opposite emphasis: that in play a child 'stands a head taller than himself', so play shows the upper edge of competence rather than the average. This is why a child can do things in play they cannot do on demand.
SARA SMILANSKY (1968) added sociodramatic play and produced the scale most often used to rate play quality.
The educational-psychology use — play as assessment rather than as intervention — is later, and in Irish and UK practice is usually embedded in an ecological framework rather than used as a standalone instrument.</t>
        </is>
      </c>
      <c r="N716" s="164" t="inlineStr">
        <is>
          <t>Play observation is DESCRIPTIVE, not psychometric. There is no standardisation and no norm table for most play observation in EP practice. Say that in the report.
Its strength is ecological validity: it shows the child in the environment the referral is about, which no standardised test does.
Its main weakness is temporal stability. Single-session behavioural observations correlate poorly with behaviour on other days — Hintze (2005) is the standard reference for this and it applies to play as much as to classroom observation.
Observer expectancy is a documented risk: knowing the referral question changes what you record. Operational definitions written before you observe are the mitigation.
Where a rated scale is used (Smilansky, or the Penn Interactive Peer Play Scale, Fantuzzo et al. 1995), inter-rater reliability is reportable and should be.
Burgess et al. (2024, Developmental Medicine &amp; Child Neurology) reviewed early-detection tools and found clinical utility and psychometric quality vary widely — check any play scale's properties before citing it.</t>
        </is>
      </c>
      <c r="O716" s="165" t="inlineStr">
        <is>
          <t>WHEN IT IS NEEDED: under 5, where standardised cognitive testing is not valid or not tolerated; where language is limited or the child is not yet verbal; where the referral is about social participation, peer relationships or regulation; where you need to see the child in the setting the referral describes.
WHY IT IS NEEDED: for Early Years there is often no defensible alternative. WPPSI-IV starts at 2:6 and FSIQ only from 4:0. Below that, observation plus developmental history IS the assessment.
WHEN IT IS NOT THE RIGHT CHOICE: when the question is a specific attainment level; when a standardised measure exists and is tolerated; when the concern is risk or safeguarding — then you stop and follow the protocol, you do not observe.</t>
        </is>
      </c>
      <c r="P716" s="165" t="inlineStr">
        <is>
          <t>WHAT YOU NEED: a written operational definition sheet prepared BEFORE the session. A recording grid. A watch or timer with a silent interval prompt. Consent from parent and the setting, and assent from the child in terms they understand.
A comparison peer identified in advance — same sex where possible, same class, chosen by the teacher as 'about average', never the best-behaved child.
Somewhere to sit that is out of the flow of the room but has line of sight to the play area. Sitting at the child's table changes their behaviour.
Agree with staff in advance what you will say if a child asks why you are there. Have a sentence ready: 'I'm here to see what the class does, so I'm just watching and writing.'
Time: 20–30 minutes of actual observation is standard. Under 15 minutes is rarely defensible; over 45 minutes the observer fatigues.</t>
        </is>
      </c>
      <c r="Q716" s="165" t="inlineStr">
        <is>
          <t>STEP 1 — Define before you look. Write the behaviour in terms someone else could count. 'Joins a group of two or more children in a shared activity' is definable. 'Plays well' is not.
STEP 2 — Choose the method and record why. Momentary time sampling (look at the end of each interval, record present or absent) is the least biased for estimating how much of the time something occurs. Partial interval over-estimates, whole interval under-estimates. Narrative recording gives sequence but not prevalence. Event recording gives frequency of discrete acts.
STEP 3 — Set the interval. 30 seconds is common for preschool. Write the grid before you arrive.
STEP 4 — Take a baseline minute doing nothing but watching, before you start recording. It settles you and the room.
STEP 5 — Record the comparison peer on alternating intervals. Without a peer row you have no way to say whether what you saw is unusual for that room.
STEP 6 — Note the context in the margin: what activity, how many adults, what was happening immediately before any change.
STEP 7 — Write up within 24 hours, including a limitations sentence naming the date, the duration, and that a single observation has limited temporal stability.</t>
        </is>
      </c>
      <c r="R716" s="165" t="inlineStr">
        <is>
          <t>EARLY YEARS 0–5 — this is the band where play observation does the most work.
Use Parten's categories to describe social participation: is the child solitary, onlooker, parallel, associative, co-operative?
Use Smilansky's levels to describe play quality: functional, constructive, dramatic, games with rules.
Look at: entry into play (how do they join?), maintenance (do they stay?), repair (what happens after a conflict?), and flexibility (can the play change direction?).
Note communication mode, including non-verbal, and whether adults are mediating every interaction.
Pair it with parent developmental history and preschool staff consultation. Alone it is not enough.</t>
        </is>
      </c>
      <c r="S716" s="165" t="inlineStr">
        <is>
          <t>SCHOOL AGE 6–12 — play observation moves to the yard and to structured group tasks.
Yard observation with momentary time sampling and a comparison peer is the standard form.
Look at: proximity to others, reciprocity, whether the child initiates or only responds, how conflict ends, and whether the pattern differs between structured and unstructured time.
The classroom-versus-yard contrast is usually the finding. A child who manages structured work and falls apart at break has a social or regulatory difficulty, not a learning one.</t>
        </is>
      </c>
      <c r="T716" s="165" t="inlineStr">
        <is>
          <t>ADOLESCENT 13–16 — direct play observation is rarely appropriate and can be experienced as infantilising.
Substitute: corridor and break-time observation where the setting permits, self-report on friendship and belonging, and a structured interview about a typical day.
If observation is used at all, be explicit with the young person about what you are doing and why. Covert observation of an adolescent damages trust and is hard to justify.</t>
        </is>
      </c>
      <c r="U716" s="154" t="inlineStr">
        <is>
          <t>WORKED EXAMPLE — Junior Infants, referral for 'not joining in'.
OPERATIONAL DEFINITION, written before the visit: 'Associative play — child is within arm's length of one or more peers AND is handling the same materials or a related activity AND at least one verbal or non-verbal exchange occurs in the interval.'
METHOD: momentary time sampling, 30-second intervals, 20 minutes = 40 intervals. Target child on odd intervals, comparison peer on even.
RESULT: target child associative or co-operative in 6 of 20 intervals (30%); comparison peer in 15 of 20 (75%). Target child onlooker in 9 intervals.
CONTEXT NOTE: all 6 target intervals occurred at the water tray. None at the construction table where an adult was directing.
WHAT YOU WRITE: 'Over a 20-minute free-play period on 14/10/2026, [child] engaged in associative or co-operative play in 30% of sampled intervals, compared with 75% for a same-sex classmate identified by the class teacher as typical for the group. [Child] was recorded as onlooker — watching without joining — in 45% of intervals. All observed episodes of joint play occurred at the water tray, an activity requiring no verbal negotiation to enter. This is a single observation on one day and has limited temporal stability (Hintze, 2005); it is offered alongside parent and staff report rather than as a standalone finding.'
SAMPLE QUESTIONS TO THE CHILD afterwards, if appropriate: 'Who did you play with today?' · 'What do you like playing best?' · 'Is there anything that's tricky at playtime?' Keep it to three, and record the answers verbatim.</t>
        </is>
      </c>
      <c r="V716" s="165" t="inlineStr">
        <is>
          <t>PIAGETIAN CONSTRUCTIVISM — play as assimilation. The child fits new experience into existing schemas. Tells you what the child has already mastered, because play repeats what is secure.
VYGOTSKIAN SOCIOCULTURAL THEORY — play creates a zone of proximal development. The child performs above their independent level. This is why a play observation can show capacity a test will miss, and why you must not read low play performance as low capacity.
ECOLOGICAL SYSTEMS THEORY (Bronfenbrenner &amp; Morris, 2006) — the microsystem is the unit of analysis. You are observing a child-in-a-room, not a child.
BEHAVIOURAL OBSERVATION THEORY — what you count is a sample, not the population. Sampling method determines bias. This is measurement theory, not developmental theory, and it governs your method choice.
ATTACHMENT THEORY, held lightly — separation and reunion behaviour in a preschool room is informative but you are not conducting a Strange Situation and must not imply you are.</t>
        </is>
      </c>
      <c r="W716" s="165" t="inlineStr">
        <is>
          <t>INTERACTIVE FACTORS FRAMEWORK (Frederickson &amp; Cline, 2009) — place what you observed at the behavioural level and ask which cognitive, biological and environmental factors interact to produce it. Your observation is one level of four, never the whole picture.
MONSEN PROBLEM-ANALYSIS (Monsen &amp; Frederickson, 2008) — the observation is evidence for or against a hypothesis you named beforehand. If you observed without a hypothesis you collected description, not evidence.
COMOIRA (Gameson &amp; Rhydderch, 2008) — your observation is one construction among several. The teacher's account of the same twenty minutes will differ. That difference is data.
NEPS CONTINUUM OF SUPPORT — observation evidence belongs at a named level: Classroom Support, School Support, School Support Plus. Say which.
CARR (2015) — if onset and maintenance matter, ask what the observation tells you about perpetuating factors specifically.</t>
        </is>
      </c>
      <c r="X716" s="166" t="inlineStr">
        <is>
          <t>RED FLAG — any mark, injury or disclosure. STOP the observation. Do not ask the child about it. Record verbatim with the time. Tell your supervisor the same day and follow the school's DLP route. You are a mandated person under the Children First Act 2015.
RED FLAG — a child who is entirely unresponsive to adults and peers, or whose behaviour is markedly outside anything in the room. Note it factually and raise it that day.
RED FLAG — sexualised behaviour in play. Record exactly what you saw, do not interpret in the moment, report the same day.
SAFETY — check the setting's fire and evacuation arrangements and lone-working policy before you sit down. CORU 3.13 and 3.14.
CONSENT — if the child indicates they do not want you there, verbally or otherwise, stop. PSI 1.4.3 requires responsiveness to non-verbal indications of wanting to discontinue.
DATA — no names on the recording grid. Use initials or a case reference. GDPR minimisation, PSI 1.2.6.</t>
        </is>
      </c>
      <c r="Y716" s="165" t="inlineStr">
        <is>
          <t>How much of the time the behaviour actually occurs, rather than how much an adult believes it occurs.
Whether it is unusual for that room — only if you observed a comparison peer.
The conditions under which it does and does not happen, which is the beginning of a functional account.
What the child can do, not only what they cannot. Play shows the upper edge.
How adults in the room respond, which is often the intervention target.
What you did NOT learn: why. Observation gives you pattern, not cause. Write that limitation.</t>
        </is>
      </c>
      <c r="Z716" s="165" t="inlineStr">
        <is>
          <t>Q: 'Was he just having a bad day?' — A: 'Possibly, and that's a fair question. A single observation has limited stability, which is why I've set it alongside what you and the teacher have described. If all three point the same way, that's stronger than any one of them.'
Q: 'Why were you watching another child as well?' — A: 'To have something to compare against. Without that I can only say what he did, not whether it's different from what's typical in that room.'
Q: 'Did he know you were watching him?' — A: 'He knew I was there to watch the class. I don't single a child out, because that changes what they do.'
Q: 'Isn't this just your opinion?' — A: 'The counts aren't — I defined in advance what I'd count and recorded at fixed intervals. What it means is my interpretation, and I've set out my reasoning so you can disagree with it.'
Q: 'Shouldn't you have done a proper test?' — A: 'At this age there isn't a standardised test that would answer this question. Observation in the setting is the better evidence here, and I'll say so in the report.'
Q: 'What if he behaves differently because you're in the room?' — A: 'That's a real effect and I've allowed for it — that's part of why I take a settling period first and why I don't sit at his table.'</t>
        </is>
      </c>
      <c r="AA716" s="165" t="inlineStr">
        <is>
          <t>WHY THIS OVER A STANDARDISED TEST: under 5 there is often no valid standardised option for social participation. WPPSI-IV measures cognitive ability, not whether a child can enter play.
WHY THIS OVER A RATING SCALE: SDQ (2–4) and Conners EC are informant perception. They tell you what an adult believes; observation tells you what happened. Use both — where they disagree, that is a finding.
WHY THIS OVER PARENT REPORT ALONE: parents rarely see their child among twenty peers. Their account is essential and it is not a substitute.
WHY MOMENTARY TIME SAMPLING OVER PARTIAL INTERVAL: partial interval systematically over-estimates prevalence — if the behaviour occurs at all in the interval you score it present. Momentary sampling is the least biased estimator of how much of the time a behaviour occurs.
WHAT I WOULD CHOOSE INSTEAD: if the question were about a specific skill rather than participation, a structured assessment. If the question were about risk, nothing — you stop and follow the protocol.</t>
        </is>
      </c>
      <c r="AB716" s="198" t="inlineStr">
        <is>
          <t>→ PROCEED TO FORMULATION. You now have behavioural-level data. Place it in the Interactive Factors Framework and ask what interacts with it.
→ IF the pattern is task-linked, proceed to attainment assessment to test whether an unmet learning need is driving it.
→ IF the pattern is social, proceed to SRS-2 parent and teacher, and to a pupil interview about friendship.
→ IF the pattern is adult-linked, proceed to teacher consultation rather than more child-level assessment.
→ IF nothing you observed matches the referral, that is the finding. Go back to the referrer and re-negotiate the question before assessing further.
→ ALWAYS: write up within 24 hours, complete the Appendix 7 form if observed, and log it in the Log sheet against both the referral area and the competency.</t>
        </is>
      </c>
      <c r="AC716" s="165" t="inlineStr">
        <is>
          <t>Bring the grid itself, not your summary. Ask your supervisor to read the raw data before you tell them your interpretation.
Ask: 'what would you have counted differently?' Observation definitions are where experienced practitioners disagree most.
Raise any moment you were unsure whether to intervene — a child excluded, a staff response you found uncomfortable. That is a real supervision item.
Ask whether your comparison peer was appropriately chosen. Trainees routinely pick a child who is too settled.
If the observation disconfirmed the referral hypothesis, bring that — how to feed back a disconfirming finding to a school is a skill in itself.
Ask for your supervisor to observe you observing, and complete the Appendix 7 the same day.</t>
        </is>
      </c>
      <c r="AD716" s="164" t="inlineStr">
        <is>
          <t>WHAT GOOD LOOKS LIKE: 'I defined associative play in writing before I went in, and when I got there I realised my definition did not cover parallel play at the water tray, which was most of what I saw. I recorded it as a margin note rather than forcing it into the category, and I revised the definition before the second observation. My first definition was built from the referral wording rather than from the setting.'
WHAT POOR LOOKS LIKE: 'The observation went well. The child did not play with others much. This confirmed the teacher's concerns.' — this describes an outcome, names no method, tests nothing and shows no self-examination.
PROMPT 1 — What did I decide to count, and what did that decision make invisible?
PROMPT 2 — Did I go in with a hypothesis, or with an expectation? What is the difference in this case?
PROMPT 3 — What did I feel while watching, and did it change what I recorded? Discomfort at seeing a child excluded is information about you as well as the room.
PROMPT 4 — Whose account of those twenty minutes would differ from mine, and why?
PROMPT 5 — What would I need to see to conclude I was wrong?
CORU 5.44 requires reflecting on how your own culture, values and beliefs shape practice. An observation of a child from a different cultural background is a live instance.</t>
        </is>
      </c>
      <c r="AE716" s="171" t="inlineStr">
        <is>
          <t>YEAR 1 — ROSCOMMON, DONE: you completed class and yard observations across five cases. Evidence exists.
YEAR 1 — CAVAN, OCT–DEC 2026: target the Early Years band specifically. Play observation is the method that band depends on and you have no Early Years evidence. Request it in the Appendix 1 in week one — it cannot be added retrospectively.
YEAR 1 — BY DECEMBER: at least one observation with a written operational definition, a comparison peer and an inter-observer agreement check. Complete the Appendix 7 form the same day.
YEAR 2 — PRIMARY CARE AND DISABILITY: observation in clinic and home settings rather than classrooms. Different environment, same method, new limitations to write about.
YEAR 2 — extend to special settings, which you also currently lack and which PSI 3.3.6 requires.
YEAR 3 — FUNDER PLACEMENT: observation as part of a practice-based research design, with reliability reported. This is also how the Research competency gets evidenced.
SEQUENCE NOTE: observation comes before formulation and before intervention in every case. If you are observing after you have written the recommendation, the order has gone wrong.</t>
        </is>
      </c>
      <c r="AF716" s="171" t="inlineStr">
        <is>
          <t>→ Parten, M. B. (1932). Social participation among pre-school children. Journal of Abnormal and Social Psychology, 27(3), 243–269.
→ Piaget, J. (1962). Play, Dreams and Imitation in Childhood. Norton. (Originally published 1945.)
→ Vygotsky, L. S. (1978). Mind in Society. Harvard University Press. — the play chapter.
→ Smilansky, S. (1968). The Effects of Sociodramatic Play on Disadvantaged Preschool Children. Wiley.
→ Hintze, J. M. (2005). Psychometrics of direct observation. School Psychology Review, 34(4), 507–519.
→ Fantuzzo, J., Sutton-Smith, B., Coolahan, K., et al. (1995). Penn Interactive Peer Play Scale. Early Childhood Research Quarterly, 10(1).
→ Burgess, A., et al. (2024). Clinical utility and psychometric properties of tools for early detection of developmental concerns. DMCN.</t>
        </is>
      </c>
    </row>
    <row r="717" outlineLevel="2" ht="15" customHeight="1" s="128">
      <c r="C717" s="175" t="inlineStr">
        <is>
          <t>Structured play observation</t>
        </is>
      </c>
      <c r="D717" s="175" t="inlineStr">
        <is>
          <t>Citation</t>
        </is>
      </c>
      <c r="F717" s="196" t="inlineStr">
        <is>
          <t>Parten, M. B. (1932). Social participation among pre-school children. Journal of Abnormal and Social Psychology, 27(3), 243–269.</t>
        </is>
      </c>
    </row>
    <row r="718" outlineLevel="2" ht="32.25" customHeight="1" s="128">
      <c r="C718" s="175" t="inlineStr">
        <is>
          <t>Structured play observation</t>
        </is>
      </c>
      <c r="D718" s="175" t="inlineStr">
        <is>
          <t>Citation</t>
        </is>
      </c>
      <c r="F718" s="165" t="inlineStr">
        <is>
          <t>Piaget, J. (1962). Play, Dreams and Imitation in Childhood. Norton. (Originally published 1945.)</t>
        </is>
      </c>
    </row>
    <row r="719" outlineLevel="2" ht="32.25" customHeight="1" s="128">
      <c r="C719" s="175" t="inlineStr">
        <is>
          <t>Structured play observation</t>
        </is>
      </c>
      <c r="D719" s="175" t="inlineStr">
        <is>
          <t>Citation</t>
        </is>
      </c>
      <c r="F719" s="165" t="inlineStr">
        <is>
          <t>Vygotsky, L. S. (1978). Mind in Society. Harvard University Press. — the play chapter.</t>
        </is>
      </c>
    </row>
    <row r="720" outlineLevel="2" ht="32.25" customHeight="1" s="128">
      <c r="C720" s="175" t="inlineStr">
        <is>
          <t>Structured play observation</t>
        </is>
      </c>
      <c r="D720" s="175" t="inlineStr">
        <is>
          <t>Citation</t>
        </is>
      </c>
      <c r="F720" s="165" t="inlineStr">
        <is>
          <t>Smilansky, S. (1968). The Effects of Sociodramatic Play on Disadvantaged Preschool Children. Wiley.</t>
        </is>
      </c>
    </row>
    <row r="721" outlineLevel="2" ht="15" customHeight="1" s="128">
      <c r="C721" s="175" t="inlineStr">
        <is>
          <t>Structured play observation</t>
        </is>
      </c>
      <c r="D721" s="175" t="inlineStr">
        <is>
          <t>Citation</t>
        </is>
      </c>
      <c r="F721" s="196" t="inlineStr">
        <is>
          <t>Hintze, J. M. (2005). Psychometrics of direct observation. School Psychology Review, 34(4), 507–519.</t>
        </is>
      </c>
    </row>
    <row r="722" outlineLevel="2" ht="15" customHeight="1" s="128">
      <c r="C722" s="175" t="inlineStr">
        <is>
          <t>Structured play observation</t>
        </is>
      </c>
      <c r="D722" s="175" t="inlineStr">
        <is>
          <t>Citation</t>
        </is>
      </c>
      <c r="F722" s="196" t="inlineStr">
        <is>
          <t>Fantuzzo, J., Sutton-Smith, B., Coolahan, K., et al. (1995). Penn Interactive Peer Play Scale. Early Childhood Research Quarterly, 10(1).</t>
        </is>
      </c>
    </row>
    <row r="723" outlineLevel="2" ht="15" customHeight="1" s="128">
      <c r="C723" s="175" t="inlineStr">
        <is>
          <t>Structured play observation</t>
        </is>
      </c>
      <c r="D723" s="175" t="inlineStr">
        <is>
          <t>Citation</t>
        </is>
      </c>
      <c r="F723" s="196" t="inlineStr">
        <is>
          <t>Burgess, A., et al. (2024). Clinical utility and psychometric properties of tools for early detection of developmental concerns. DMCN.</t>
        </is>
      </c>
    </row>
    <row r="724" ht="408.75" customHeight="1" s="128">
      <c r="A724" s="158" t="inlineStr">
        <is>
          <t>METHOD</t>
        </is>
      </c>
      <c r="B724" s="159" t="inlineStr">
        <is>
          <t>Competency 3 Intervention · Competency 5 Working with Others</t>
        </is>
      </c>
      <c r="C724" s="161" t="inlineStr">
        <is>
          <t>Solution-focused pupil interview</t>
        </is>
      </c>
      <c r="D724" s="158" t="inlineStr">
        <is>
          <t>Method in full</t>
        </is>
      </c>
      <c r="E724" s="161" t="inlineStr">
        <is>
          <t>Solution-focused pupil interview</t>
        </is>
      </c>
      <c r="F724" s="162" t="inlineStr">
        <is>
          <t>Everything about this method is on this row. Scroll right.</t>
        </is>
      </c>
      <c r="G724" s="197" t="inlineStr">
        <is>
          <t>2.3 · 5.18 · 5.21 · 5.22 · 5.33</t>
        </is>
      </c>
      <c r="H724" s="197" t="inlineStr">
        <is>
          <t>1.3.1 · 1.4.1 · 1.4.2 · 2.2.2</t>
        </is>
      </c>
      <c r="I724" s="158" t="n"/>
      <c r="J724" s="158" t="n"/>
      <c r="K724" s="158" t="n"/>
      <c r="L724" s="158" t="n"/>
      <c r="M724" s="165" t="inlineStr">
        <is>
          <t>Solution-Focused Brief Therapy was developed by STEVE DE SHAZER and INSOO KIM BERG with colleagues at the Brief Family Therapy Center, Milwaukee, from 1978 onwards.
It grew out of the Mental Research Institute brief therapy tradition in Palo Alto and from the work of MILTON ERICKSON, but broke from it by abandoning problem analysis altogether.
The founding observation was empirical rather than theoretical: de Shazer's team noticed that clients who described exceptions — times the problem did not occur — improved, regardless of whether anyone understood the cause.
The MIRACLE QUESTION was reportedly developed after a client, asked what would need to happen, replied that it would take a miracle. Berg formalised it.
Its arrival in educational psychology is largely through UK practice in the 1990s and 2000s. RHYDDERCH and GAMESON built constructionist assumptions into COMOIRA (2008), which is on the UCD handbook's named framework list.
It is widely used in NEPS practice and is within trainee competence with supervision — unlike most therapeutic models.</t>
        </is>
      </c>
      <c r="N724" s="164" t="inlineStr">
        <is>
          <t>The evidence base for SFBT is moderate and growing, with most trials in mental health rather than education.
Kim (2008) meta-analysed SFBT outcomes and found small but positive effects, strongest for internalising problems.
Gingerich &amp; Peterson (2013) systematically reviewed 43 studies and concluded SFBT is effective across a range of problems, while noting methodological weaknesses in many of the studies.
Bond et al. (2013) reviewed SFBT specifically with children and families and found promising but limited evidence — 38 studies, most of modest quality.
BE HONEST ABOUT THIS IN REPORTS. The evidence supports SFBT as a reasonable approach, not as an established treatment. PSI 4.2.2 requires you not to exaggerate effectiveness.
Its practical advantage in schools is fit rather than superiority: it is brief, it does not require a diagnosis, it does not require you to work outside trainee competence, and it produces goals the school can act on.</t>
        </is>
      </c>
      <c r="O724" s="165" t="inlineStr">
        <is>
          <t>WHEN IT IS NEEDED: when you need the child's own account and their view of what would help; when the adults around the child disagree and you need a route that does not require deciding who is right; when time is short; when the referral is about motivation, confidence or school experience rather than a specific skill.
WHY: it puts the child's construction into the formulation, which every named framework requires and which trainee reports most often omit.
WHEN IT IS NOT RIGHT: where there is risk or a safeguarding concern — stop and follow the protocol. Where trauma is disclosed — that is outside trainee competence and needs referral. Where the child is not ready to talk; forcing it damages the relationship the school has to maintain.</t>
        </is>
      </c>
      <c r="P724" s="165" t="inlineStr">
        <is>
          <t>WHAT YOU NEED: a quiet room the child is not in trouble in. Twenty to thirty minutes. Paper and pen for scaling, or a printed scaling line.
Consent from parent, assent from the child, and a clear sentence about confidentiality and its limits, said BEFORE you start: 'What you say stays between us, unless you tell me something that makes me worried you or someone else isn't safe — then I'd have to tell someone who can help, and I'd tell you first.'
Optional and often useful with younger children: Blob Tree, How Do You Feel cards, or a simple drawn scale.
Know your referral route before you go in, in case something comes up.</t>
        </is>
      </c>
      <c r="Q724" s="165" t="inlineStr">
        <is>
          <t>STEP 1 — Set up. Explain who you are, why you're here, how long, and what happens to what they say. Ask if they have questions. Wait.
STEP 2 — Problem-free talk. Two or three minutes about something unrelated — what they like, what they're good at. This is not small talk; it establishes competence before difficulty.
STEP 3 — Best hopes. 'What are your best hopes from us talking today?' This sets the agenda as theirs.
STEP 4 — The preferred future or miracle question. 'Suppose tonight while you're asleep, the thing that's been hard just stopped being hard. You wouldn't know, because you were asleep. What's the first small thing you'd notice tomorrow morning that tells you something's different?'
STEP 5 — Exceptions. 'When has a bit of that already happened, even a little?' Follow every exception with 'how did you do that?'
STEP 6 — Scaling. 'On a line from 0 to 10, where 10 is that morning you just described and 0 is the opposite — where are you today?' Then: 'What put you at a 4 and not a 2?' NEVER ask what would get them to 10. Ask what one point up would look like.
STEP 7 — Close with a compliment that is specific and evidenced from what they said, and one small next step in their own words.
STEP 8 — Record verbatim where you can. Their words go in the report, not your paraphrase.</t>
        </is>
      </c>
      <c r="R724" s="165" t="inlineStr">
        <is>
          <t>EARLY YEARS 0–5 — not appropriate in this form. The language demands are beyond most children under 6.
Substitute: play-based observation, and the adults' accounts. Where a young child can indicate preference, use pictures or objects rather than scaling.
If you use any scaling at all with a 5-year-old, use three points with faces, not 0–10.</t>
        </is>
      </c>
      <c r="S724" s="165" t="inlineStr">
        <is>
          <t>SCHOOL AGE 6–12 — this is where it works best in school settings.
Concretise everything. Use a drawn ladder or a line on paper rather than an abstract 0–10.
Shorten the miracle question: 'If tomorrow was a really good day at school, what would be different?'
Use 'how did you do that?' relentlessly after any exception — children rarely attribute success to themselves and the question does most of the therapeutic work.
Keep it to 20 minutes. Younger children tire and start agreeing with you.</t>
        </is>
      </c>
      <c r="T724" s="165" t="inlineStr">
        <is>
          <t>ADOLESCENT 13–16 — works well, but the set-up matters more.
Be explicit that you are not there to report back to the school on what they say, within the confidentiality limits you have stated.
Scaling can be abstract at this age. 'Best hopes' works; the miracle question can feel childish if delivered in its full form — 'if things were going the way you'd want in six months, what would be different?' is the adolescent version.
Watch for risk indicators throughout. If they appear, stop the interview and follow the protocol.</t>
        </is>
      </c>
      <c r="U724" s="154" t="inlineStr">
        <is>
          <t>WORKED EXAMPLE — 4th class pupil, referred for 'won't try, gives up'.
PROBLEM-FREE TALK: 'Tell me something you're good at.' — [child talks about Minecraft for two minutes.]
BEST HOPES: 'What would make this chat worth doing?' — 'Dunno. Maybe school being less annoying.'
PREFERRED FUTURE: 'If tomorrow was a good day at school, what's the first thing that'd be different?' — 'I'd put my hand up once.'
EXCEPTION: 'When did that last happen?' — 'Last Tuesday, in maths.' → 'How did you do that?' — 'I knew the answer 'cause we did it at home.'
SCALING: 'Line from 0 to 10, 10 is that good day. Where are you now?' — '3.' → 'What puts you at a 3 and not a 1?' — 'I still go in. And I like Ms [X].'
ONE POINT UP: 'What would a 4 look like?' — 'Ask her for help instead of just sitting there.'
COMPLIMENT: 'You worked out for yourself that knowing it beforehand made it easier to put your hand up. That's a useful thing to have noticed about yourself.'
WHAT GOES IN THE REPORT: '[Child] identified that he is more likely to participate when he has encountered the material previously, and named asking his teacher for help as his own next step. He rated his current school experience at 3 out of 10, attributing this to his relationship with his class teacher and his continued attendance. His account is consistent with a confidence difficulty secondary to an unmet learning need rather than a primary motivational difficulty; this hypothesis is tested against the attainment data below.'</t>
        </is>
      </c>
      <c r="V724" s="165" t="inlineStr">
        <is>
          <t>SOCIAL CONSTRUCTIONISM — the account is not a report on reality; it is constructed in the conversation. This is why the questions change what is known, and why asking about exceptions produces different material from asking about problems.
WITTGENSTEIN'S LANGUAGE GAMES, which de Shazer drew on directly — meaning is use. Talking about solutions builds solution-talk; talking about problems builds problem-talk.
SYSTEMIC AND MRI BRIEF THERAPY — the attempted solution often maintains the problem. This is why 'what have you already tried?' matters.
SELF-DETERMINATION THEORY (Deci &amp; Ryan) — autonomy, competence and relatedness. The child setting their own next step is not a technique for compliance; it is the mechanism.
NOT PSYCHODYNAMIC AND NOT CBT. It does not require insight into cause and does not restructure cognition. Be clear about that if asked.</t>
        </is>
      </c>
      <c r="W724" s="165" t="inlineStr">
        <is>
          <t>COMOIRA (Gameson &amp; Rhydderch, 2008) — the natural fit. Change-focused, constructionist, holds multiple accounts without adjudicating.
INTERACTIVE FACTORS FRAMEWORK — the child's account belongs at the affective and behavioural levels; test it against cognitive and environmental data.
MONSEN — the interview generates and tests hypotheses about the child's own construction. Record which hypothesis it supported and which it weakened.
NEPS CONTINUUM OF SUPPORT — the agreed next step should map to a level and to a named person.
CARR — useful where you need onset and maintenance; solution-focused work deliberately does not ask about cause, so pair it with something that does if that is the question.</t>
        </is>
      </c>
      <c r="X724" s="166" t="inlineStr">
        <is>
          <t>RED FLAG — any indication of self-harm, suicidal thinking, abuse or harm to others. STOP the interview. Do not probe. Record verbatim with the time. Supervisor the same day, DLP route, Tusla report where the threshold is met.
RED FLAG — a child who discloses something and then asks you not to tell. You must have said at the START that you cannot promise that. If you did not say it, you have a much harder conversation now.
RED FLAG — a scaling answer of 0 or 1 with no exception the child can name. That is not a solution-focused conversation any more; it is a wellbeing concern.
BOUNDARY — if the conversation moves toward trauma, bereavement or mental health difficulty, you stop. Year 1 trainee competence does not extend to therapeutic work. PSI 2.2.2 and 2.2.3.
CONFIDENTIALITY SCRIPT, said before you begin: 'What you say stays between us, unless you tell me something that makes me worried that you or someone else isn't safe. Then I'd have to tell someone who can help, and I'd tell you first.'
Know your referral route BEFORE you go into the room.</t>
        </is>
      </c>
      <c r="Y724" s="165" t="inlineStr">
        <is>
          <t>The child's own construction of the difficulty, which every named framework requires and which trainee reports most often omit.
What is already working — exceptions are intervention material you did not have to invent.
Their attribution: do they think effort or ability accounts for the exception? That predicts a great deal.
A goal in their own words, which is the goal most likely to be pursued.
Their relationship with school and with specific adults, which usually emerges unprompted at the scaling question.
What you did NOT learn: the cause, the diagnosis, or anything about attainment. Do not let the interview substitute for assessment.</t>
        </is>
      </c>
      <c r="Z724" s="165" t="inlineStr">
        <is>
          <t>Q: 'Shouldn't you find out what's actually wrong?' — A: 'I do that too, through the assessment and the teacher's account. This part is about what he thinks would help, because interventions he's agreed to are the ones that work.'
Q: 'He just told you what you wanted to hear.' — A: 'That's a real risk, which is why I ask about times it's already gone well rather than asking him to predict. It's harder to invent something that happened last Tuesday.'
Q: 'Isn't this therapy? Are you qualified?' — A: 'No. This is a structured interview to get his view and set a goal. I don't do therapy, and if it looked like that's what he needed, I'd say so and tell you who does.'
Q: 'Why didn't you ask what would get him to 10?' — A: 'Because 10 is usually out of reach and asking about it tends to make people feel further away. One point up is something he can do this week.'
Q: 'Will you tell the school what he said?' — A: 'I told him what I'd share and what I wouldn't, before we started. What goes in the report is what helps them help him, and he knows that.'
Q: 'What if he'd said something worrying?' — A: 'I told him at the start that I'd have to pass that on, and I'd have stopped and done that the same day.'</t>
        </is>
      </c>
      <c r="AA724" s="165" t="inlineStr">
        <is>
          <t>WHY THIS OVER A PROBLEM-FOCUSED INTERVIEW: problem-focused interviewing with a child who already feels they are the problem tends to confirm that. Exception-finding produces information you can build on.
WHY THIS OVER A SELF-REPORT QUESTIONNAIRE: RCADS or Piers-Harris give you a score. This gives you their account, their goal and their own attribution — which is what the formulation needs and what the intervention runs on.
WHY THIS OVER CBT-INFORMED WORK: CBT with a child is beyond Year 1 trainee competence without specific training and supervision. SFBT scaling and exception-finding is not.
WHY NOT MOTIVATIONAL INTERVIEWING: MI is a reasonable alternative and has a stronger evidence base in some areas, but it was developed for ambivalence about behaviour change in adults and its adolescent school applications are less established. SFBT fits the school context better.
BE HONEST ABOUT THE LIMIT: this produces a goal and a direction. It does not treat anxiety, depression or trauma. Say so and refer.</t>
        </is>
      </c>
      <c r="AB724" s="198" t="inlineStr">
        <is>
          <t>→ PROCEED TO FORMULATION. You now have the child's construction. Put it beside the parent's and the teacher's and write down where they conflict.
→ IF the child names a learning barrier, proceed to attainment assessment. Confidence difficulties are frequently secondary.
→ IF the child names a social barrier, proceed to observation at break and to SRS-2 if autism is in question.
→ IF the child names an adult relationship, proceed to teacher consultation — the intervention is at that level, not the child's.
→ IF risk emerged, none of the above. Follow the protocol, then supervision.
→ ALWAYS: record their words verbatim, and carry the agreed next step into the recommendations with a named person and a review date.</t>
        </is>
      </c>
      <c r="AC724" s="165" t="inlineStr">
        <is>
          <t>Bring the verbatim record, not your summary. Your paraphrase will have smoothed the child's language into yours.
Ask: 'where did I close something down?' Trainees close exceptions by moving on too fast.
Raise any moment you were tempted to give advice. The pull toward the expert role is strongest with a child who seems stuck.
Ask whether the confidentiality framing you used was adequate, word for word.
If the interview produced nothing usable, bring that — it usually means the set-up, not the child.
Discuss the boundary explicitly: at what point in that conversation would you have stopped, and did you notice it in time?</t>
        </is>
      </c>
      <c r="AD724" s="164" t="inlineStr">
        <is>
          <t>WHAT GOOD LOOKS LIKE: 'He answered the miracle question with "I'd put my hand up once", and my instinct was to move to scaling. Instead I asked how he had done it the previous Tuesday, and he told me he had covered the material at home first. That was the most important thing said in the session and I nearly missed it by following my own structure rather than his answer. I have started writing exception follow-ups into my plan rather than trusting myself to remember.'
WHAT POOR LOOKS LIKE: 'I used solution-focused questions and the child engaged well. He set a goal of asking for help. This will be shared with the school.' — technique named, no reasoning shown, nothing learned about oneself.
PROMPT 1 — Whose agenda was the conversation on: mine, the school's, or the child's?
PROMPT 2 — Where did I move on too quickly, and what was I avoiding?
PROMPT 3 — Did I stay inside my competence? Was there a moment I nearly did not?
PROMPT 4 — What did the child say that I did not want to hear, and what did I do with it?
PROMPT 5 — If the school disagrees with his account, whose version will end up in my report, and why?
CORU 5.44 and 5.45 — reflect on your own emotional response, particularly if the child's situation resembled anything of your own.</t>
        </is>
      </c>
      <c r="AE724" s="171" t="inlineStr">
        <is>
          <t>YEAR 1 — ROSCOMMON, DONE: pupil interviews completed, solution-focused framework used, one observed by your supervisor.
YEAR 1 — CAVAN, OCT–DEC 2026: extend to post-primary. Adolescent interviewing is a different skill and PSI 3.3.6 requires post-primary experience you do not yet have. Target it in weeks 5 and 6.
YEAR 1 — BY DECEMBER: at least one interview where you recorded the child's words verbatim and the agreed step appears in the recommendations with a named person.
YEAR 2 — PRIMARY CARE: solution-focused work with parents as well as children. Broader application, same model.
YEAR 2 — DISABILITY: adapt for children with limited verbal language — pictures, objects, three-point scales. This is a genuinely different skill.
YEAR 3 — supervise or model the approach for a colleague, and consider it as the intervention arm of a practice-based research design.
SEQUENCE NOTE: the pupil interview belongs BEFORE the feedback meeting and before the recommendations are written. If you are interviewing the child after you have decided what to recommend, it is decoration.</t>
        </is>
      </c>
      <c r="AF724" s="171" t="inlineStr">
        <is>
          <t>→ de Shazer, S. (1985). Keys to Solution in Brief Therapy. Norton.
→ Berg, I. K., &amp; de Shazer, S. (1993). Making numbers talk: Language in therapy. In S. Friedman (Ed.), The New Language of Change. Guilford.
→ Ratner, H., George, E., &amp; Iveson, C. (2012). Solution Focused Brief Therapy: 100 Key Points and Techniques. Routledge.
→ Kim, J. S. (2008). Examining the effectiveness of solution-focused brief therapy: A meta-analysis. Research on Social Work Practice, 18(2), 107–116.
→ Gingerich, W. J., &amp; Peterson, L. T. (2013). Effectiveness of solution-focused brief therapy: A systematic qualitative review of controlled outcome studies. Research on Social Work Practice, 23(3), 266–283.
→ Bond, C., Woods, K., Humphrey, N., Symes, W., &amp; Green, L. (2013). Practitioner review: The effectiveness of solution focused brief therapy with children and families. Journal of Child Psychology and Psychiatry, 54(7), 707–723.
→ Gameson, J., &amp; Rhydderch, G. (2008). COMOIRA. In Kelly, Woolfson &amp; Boyle (Eds.), Frameworks for Practice in Educational Psychology. Jessica Kingsley.</t>
        </is>
      </c>
    </row>
    <row r="725" outlineLevel="2" ht="21.75" customHeight="1" s="128">
      <c r="C725" s="175" t="inlineStr">
        <is>
          <t>Solution-focused pupil interview</t>
        </is>
      </c>
      <c r="D725" s="175" t="inlineStr">
        <is>
          <t>Citation</t>
        </is>
      </c>
      <c r="F725" s="165" t="inlineStr">
        <is>
          <t>de Shazer, S. (1985). Keys to Solution in Brief Therapy. Norton.</t>
        </is>
      </c>
    </row>
    <row r="726" outlineLevel="2" ht="42.75" customHeight="1" s="128">
      <c r="C726" s="175" t="inlineStr">
        <is>
          <t>Solution-focused pupil interview</t>
        </is>
      </c>
      <c r="D726" s="175" t="inlineStr">
        <is>
          <t>Citation</t>
        </is>
      </c>
      <c r="F726" s="165" t="inlineStr">
        <is>
          <t>Berg, I. K., &amp; de Shazer, S. (1993). Making numbers talk: Language in therapy. In S. Friedman (Ed.), The New Language of Change. Guilford.</t>
        </is>
      </c>
    </row>
    <row r="727" outlineLevel="2" ht="42.75" customHeight="1" s="128">
      <c r="C727" s="175" t="inlineStr">
        <is>
          <t>Solution-focused pupil interview</t>
        </is>
      </c>
      <c r="D727" s="175" t="inlineStr">
        <is>
          <t>Citation</t>
        </is>
      </c>
      <c r="F727" s="165" t="inlineStr">
        <is>
          <t>Ratner, H., George, E., &amp; Iveson, C. (2012). Solution Focused Brief Therapy: 100 Key Points and Techniques. Routledge.</t>
        </is>
      </c>
    </row>
    <row r="728" outlineLevel="2" ht="15" customHeight="1" s="128">
      <c r="C728" s="175" t="inlineStr">
        <is>
          <t>Solution-focused pupil interview</t>
        </is>
      </c>
      <c r="D728" s="175" t="inlineStr">
        <is>
          <t>Citation</t>
        </is>
      </c>
      <c r="F728" s="196" t="inlineStr">
        <is>
          <t>Kim, J. S. (2008). Examining the effectiveness of solution-focused brief therapy: A meta-analysis. Research on Social Work Practice, 18(2), 107–116.</t>
        </is>
      </c>
    </row>
    <row r="729" outlineLevel="2" ht="15" customHeight="1" s="128">
      <c r="C729" s="175" t="inlineStr">
        <is>
          <t>Solution-focused pupil interview</t>
        </is>
      </c>
      <c r="D729" s="175" t="inlineStr">
        <is>
          <t>Citation</t>
        </is>
      </c>
      <c r="F729" s="196" t="inlineStr">
        <is>
          <t>Gingerich, W. J., &amp; Peterson, L. T. (2013). Effectiveness of solution-focused brief therapy: A systematic qualitative review of controlled outcome studies. Research on Social Work Practice, 23(3), 266–283.</t>
        </is>
      </c>
    </row>
    <row r="730" outlineLevel="2" ht="15" customHeight="1" s="128">
      <c r="C730" s="175" t="inlineStr">
        <is>
          <t>Solution-focused pupil interview</t>
        </is>
      </c>
      <c r="D730" s="175" t="inlineStr">
        <is>
          <t>Citation</t>
        </is>
      </c>
      <c r="F730" s="196" t="inlineStr">
        <is>
          <t>Bond, C., Woods, K., Humphrey, N., Symes, W., &amp; Green, L. (2013). Practitioner review: The effectiveness of solution focused brief therapy with children and families. Journal of Child Psychology and Psychiatry, 54(7), 707–723.</t>
        </is>
      </c>
    </row>
    <row r="731" outlineLevel="2" ht="42.75" customHeight="1" s="128">
      <c r="C731" s="175" t="inlineStr">
        <is>
          <t>Solution-focused pupil interview</t>
        </is>
      </c>
      <c r="D731" s="175" t="inlineStr">
        <is>
          <t>Citation</t>
        </is>
      </c>
      <c r="F731" s="165" t="inlineStr">
        <is>
          <t>Gameson, J., &amp; Rhydderch, G. (2008). COMOIRA. In Kelly, Woolfson &amp; Boyle (Eds.), Frameworks for Practice in Educational Psychology. Jessica Kingsley.</t>
        </is>
      </c>
    </row>
    <row r="732" ht="408.75" customHeight="1" s="128">
      <c r="A732" s="158" t="inlineStr">
        <is>
          <t>METHOD</t>
        </is>
      </c>
      <c r="B732" s="159" t="inlineStr">
        <is>
          <t>Competency 1 Assessment · Competency 2 Formulation · Competency 5 Working with Others</t>
        </is>
      </c>
      <c r="C732" s="161" t="inlineStr">
        <is>
          <t>Parent developmental history interview</t>
        </is>
      </c>
      <c r="D732" s="158" t="inlineStr">
        <is>
          <t>Method in full</t>
        </is>
      </c>
      <c r="E732" s="161" t="inlineStr">
        <is>
          <t>Parent developmental history interview</t>
        </is>
      </c>
      <c r="F732" s="162" t="inlineStr">
        <is>
          <t>Everything about this method is on this row. Scroll right.</t>
        </is>
      </c>
      <c r="G732" s="197" t="inlineStr">
        <is>
          <t>1.15 · 2.2 · 3.1 · 5.2 · 5.12</t>
        </is>
      </c>
      <c r="H732" s="197" t="inlineStr">
        <is>
          <t>1.1.1 · 1.2.8 · 1.3.4 · 1.3.5</t>
        </is>
      </c>
      <c r="I732" s="158" t="n"/>
      <c r="J732" s="158" t="n"/>
      <c r="K732" s="158" t="n"/>
      <c r="L732" s="158" t="n"/>
      <c r="M732" s="165" t="inlineStr">
        <is>
          <t>The developmental history interview has no single originator — it comes from paediatrics and child psychiatry and entered psychology practice through the case-history tradition.
ADOLF MEYER's 'life chart' (early 1900s) is the direct ancestor: a structured chronological record of a person's life events set against their difficulties, designed to show timing.
In child assessment the structure was formalised through instruments such as the Vineland (Doll, 1935) and later the ADI-R (Lord, Rutter &amp; Le Couteur, 1994), which is the most rigorously standardised developmental history interview in existence.
In Irish and UK educational psychology the interview is usually semi-structured and service-specific rather than standardised — NEPS uses its own intake format.
ALAN CARR's formulation model (Handbook of Child and Adolescent Clinical Psychology, 3rd ed. 2015) sets out predisposing, precipitating, perpetuating and protective factors, which is the structure the interview should be gathering for. Carr is on the UCD handbook's named framework list.</t>
        </is>
      </c>
      <c r="N732" s="164" t="inlineStr">
        <is>
          <t>Parent recall is the instrument, and it is known to be imperfect. Retrospective reporting of developmental milestones is subject to telescoping (events remembered as more recent) and to recall bias shaped by the current diagnosis or concern.
Majnemer &amp; Rosenblatt (1994) and later work found parental recall of milestone ages is moderately accurate for salient milestones (walking, first words) and poor for finer detail.
Recall improves substantially when anchored to records — child health book, PHN records, photographs, or events ('was she walking at her first Christmas?').
Where accuracy matters, the ADI-R exists and is standardised, but it is a specialist instrument requiring training and is used by diagnostic teams, not routinely by NEPS.
The interview's real strength is not precision about dates. It is TIMING AND SEQUENCE — which difficulty came first — which is the single most useful thing for distinguishing primary from secondary needs.</t>
        </is>
      </c>
      <c r="O732" s="165" t="inlineStr">
        <is>
          <t>WHEN IT IS NEEDED: at the start of almost every individual assessment. Always where a developmental condition is in question, where onset matters, or where the school's account and the child's presentation do not fit together.
WHY: because you cannot distinguish a primary from a secondary need without knowing the order things happened in. A behaviour difficulty that began when independent written work started is a different finding from one present since preschool.
WHEN TO BE CAUTIOUS: where there is a child protection concern, where parental capacity is itself under assessment, or where asking about early history could be distressing (bereavement, trauma, adoption). Prepare, and know your limits — if it moves toward trauma, you stop.</t>
        </is>
      </c>
      <c r="P732" s="165" t="inlineStr">
        <is>
          <t>WHAT YOU NEED: 45–60 minutes uninterrupted. A quiet room. A written prompt list so you do not have to remember the sequence.
Ask the parent in advance to bring the child health record book, any previous reports, and the PHN or hospital letters. This transforms accuracy.
An interpreter, briefed beforehand, if English is not the parent's first language. Allow double the time. Brief them: first person, no summarising, no editing.
The Interactive Factors prompt (Part C of this workbook) as your coverage check — it lists the environmental, biological, cognitive, affective and behavioural domains you should be gathering across.
Know your referral routes before you begin.</t>
        </is>
      </c>
      <c r="Q732" s="165" t="inlineStr">
        <is>
          <t>STEP 1 — Consent and framing. Explain what the interview is for, how long, what you will write down, who will read it, and that they can decline any question. PSI 1.3.4 and 1.3.5 set out what must be understood.
STEP 2 — Start with the child, not the history. 'Tell me about [child] — what's she like?' This gets you strengths, the parent's own construction, and a working relationship.
STEP 3 — Presenting concern and its timeline. 'When did you first notice?' 'What was happening around then?' 'Has it changed?'
STEP 4 — Pregnancy, birth and neonatal period. Brief unless indicated. Prematurity, birth complications, neonatal care.
STEP 5 — Milestones, anchored. Sitting, walking, first words, phrases, toilet training. Anchor each to an event rather than asking for an age.
STEP 6 — Health. Hearing, vision, ear infections and glue ear, illnesses, hospital admissions, medication, sleep, diet. ASK ABOUT HEARING IN THE INFANT YEARS SPECIFICALLY — glue ear at 5 shows up as a literacy difficulty at 8 and is routinely missed.
STEP 7 — Education history. Preschool, transitions, school moves, absences, supports already tried and what happened.
STEP 8 — Family and social context. Who is at home, significant changes, bereavements, other services involved. Follow the parent's lead on depth.
STEP 9 — The parent's own view. 'What do you think is going on?' Parents usually have a hypothesis, are rarely asked, and are often right.
STEP 10 — Close. Summarise, check for corrections, say what happens next and when.</t>
        </is>
      </c>
      <c r="R732" s="165" t="inlineStr">
        <is>
          <t>EARLY YEARS 0–5 — the developmental history IS the bulk of the assessment at this age.
Go into more detail on pregnancy, birth, feeding, sleep and regulation than you would for an older child.
PHN records and the child health book are central, not optional.
Ask about the preschool's view and about AIM supports already in place.
Be careful with prediction. A delay at two is a description of now. Parents will ask what it means for the future; say honestly what is and is not knowable.</t>
        </is>
      </c>
      <c r="S732" s="165" t="inlineStr">
        <is>
          <t>SCHOOL AGE 6–12 — the emphasis shifts to education history and to sequence.
Spend real time on: when the difficulty started, what was happening in school at that point, what has been tried, and what happened when it was tried.
Hearing history during infant classes is the highest-yield question most trainees skip.
Ask about homework specifically — it is where parents see the difficulty most directly and it rarely appears in the school's account.</t>
        </is>
      </c>
      <c r="T732" s="165" t="inlineStr">
        <is>
          <t>ADOLESCENT 13–16 — early history still matters but is more distant and less reliably recalled.
Weight the recent history more: transitions, subject choices, attendance pattern, peer changes, sleep, screen use, part-time work.
Offer the young person the chance to be present or not, and ask them which they would prefer. Interviewing a parent about an adolescent without the adolescent's knowledge damages trust.
Ask about post-school thinking. It is the live question at this age and it is often absent from the file.</t>
        </is>
      </c>
      <c r="U732" s="154" t="inlineStr">
        <is>
          <t>WORKED EXAMPLE — anchoring a milestone question.
WEAK: 'What age did she start walking?' → 'Ah, around one I think.'
STRONG: 'Was she walking at her first birthday? Do you remember whether she walked at the party, or was she still crawling?' → 'No — she was pulling up on the furniture. She walked properly in the summer, so about fifteen months.'
WEAK: 'Did she have any ear infections?' → 'A few, I suppose.'
STRONG: 'In junior and senior infants, was she ever on antibiotics for her ears, or did anyone mention fluid behind the eardrum? Did she ever have grommets, or was it discussed?' → 'She had grommets in senior infants, actually. I'd forgotten that.'
WHAT THAT ONE ANSWER CHANGES: a child who had significant conductive hearing loss during the two years phonics was taught has a plausible instructional explanation for a decoding difficulty. That reframes the whole formulation and it only emerged because the question was specific.
SAMPLE OPENING SCRIPT: 'Thanks for coming in. I'll be asking about [child] from when she was small right up to now — some of it will feel a long way from why you're here, but the timing of things is often the most useful part. It'll take about an hour. I'll be writing as we go. Anything you'd rather not answer, just say and we'll move on. Before we start — is there anything you want to make sure I know?'</t>
        </is>
      </c>
      <c r="V732" s="165" t="inlineStr">
        <is>
          <t>DEVELOPMENTAL PSYCHOPATHOLOGY — difficulties emerge over time through the interaction of risk and protective processes. This is why sequence matters more than any single data point.
EQUIFINALITY AND MULTIFINALITY — different pathways can lead to the same presentation, and the same risk can lead to different outcomes. This is the formal reason you must generate more than one hypothesis.
CARR'S FOUR-FACTOR MODEL (2015) — predisposing, precipitating, perpetuating and protective. The interview is structured to gather all four, and most trainee interviews gather only the first two.
ECOLOGICAL SYSTEMS THEORY — the interview reaches the mesosystem and exosystem, which observation cannot: family, work, housing, community.
MEMORY RESEARCH — retrospective recall is reconstructive, subject to telescoping and to bias from current concern. This is measurement theory and it is why anchoring works.</t>
        </is>
      </c>
      <c r="W732" s="165" t="inlineStr">
        <is>
          <t>CARR (2015) — the primary framework here. Structure your write-up as predisposing, precipitating, perpetuating, protective.
INTERACTIVE FACTORS FRAMEWORK — the interview is the main source for the biological and environmental levels. Without it your formulation is cognitive and behavioural only.
MONSEN — the history generates hypotheses about sequence. Record which you rejected.
COMOIRA — the parent's construction is not background information; it is one of the accounts you are formulating across.
NEPS CONTINUUM OF SUPPORT — what has already been tried, at what level, and what happened. This belongs in the interview, not only in the school's file.</t>
        </is>
      </c>
      <c r="X732" s="166" t="inlineStr">
        <is>
          <t>RED FLAG — disclosure of harm to the child, domestic violence, or a parent's own risk. STOP the interview. Record verbatim with the time. Supervisor the same day. DLP route and Tusla where the threshold is met.
RED FLAG — a parent who becomes acutely distressed. Stop the history. Your job is to respond to the person, not to complete the form.
BOUNDARY — a parent disclosing their own mental health difficulty. Listen, acknowledge, signpost. Do not take it on. PSI 2.2.2.
SENSITIVITY — bereavement, adoption, separation, migration and trauma may all be in the history. Prepare, ask carefully, and take only what you need. PSI 1.2.1 restricts you to information germane to the purpose.
CONSENT — PSI 1.3.4 and 1.3.5. The parent must understand purpose, what is recorded, who reads it, and that they can decline any question. Say all of it before you start.
INTERPRETERS — brief before, address the parent not the interpreter, allow double the time, and record in the report that an interpreter was used and what it means for interpretation. CORU 2.5.</t>
        </is>
      </c>
      <c r="Y732" s="165" t="inlineStr">
        <is>
          <t>SEQUENCE — which difficulty came first. This is the single highest-value output and it distinguishes primary from secondary needs.
Biological and medical factors nobody else will tell you, particularly hearing history during the infant years.
What has already been tried at home and what happened.
The parent's own hypothesis, which is often correct and rarely solicited.
Protective factors you can build an intervention on.
What you did NOT learn: anything precise about dates without anchoring, and anything about the classroom. The parent has not seen it.</t>
        </is>
      </c>
      <c r="Z732" s="165" t="inlineStr">
        <is>
          <t>Q: 'Why do you need to know about the birth? That was ten years ago.' — A: 'Mostly to rule things out. Occasionally something early explains a lot, and if I don't ask I can't know.'
Q: 'Are you blaming me?' — A: 'No. I'm trying to work out the order things happened in, because that usually tells us what's driving what. Nothing you tell me is about fault.'
Q: 'I can't remember exactly.' — A: 'That's completely normal and it's fine. Let's try anchoring it to something — was she walking at Christmas that year?'
Q: 'Her father would remember better.' — A: 'That's useful to know. Would it help if I spoke to him too, or if you checked with him and let me know?'
Q: 'Will this go on her record?' — A: 'A summary will go in the report. I'll tell you what I'd want to include, and if there's something you'd rather wasn't in there, tell me and we'll talk about it.'
Q: 'What do you think it is?' — A: 'I don't know yet, and I'd rather not guess before I've seen her and spoken to the school. What I can tell you is what I'll be looking at, and when you'll hear from me.'</t>
        </is>
      </c>
      <c r="AA732" s="165" t="inlineStr">
        <is>
          <t>WHY THIS OVER A FORM SENT HOME: a form gets you dates. An interview gets you sequence, the parent's own construction, and the things they did not know were relevant. It also builds the relationship the feedback session depends on.
WHY THIS OVER RELYING ON THE SCHOOL'S ACCOUNT: the school sees the child from age four or five onwards, in one setting. Almost everything about onset is outside their view.
WHY NOT A STANDARDISED INSTRUMENT LIKE THE ADI-R: it is a specialist diagnostic instrument requiring training, used by diagnostic teams. Using it untrained would breach PSI 2.2.2 and 2.2.3.
WHY ANCHORED QUESTIONS OVER OPEN ONES: recall of milestone ages is moderately accurate at best and improves markedly with anchoring. An unanchored age is a guess you will then treat as data.
WHAT I WOULD DO DIFFERENTLY IF: if the parent found the early history distressing, I would gather what was necessary, stop, and note in the report that the history is partial and why.</t>
        </is>
      </c>
      <c r="AB732" s="198" t="inlineStr">
        <is>
          <t>→ PROCEED TO FORMULATION using Carr's four factors. You now have the developmental axis the school's account lacks.
→ IF hearing, vision or a medical factor emerged, rule it out BEFORE any further assessment. Do not assess literacy behind an unchecked hearing history.
→ IF the sequence suggests a primary learning need, proceed to cognitive and attainment assessment.
→ IF the sequence suggests onset tied to an event, proceed with Carr and consider whether this is outside your competence.
→ IF the parent's account and the school's account conflict, name it and proceed to observation to adjudicate where possible.
→ ALWAYS: write up the same day and send the parent a summary of what happens next.</t>
        </is>
      </c>
      <c r="AC732" s="165" t="inlineStr">
        <is>
          <t>Bring the timeline you constructed, and ask whether the sequence you inferred is the only one the data supports.
Raise anything you did not ask because it felt intrusive. That is the most common gap and it is a legitimate supervision item.
Ask about handling a distressed parent — specifically what your supervisor does, in words.
If an interpreter was used, debrief it: what was lost, what took longer, what you would do differently.
Discuss anything the parent asked that you could not answer.
Ask your supervisor to observe one parent interview and complete the Appendix 7 the same day.</t>
        </is>
      </c>
      <c r="AD732" s="164" t="inlineStr">
        <is>
          <t>WHAT GOOD LOOKS LIKE: 'I asked about ear infections as a routine item and almost moved on when she said "a few". I asked specifically about grommets and she remembered he had them in senior infants — the two years phonics was taught. That reframed the whole formulation. I had been treating the question as box-ticking, and I now ask it as a real question with anchors. I also noticed I rushed the family section because I was uncomfortable asking about the separation, and I got less there than I should have.'
WHAT POOR LOOKS LIKE: 'A developmental history was taken from mother. Milestones were within normal limits. There were no significant medical concerns.' — no anchoring, no sequence, no indication that anything was tested.
PROMPT 1 — What did I not ask, and why not? Was it the parent's comfort or mine?
PROMPT 2 — Did I anchor the milestone questions, or accept an estimate and then treat it as data?
PROMPT 3 — What was the parent's own hypothesis, and did I take it seriously or record it politely?
PROMPT 4 — Where did my own assumptions about family, culture or parenting shape what I asked? CORU 5.44.
PROMPT 5 — If this parent read my write-up of this interview, what would they want changed?</t>
        </is>
      </c>
      <c r="AE732" s="171" t="inlineStr">
        <is>
          <t>YEAR 1 — ROSCOMMON, DONE: parent interviews across five cases, including through an interpreter at Boyle. Strong evidence already.
YEAR 1 — CAVAN, OCT–DEC 2026: target Early Years, where the developmental history is the bulk of the assessment. Also target post-primary, where the interview shifts toward recent history and transition.
YEAR 1 — BY DECEMBER: at least one interview with anchored milestone questions and a written four-factor formulation following Carr.
YEAR 2 — PRIMARY CARE: histories taken for a different purpose and with a different threshold. Note how the same method changes with the service.
YEAR 2 — DISABILITY: longer, more complex histories, often with multiple services already involved. Reading the existing reports first becomes essential.
YEAR 3 — FUNDER PLACEMENT: consider whether history-taking quality is itself a practice-based research question.
SEQUENCE NOTE: the developmental history comes FIRST, before cognitive or attainment assessment. Assessing before you know the history means you will interpret scores without knowing what to rule out.</t>
        </is>
      </c>
      <c r="AF732" s="171" t="inlineStr">
        <is>
          <t>→ Carr, A. (2015). The Handbook of Child and Adolescent Clinical Psychology (3rd ed.). Routledge. — the formulation chapter.
→ Lord, C., Rutter, M., &amp; Le Couteur, A. (1994). Autism Diagnostic Interview–Revised. Journal of Autism and Developmental Disorders, 24(5), 659–685.
→ Majnemer, A., &amp; Rosenblatt, B. (1994). Reliability of parental recall of developmental milestones. Pediatric Neurology, 10(4), 304–308.
→ Frederickson, N., &amp; Cline, T. (2009). Special Educational Needs, Inclusion and Diversity (2nd ed.). Open University Press.
→ Monsen, J. J., &amp; Frederickson, N. (2008). The Monsen et al. problem-analysis framework. In Kelly, Woolfson &amp; Boyle (Eds.), Frameworks for Practice in Educational Psychology.
→ Bliznashka, L., et al. (2025). Psychometric properties of early childhood development assessment tools in LMICs. BMJ Open.</t>
        </is>
      </c>
    </row>
    <row r="733" outlineLevel="2" ht="42.75" customHeight="1" s="128">
      <c r="C733" s="175" t="inlineStr">
        <is>
          <t>Parent developmental history interview</t>
        </is>
      </c>
      <c r="D733" s="175" t="inlineStr">
        <is>
          <t>Citation</t>
        </is>
      </c>
      <c r="F733" s="165" t="inlineStr">
        <is>
          <t>Carr, A. (2015). The Handbook of Child and Adolescent Clinical Psychology (3rd ed.). Routledge. — the formulation chapter.</t>
        </is>
      </c>
    </row>
    <row r="734" outlineLevel="2" ht="27.75" customHeight="1" s="128">
      <c r="C734" s="175" t="inlineStr">
        <is>
          <t>Parent developmental history interview</t>
        </is>
      </c>
      <c r="D734" s="175" t="inlineStr">
        <is>
          <t>Citation</t>
        </is>
      </c>
      <c r="F734" s="196" t="inlineStr">
        <is>
          <t>Lord, C., Rutter, M., &amp; Le Couteur, A. (1994). Autism Diagnostic Interview–Revised. Journal of Autism and Developmental Disorders, 24(5), 659–685.</t>
        </is>
      </c>
    </row>
    <row r="735" outlineLevel="2" ht="27.75" customHeight="1" s="128">
      <c r="C735" s="175" t="inlineStr">
        <is>
          <t>Parent developmental history interview</t>
        </is>
      </c>
      <c r="D735" s="175" t="inlineStr">
        <is>
          <t>Citation</t>
        </is>
      </c>
      <c r="F735" s="196" t="inlineStr">
        <is>
          <t>Majnemer, A., &amp; Rosenblatt, B. (1994). Reliability of parental recall of developmental milestones. Pediatric Neurology, 10(4), 304–308.</t>
        </is>
      </c>
    </row>
    <row r="736" outlineLevel="2" ht="32.25" customHeight="1" s="128">
      <c r="C736" s="175" t="inlineStr">
        <is>
          <t>Parent developmental history interview</t>
        </is>
      </c>
      <c r="D736" s="175" t="inlineStr">
        <is>
          <t>Citation</t>
        </is>
      </c>
      <c r="F736" s="165" t="inlineStr">
        <is>
          <t>Frederickson, N., &amp; Cline, T. (2009). Special Educational Needs, Inclusion and Diversity (2nd ed.). Open University Press.</t>
        </is>
      </c>
    </row>
    <row r="737" outlineLevel="2" ht="53.25" customHeight="1" s="128">
      <c r="C737" s="175" t="inlineStr">
        <is>
          <t>Parent developmental history interview</t>
        </is>
      </c>
      <c r="D737" s="175" t="inlineStr">
        <is>
          <t>Citation</t>
        </is>
      </c>
      <c r="F737" s="165" t="inlineStr">
        <is>
          <t>Monsen, J. J., &amp; Frederickson, N. (2008). The Monsen et al. problem-analysis framework. In Kelly, Woolfson &amp; Boyle (Eds.), Frameworks for Practice in Educational Psychology.</t>
        </is>
      </c>
    </row>
    <row r="738" outlineLevel="2" ht="27.75" customHeight="1" s="128">
      <c r="C738" s="175" t="inlineStr">
        <is>
          <t>Parent developmental history interview</t>
        </is>
      </c>
      <c r="D738" s="175" t="inlineStr">
        <is>
          <t>Citation</t>
        </is>
      </c>
      <c r="F738" s="196" t="inlineStr">
        <is>
          <t>Bliznashka, L., et al. (2025). Psychometric properties of early childhood development assessment tools in LMICs. BMJ Open.</t>
        </is>
      </c>
    </row>
    <row r="740" ht="30" customHeight="1" s="128">
      <c r="A740" s="142" t="inlineStr">
        <is>
          <t>PART I</t>
        </is>
      </c>
      <c r="B740" s="142" t="inlineStr">
        <is>
          <t>CONDITIONS EXPLAINED — SO YOU CAN ANSWER THE QUESTION</t>
        </is>
      </c>
      <c r="C740" s="142" t="n"/>
      <c r="D740" s="142" t="n"/>
      <c r="E740" s="142" t="inlineStr">
        <is>
          <t>One condition per row. What it is · what it is NOT, with the evidence · how to explain it to a parent, a teacher, and the child · analogies · what language to use · across the ages · red flags · resources for getting the child's voice, and why each one is good · citations. Every claim is attributed.</t>
        </is>
      </c>
      <c r="F740" s="142" t="n"/>
      <c r="G740" s="142" t="n"/>
      <c r="H740" s="142" t="n"/>
      <c r="I740" s="142" t="n"/>
      <c r="J740" s="142" t="n"/>
      <c r="K740" s="142" t="n"/>
      <c r="L740" s="142" t="n"/>
      <c r="M740" s="142" t="n"/>
      <c r="N740" s="142" t="n"/>
      <c r="O740" s="142" t="n"/>
      <c r="P740" s="142" t="n"/>
      <c r="Q740" s="142" t="n"/>
      <c r="R740" s="142" t="n"/>
      <c r="S740" s="142" t="n"/>
      <c r="T740" s="142" t="n"/>
      <c r="U740" s="142" t="n"/>
      <c r="V740" s="142" t="n"/>
      <c r="W740" s="142" t="n"/>
      <c r="X740" s="142" t="n"/>
      <c r="Y740" s="142" t="n"/>
      <c r="Z740" s="142" t="n"/>
      <c r="AA740" s="142" t="n"/>
      <c r="AB740" s="142" t="n"/>
      <c r="AC740" s="142" t="n"/>
      <c r="AD740" s="142" t="n"/>
      <c r="AE740" s="142" t="n"/>
      <c r="AF740" s="142" t="n"/>
      <c r="AG740" s="142" t="n"/>
      <c r="AH740" s="142" t="n"/>
      <c r="AI740" s="142" t="n"/>
      <c r="AJ740" s="142" t="n"/>
      <c r="AK740" s="142" t="n"/>
    </row>
    <row r="741" ht="30" customHeight="1" s="128">
      <c r="A741" s="155" t="n"/>
      <c r="B741" s="155" t="n"/>
      <c r="C741" s="155" t="n"/>
      <c r="D741" s="155" t="n"/>
      <c r="E741" s="156" t="inlineStr">
        <is>
          <t>one condition = one row →</t>
        </is>
      </c>
      <c r="F741" s="155" t="n"/>
      <c r="G741" s="155" t="n"/>
      <c r="H741" s="155" t="n"/>
      <c r="I741" s="155" t="n"/>
      <c r="J741" s="155" t="n"/>
      <c r="K741" s="155" t="n"/>
      <c r="L741" s="155" t="n"/>
      <c r="M741" s="157" t="inlineStr">
        <is>
          <t>1 · What it actually is</t>
        </is>
      </c>
      <c r="N741" s="157" t="inlineStr">
        <is>
          <t>2 · What it is NOT — the misconceptions</t>
        </is>
      </c>
      <c r="O741" s="157" t="inlineStr">
        <is>
          <t>3 · HOW COMMON — prevalence by age group</t>
        </is>
      </c>
      <c r="P741" s="157" t="inlineStr">
        <is>
          <t>4 · CO-OCCURRING — and how each presents</t>
        </is>
      </c>
      <c r="Q741" s="157" t="inlineStr">
        <is>
          <t>5 · RECOMMENDATIONS — what you actually write</t>
        </is>
      </c>
      <c r="R741" s="157" t="inlineStr">
        <is>
          <t>6 · Explaining it to a PARENT</t>
        </is>
      </c>
      <c r="S741" s="157" t="inlineStr">
        <is>
          <t>7 · Explaining it to a TEACHER</t>
        </is>
      </c>
      <c r="T741" s="157" t="inlineStr">
        <is>
          <t>8 · Explaining it to the CHILD</t>
        </is>
      </c>
      <c r="U741" s="157" t="inlineStr">
        <is>
          <t>9 · Analogies that work</t>
        </is>
      </c>
      <c r="V741" s="157" t="inlineStr">
        <is>
          <t>10 · What language to use</t>
        </is>
      </c>
      <c r="W741" s="157" t="inlineStr">
        <is>
          <t>11 · What you see at each age</t>
        </is>
      </c>
      <c r="X741" s="157" t="inlineStr">
        <is>
          <t>12 · RED FLAGS and boundaries</t>
        </is>
      </c>
      <c r="Y741" s="157" t="inlineStr">
        <is>
          <t>13 · Resources for the child's voice — and why</t>
        </is>
      </c>
      <c r="Z741" s="157" t="inlineStr">
        <is>
          <t>14 · QUESTIONS YOU WILL BE ASKED — and the answer</t>
        </is>
      </c>
      <c r="AA741" s="157" t="inlineStr">
        <is>
          <t>15 · Bring to supervision</t>
        </is>
      </c>
      <c r="AB741" s="157" t="inlineStr">
        <is>
          <t>16 · Reflection — including HOW you explained it</t>
        </is>
      </c>
      <c r="AC741" s="157" t="inlineStr">
        <is>
          <t>17 · Citations</t>
        </is>
      </c>
      <c r="AD741" s="157" t="inlineStr">
        <is>
          <t>18 · —</t>
        </is>
      </c>
      <c r="AE741" s="157" t="inlineStr">
        <is>
          <t>19 · —</t>
        </is>
      </c>
      <c r="AF741" s="157" t="inlineStr">
        <is>
          <t>20 · —</t>
        </is>
      </c>
    </row>
    <row r="742" ht="408.75" customHeight="1" s="128">
      <c r="A742" s="158" t="inlineStr">
        <is>
          <t>CONDITION</t>
        </is>
      </c>
      <c r="B742" s="158" t="n"/>
      <c r="C742" s="161" t="inlineStr">
        <is>
          <t>Autism</t>
        </is>
      </c>
      <c r="D742" s="158" t="inlineStr">
        <is>
          <t>Condition explained</t>
        </is>
      </c>
      <c r="E742" s="161" t="inlineStr">
        <is>
          <t>Autism</t>
        </is>
      </c>
      <c r="F742" s="162" t="inlineStr">
        <is>
          <t>DSM-5-TR Autism Spectrum Disorder · ICD-11 6A02</t>
        </is>
      </c>
      <c r="G742" s="158" t="n"/>
      <c r="H742" s="158" t="n"/>
      <c r="I742" s="158" t="n"/>
      <c r="J742" s="158" t="n"/>
      <c r="K742" s="158" t="n"/>
      <c r="L742" s="158" t="n"/>
      <c r="M742" s="165" t="inlineStr">
        <is>
          <t>• A NEURODEVELOPMENTAL DIFFERENCE present from early development, defined by two domains: (a) persistent differences in social communication and social interaction, and (b) restricted, repetitive patterns of behaviour, interests or activities — which includes sensory differences (American Psychiatric Association, 2022, DSM-5-TR).
• DSM-5-TR specifies three support levels — requiring support, requiring substantial support, requiring very substantial support — rated separately for each of the two domains. A person can be level 1 for one and level 3 for the other.
• It is lifelong. It is not an illness, and it is not something a person recovers from or grows out of.
• Prevalence is commonly cited around 1 in 100 internationally, with higher rates in more recent screening studies. In Ireland, NCSE and Department of Education figures are the relevant local source.
• IMPORTANT FOR PRACTICE: it is DIMENSIONAL, not categorical in nature — autistic traits are distributed continuously in the population and the diagnostic line is a clinical judgement about impairment, not a biological boundary.</t>
        </is>
      </c>
      <c r="N742" s="154" t="inlineStr">
        <is>
          <t>• NOT a result of parenting. The 'refrigerator mother' theory (Bettelheim, 1967) was wrong and caused enormous harm. Say so plainly if a parent raises it.
• NOT caused by vaccines. Wakefield et al. (1998) was retracted by The Lancet in 2010 and Wakefield was struck off. Taylor, Swerdfeger &amp; Eslick (2014) meta-analysed over 1.2 million children and found no association.
• NOT the same as intellectual disability. They co-occur but are separate. Many autistic people have average or above-average cognitive ability.
• NOT usually accompanied by savant skills. Jones &amp; Sasson (2023) found that non-autistic adults frequently believed savant syndrome to be a CORE feature of autism — it is rare, and this belief is a documented misconception.
• NOT a lack of empathy. This is one of the most damaging myths. Autistic people frequently report strong emotional empathy; the difference is in reading and signalling, and the 'double empathy problem' (Milton, 2012) shows the mismatch runs BOTH ways — non-autistic people are equally poor at reading autistic people.
• NOT more common in boys to the extent historically believed. Girls are under-identified because diagnostic criteria and instruments were developed on male samples and because masking is more common.
• NOT something that needs to be 'normalised'. Gillespie-Lynch et al. (2017) found that greater endorsement of the importance of normalising autistic people was associated with HEIGHTENED stigma.</t>
        </is>
      </c>
      <c r="O742" s="164" t="inlineStr">
        <is>
          <t>• OVERALL: commonly cited around 1 in 100 worldwide (Zeidan et al., 2022, meta-analysis of global prevalence). More recent screening-based studies report higher figures.
• IRELAND: the 2022 Census recorded autism for the first time. Department of Education and NCSE figures are the relevant local source for school-age numbers — check the current year rather than quoting from memory.
• USA (CDC ADDM Network, 2023 report, 8-year-olds): 1 in 36, up from 1 in 44 in the previous cycle. The rise is largely attributed to broadened criteria, better recognition and increased screening rather than a true increase in incidence.
• EARLY YEARS 0–5: identification rates are lower because diagnosis before 3 is less stable, though reliable diagnosis from 24 months is achievable in specialist services.
• SCHOOL AGE 6–12: the peak identification window in most systems.
• ADOLESCENT 13–16 AND ADULTS: a large under-identified group, particularly women and girls. Late diagnosis in adulthood is increasingly common.
• SEX RATIO: historically cited as 4:1 male to female. Loomes, Hill &amp; Mandy (2017) meta-analysed this and concluded the true ratio is closer to 3:1, with the difference explained by diagnostic bias — girls meeting criteria are disproportionately missed.</t>
        </is>
      </c>
      <c r="P742" s="154" t="inlineStr">
        <is>
          <t>• ADHD — co-occurs in roughly 28–44% of autistic people depending on the study. DSM-5 permitted dual diagnosis for the first time in 2013; before that it was prohibited, so older reports may under-record it. PRESENTS AS: attention difficulty that looks like disengagement, but is often sensory overload or processing delay. Assess both.
• INTELLECTUAL DISABILITY — around a third of autistic people, though estimates vary widely with sampling. PRESENTS AS: a flatter cognitive profile alongside social communication differences. Assess adaptive functioning separately.
• ANXIETY — very high. Meta-analytic estimates around 40% meeting criteria for at least one anxiety disorder (van Steensel et al., 2011). PRESENTS AS: rigidity, refusal, meltdown. Often misread as 'autistic behaviour' rather than treatable anxiety. THIS IS THE MOST COMMONLY MISSED CO-OCCURRENCE.
• DLD / LANGUAGE DISORDER — substantial overlap, and the two are hard to separate in young children. PRESENTS AS: apparent social difficulty that is actually comprehension failure.
• DCD — elevated. PRESENTS AS: handwriting difficulty and PE avoidance attributed to autism rather than assessed.
• EPILEPSY — elevated, particularly where intellectual disability co-occurs. Medical, not yours, but note it and refer.
• SLEEP DIFFICULTIES — very common and under-treated. Ask, because a child sleeping five hours will present very differently.
• DIAGNOSTIC OVERSHADOWING IS THE RISK THROUGHOUT. Write down before you start what the autism diagnosis does NOT explain, then assess that.</t>
        </is>
      </c>
      <c r="Q742" s="199" t="inlineStr">
        <is>
          <t>• ENVIRONMENT FIRST: predictability (visual timetable, forewarning of change), sensory audit of the room, a designated regulation space the child can access without asking permission.
• PROCESSING TIME: instruction, ten-second wait, then repeat in the SAME words. Rephrasing restarts processing. This is free and it is the highest-yield single adjustment.
• COMMUNICATION: reduce language load, pair verbal with visual, check comprehension by asking the child to say back rather than asking 'do you understand?'
• SOCIAL: structured social opportunity rather than unstructured. A lunchtime club with a shared activity beats 'encourage her to join in'.
• MASKING: if the child is compliant at school and dysregulated at home, treat that as a finding. Reduce demand at school rather than increasing it.
• ASSESS AND TREAT ANXIETY SEPARATELY. Do not fold it into the autism description.
• STAFF: whole-staff input on autism is usually less useful than a one-page profile for this child that everyone reads.
• CONTINUUM LEVEL: name it. School Support or School Support Plus depending on intensity and outside involvement.
• MEASURE: choose something sensitive — frequency of regulation-space use, participation counts, a brief anxiety measure — with a review date in the report.
• REFER: CDNT for diagnostic assessment; SLT where language is implicated; OT where sensory or motor; CAMHS where mental health difficulty is present.</t>
        </is>
      </c>
      <c r="R742" s="165" t="inlineStr">
        <is>
          <t>• OPEN WITH WHAT THEY ALREADY KNOW: 'What have you been told about autism so far?' Then correct gently rather than lecture.
• 'Autism is a difference in how the brain develops and processes information. It affects two main things: how a person communicates and connects with others, and how they respond to routine, change and sensory information.'
• 'It's not caused by anything you did. It's present from early on in development, and we're recognising it now rather than it having started now.'
• 'It's a spectrum, but not a line from mild to severe. Think of it as a set of different dials — one child might find noise very hard and social situations fine; another the reverse.'
• 'What it doesn't tell us is how she'll do. Autism doesn't determine intelligence, or whether she'll have friends, or what she'll be able to do as an adult. What predicts those is the support around her and whether people understand her.'
• IF THEY ARE UPSET: 'A diagnosis doesn't change who she is. She's exactly the same child she was yesterday. What changes is that people now have a better explanation for what she needs.'
• SIGNPOST: AsIAm, Middletown Centre for Autism, the local CDNT. Give a name, not a category.</t>
        </is>
      </c>
      <c r="S742" s="165" t="inlineStr">
        <is>
          <t>• 'Autism is a difference in social communication and in how sensory information and change are processed. It's developmental and lifelong.'
• 'For this child, the practical implications are —' then be specific to the assessment rather than generic: processing time, predictability, the sensory environment, how instructions are given.
• 'Behaviour that looks like defiance is very often a response to demand, to sensory load, or to not having understood what was asked. Before treating it as behaviour, check comprehension and check the environment.'
• 'Masking matters. A child who holds it together all day and falls apart at home is not fine at school — she's spending all her resources on coping.'
• 'Processing time is the single cheapest adjustment. Ask, wait ten seconds, then ask again in the same words rather than rephrasing. Rephrasing restarts the processing.'
• 'Routine isn't rigidity for its own sake — it's how uncertainty is managed. Warn about change rather than removing routine.'</t>
        </is>
      </c>
      <c r="T742" s="165" t="inlineStr">
        <is>
          <t>• PITCH TO AGE. For a younger child: 'Everybody's brain works in its own way. Your brain is really good at noticing things other people miss, and it likes to know what's happening next. Some brains find noisy places hard work. That's called being autistic.'
• For an older child or adolescent: 'Autistic means your brain processes information differently — often in more detail. It can mean social stuff takes more effort, and that noise, light or change can be harder than it is for other people. It's not an illness and there's nothing wrong with you.'
• ALWAYS INCLUDE STRENGTHS and make them specific to this child, not generic. 'You noticed that detail that nobody else did' beats 'autistic people are good at detail.'
• ASK WHAT THEY THINK IT MEANS before you explain. Children often arrive with a frightening idea from a sibling or the internet.
• AVOID deficit framing. Botha, Dibb &amp; Frost (2020) found autistic adults describe autism as value-neutral and experience society as attaching negative meaning to it. How you explain it to a child at 9 shapes how they carry it at 19.
• BE HONEST about the hard parts. Children know when something is being sold to them, and an explanation that is all positives loses credibility.</t>
        </is>
      </c>
      <c r="U742" s="165" t="inlineStr">
        <is>
          <t>• THE VOLUME DIAL (sensory): 'Most people have a volume dial for sound, light and touch that sits at about 5. Yours might sit at 9 for sound and 2 for touch. The classroom is the same room — you're getting a different amount of it.' Grounded in the sensory criterion now formally part of DSM-5-TR.
• THE DIFFERENT OPERATING SYSTEM: 'It's not a broken computer. It's a different operating system. Most of the software is written for the other one, so some things take extra work — but the machine itself is fine.' Useful with adolescents and with parents; avoids deficit framing.
• THE TWO-WAY TRANSLATION (double empathy): 'When two people speak different languages, we don't say one of them has a language problem. Milton (2012) makes the same point about autistic and non-autistic people misreading each other — the misunderstanding goes both ways.' Use with teachers; it shifts the burden off the child.
• THE PHONE BATTERY (masking): 'Holding it together in school all day is like running every app at once. You get home on 4% battery. The meltdown at home isn't because home is worse — it's because the battery ran out.' Very effective with parents who are told the child is 'fine at school'.
• CAUTION ON ANALOGIES: check with the person. Some autistic people find machine analogies dehumanising. Ask.</t>
        </is>
      </c>
      <c r="V742" s="165" t="inlineStr">
        <is>
          <t>• THERE IS NO SINGLE CORRECT TERM, and this matters. Kenny et al. (2016), surveying 3,470 UK autism community members, found 'autism' and 'on the autism spectrum' most endorsed overall, with 'autistic' strongly endorsed by autistic adults and much less so by professionals.
• Bury et al. (2020), with 198 autistic Australian adults, found 'autistic', 'person on the autism spectrum' and 'autistic person' rated most preferred and least offensive.
• Bury et al. (2022) found preference relates to identity and stigma: a stronger autism identity predicted preferring identity-first language, while internalised stigma predicted finding it more offensive.
• Fecteau et al. (2024), in a French-Canadian sample, found a clear split — professionals preferred medical-model terms, autistic people preferred identity-first.
• PRACTICE RULE: ask the person or family what they use, and use that. Where you cannot ask, identity-first ('autistic person') is the majority preference among autistic adults. Mirror the family's own language in the report.
• Avoid: 'suffers from', 'high/low functioning' (poor predictor of actual support needs), 'a bit on the spectrum'.</t>
        </is>
      </c>
      <c r="W742" s="165" t="inlineStr">
        <is>
          <t>• EARLY YEARS 0–5: differences in joint attention, pointing to share, response to name, pretend play, and reaction to sensory input. Referral to CDNT. ADOS-2 Toddler/Module 1 via the team, SCQ, developmental history. Play observation does much of the work.
• SCHOOL AGE 6–12: social differences become more visible as peer relationships get more complex. Yard observation, SRS-2 parent and teacher, SCQ. Watch for anxiety appearing as a secondary presentation.
• ADOLESCENT 13–16: masking peaks, and mental health difficulties commonly emerge. SRS-2 including self-report. Under-identification in girls is at its most consequential here. A normal-range screen in a worried teacher's class does not close the question.
• YOUNG ADULT 17–26: adult diagnostic services, AQ-10 as a screen, DSA evidence for third level. The question shifts to accommodation and self-advocacy.
• SPECIAL SETTING: the question is usually fit and communication support, not identification.</t>
        </is>
      </c>
      <c r="X742" s="166" t="inlineStr">
        <is>
          <t>• RED FLAG — regression. Loss of previously acquired language or social skills at any age requires urgent medical referral, not a wait-and-see.
• RED FLAG — an autistic young person presenting with low mood, self-harm or suicidal thinking. Autistic people are at substantially elevated risk. Follow the risk protocol; do not attribute distress to autism and stop there.
• RED FLAG — an autistic child with a sudden behaviour change. Consider pain, illness, sensory change, or something that has happened. Communication difficulty means distress may present behaviourally.
• BOUNDARY — you do not diagnose. You describe the profile, say what it is consistent with, and refer. PSI 2.2.2 and 2.2.3.
• DIAGNOSTIC OVERSHADOWING — once a child has an autism diagnosis, everything gets attributed to it. Write down before you start what the diagnosis does NOT explain, and assess that.</t>
        </is>
      </c>
      <c r="Y742" s="171" t="inlineStr">
        <is>
          <t>• TALKING MATS — symbol-based framework letting a child sort topics onto a visual scale. Good because it removes the demand for spoken answers and for eye contact simultaneously, which is often what makes interviews fail. Evidence base for people with communication difficulties. → https://www.talkingmats.com/
• BLOB TREE (Wilson &amp; Long) — figures on a tree; the child points to which one is them. Good because it is projective rather than direct, so it does not require the child to make a claim about themselves. You used this at Grange.
• 'ALL ABOUT ME' / ONE-PAGE PROFILE — structured template covering what people like and admire about me, what's important to me, how best to support me. Good because it is strengths-first and becomes a usable document for staff. → https://www.helensandersonassociates.co.uk/person-centred-practice/one-page-profiles/
• PATH and MAPS (person-centred planning) — graphic facilitation for transition planning. Good for post-primary and school-leaving because it puts the young person's own future at the centre rather than the service's.
• AsIAm resources (Ireland) — autistic-led, Irish context, includes materials written for children about their own diagnosis. Good because autistic-led materials avoid the deficit framing that professional materials often carry. → https://asiam.ie/
• MIDDLETOWN CENTRE FOR AUTISM — Irish, free research bulletins and practical resources for schools. Good because it is Irish policy context and free. → https://www.middletownautism.com/
• COMIC STRIP CONVERSATIONS (Gray) — drawing out what people said and thought in an incident. Good because it externalises the social situation onto paper instead of asking the child to hold it in mind and talk about it at once.</t>
        </is>
      </c>
      <c r="Z742" s="198" t="inlineStr">
        <is>
          <t>• Q: 'Is it my fault?' — A: 'No. Autism is a difference in how the brain develops, present from very early on. Nothing you did caused it and nothing you could have done would have prevented it.' (Bettelheim's 'refrigerator mother' theory is long discredited; say so if they raise it directly.)
• Q: 'Will he grow out of it?' — A: 'No, it's lifelong. What changes a great deal is how well he copes and how well the people around him understand him. Those are the things we can work on.'
• Q: 'Does this mean he has an intellectual disability?' — A: 'Not necessarily — they're separate things. They can occur together, and plenty of autistic people have average or above-average ability. From what I've seen, [specific to this child].'
• Q: 'Could it be the vaccines?' — A: 'No. That claim came from a 1998 paper that was retracted and its author struck off. A meta-analysis of over 1.2 million children found no link. I know it's still out there, and I understand why people ask.'
• Q: 'He makes eye contact and he has a friend, so it can't be autism?' — A: 'Those are two of the most common misunderstandings. Many autistic people make eye contact, sometimes because they've learned to, and many have friendships. The diagnosis is about the pattern across social communication and about repetitive behaviour and sensory differences, not about any single behaviour.'
• Q: 'She's fine at school though.' — A: 'That's really common and it's called masking. Holding it together all day takes everything she has, which is why it comes out at home. Being fine at school and struggling at home is a pattern, not a contradiction.'
• Q: 'Does she know?' / 'Should we tell her?' — A: 'That's your decision and I can help you think it through. What we do know is that children usually already sense they're different, and having a name for it tends to be a relief rather than a blow — particularly if it comes with an explanation of strengths as well.'
• Q: 'What can you actually do for us?' — A: 'I can't diagnose — that's the CDNT. What I can do is describe her profile, say what it's consistent with, make the referral, and put supports in place in school now rather than waiting.'</t>
        </is>
      </c>
      <c r="AA742" s="164" t="inlineStr">
        <is>
          <t>• Bring the exact words you used to explain autism to the parent. Not the summary — the words. Ask your supervisor what they would have said differently.
• Ask: 'when a family's language and the research consensus differ, which do you follow?' There is a defensible answer either way and you need to hear it argued.
• Raise any moment you were asked something you could not answer. That is the highest-value supervision item in this whole area.
• Ask how your service handles the gap between an identified profile and the CDNT waiting list — what do you tell a family who will wait two years?
• Discuss diagnostic overshadowing on your actual cases: for each autistic child on your caseload, what has NOT been assessed because autism was already there?
• Ask to observe your supervisor giving an autism-related feedback session, and complete the Appendix 7 the same day.
• If you felt out of your depth, say so in those words. PSI 2.2.4 requires consulting when you are not competent to deal with what is in front of you.</t>
        </is>
      </c>
      <c r="AB742" s="171" t="inlineStr">
        <is>
          <t>• ON HOW YOU EXPLAINED IT — Did I use LANGUAGE-FIRST or SHARED LANGUAGE? Language-first means I arrived with my terminology and the family adapted to it. Shared language means I asked what they use and built from there. Kenny et al. (2016) found no community consensus on terms, so arriving with a fixed vocabulary is a decision, not a neutral act. Which did I do, and why?
• ON THE TEACHER CONVERSATION — Did I explain autism, or did I explain THIS CHILD? A general explanation is easier to give and far less useful. Did the teacher leave with something to do on Monday?
• ON REGISTER — Did I actually change register between the parent, the teacher and the child, or did I give the same explanation three times at different speeds? Changing register means changing what is included, not simplifying vocabulary.
• ON MY OWN ASSUMPTIONS — What did I assume about this family's understanding before I opened my mouth? Where did that come from? CORU 5.44 requires reflecting on how my own culture and beliefs shape practice.
• ON THE DEFICIT PULL — Count the sentences. How many described what the child cannot do versus what they can? Botha et al. (2020) found autistic people experience society as attaching negative meaning to a neutral difference. My report is part of that society.
• ON WHAT I AVOIDED — Was there a question I hoped would not be asked? What would I need to know to have welcomed it?
• WHAT GOOD LOOKS LIKE: 'The mother used 'has autism' throughout, so I mirrored that rather than switching to 'autistic', and noted in the file that the young person's own preference should be asked at the next review. I had been defaulting to identity-first because that is what I read, without asking.'
• WHAT POOR LOOKS LIKE: 'I explained autism to the parent and she seemed to understand.' — no evidence of checking, no reflection on register, nothing learned.</t>
        </is>
      </c>
      <c r="AC742" s="165" t="inlineStr">
        <is>
          <t>→ American Psychiatric Association (2022). Diagnostic and Statistical Manual of Mental Disorders (5th ed., text rev.). DSM-5-TR.
→ Kenny, L., Hattersley, C., Molins, B., Buckley, C., Povey, C., &amp; Pellicano, E. (2016). Which terms should be used to describe autism? Perspectives from the UK autism community. Autism, 20(4), 442–462.
→ Bury, S. M., Jellett, R., Spoor, J. R., &amp; Hedley, D. (2020). 'It defines who I am' or 'it's something I have': What language do autistic Australian adults prefer? Journal of Autism and Developmental Disorders.
→ Bury, S. M., et al. (2022). Understanding language preference: Autism knowledge, experience of stigma and autism identity. Autism.
→ Gillespie-Lynch, K., Kapp, S. K., Brooks, P. J., Pickens, J., &amp; Schwartzman, B. (2017). Whose expertise is it? Evidence for autistic adults as critical autism experts. Frontiers in Psychology, 8, 438.
→ Botha, M., Dibb, B., &amp; Frost, D. M. (2020). 'Autism is me': An investigation of how autistic individuals make sense of autism and stigma. Disability &amp; Society.
→ Jones, D. R., &amp; Sasson, N. J. (2023). A mixed method comparison of stigma toward autism and schizophrenia. Frontiers in Psychiatry, 14, 1263525.
→ Milton, D. E. M. (2012). On the ontological status of autism: The 'double empathy problem'. Disability &amp; Society, 27(6), 883–887.
→ Taylor, L. E., Swerdfeger, A. L., &amp; Eslick, G. D. (2014). Vaccines are not associated with autism: An evidence-based meta-analysis. Vaccine, 32(29).
→ Fecteau, S.-M., et al. (2024). 'Not a trouble': Autism-related language preferences by French-Canadian adults. Neurodiversity.</t>
        </is>
      </c>
    </row>
    <row r="743" outlineLevel="2" ht="42.75" customHeight="1" s="128">
      <c r="C743" s="175" t="inlineStr">
        <is>
          <t>Autism</t>
        </is>
      </c>
      <c r="D743" s="175" t="inlineStr">
        <is>
          <t>Citation</t>
        </is>
      </c>
      <c r="F743" s="165" t="inlineStr">
        <is>
          <t>American Psychiatric Association (2022). Diagnostic and Statistical Manual of Mental Disorders (5th ed., text rev.). DSM-5-TR.</t>
        </is>
      </c>
    </row>
    <row r="744" outlineLevel="2" ht="15" customHeight="1" s="128">
      <c r="C744" s="175" t="inlineStr">
        <is>
          <t>Autism</t>
        </is>
      </c>
      <c r="D744" s="175" t="inlineStr">
        <is>
          <t>Citation</t>
        </is>
      </c>
      <c r="F744" s="196" t="inlineStr">
        <is>
          <t>Kenny, L., Hattersley, C., Molins, B., Buckley, C., Povey, C., &amp; Pellicano, E. (2016). Which terms should be used to describe autism? Perspectives from the UK autism community. Autism, 20(4), 442–462.</t>
        </is>
      </c>
    </row>
    <row r="745" outlineLevel="2" ht="15" customHeight="1" s="128">
      <c r="C745" s="175" t="inlineStr">
        <is>
          <t>Autism</t>
        </is>
      </c>
      <c r="D745" s="175" t="inlineStr">
        <is>
          <t>Citation</t>
        </is>
      </c>
      <c r="F745" s="196" t="inlineStr">
        <is>
          <t>Bury, S. M., Jellett, R., Spoor, J. R., &amp; Hedley, D. (2020). 'It defines who I am' or 'it's something I have': What language do autistic Australian adults prefer? Journal of Autism and Developmental Disorders.</t>
        </is>
      </c>
    </row>
    <row r="746" outlineLevel="2" ht="15" customHeight="1" s="128">
      <c r="C746" s="175" t="inlineStr">
        <is>
          <t>Autism</t>
        </is>
      </c>
      <c r="D746" s="175" t="inlineStr">
        <is>
          <t>Citation</t>
        </is>
      </c>
      <c r="F746" s="196" t="inlineStr">
        <is>
          <t>Bury, S. M., et al. (2022). Understanding language preference: Autism knowledge, experience of stigma and autism identity. Autism.</t>
        </is>
      </c>
    </row>
    <row r="747" outlineLevel="2" ht="15" customHeight="1" s="128">
      <c r="C747" s="175" t="inlineStr">
        <is>
          <t>Autism</t>
        </is>
      </c>
      <c r="D747" s="175" t="inlineStr">
        <is>
          <t>Citation</t>
        </is>
      </c>
      <c r="F747" s="196" t="inlineStr">
        <is>
          <t>Gillespie-Lynch, K., Kapp, S. K., Brooks, P. J., Pickens, J., &amp; Schwartzman, B. (2017). Whose expertise is it? Evidence for autistic adults as critical autism experts. Frontiers in Psychology, 8, 438.</t>
        </is>
      </c>
    </row>
    <row r="748" outlineLevel="2" ht="15" customHeight="1" s="128">
      <c r="C748" s="175" t="inlineStr">
        <is>
          <t>Autism</t>
        </is>
      </c>
      <c r="D748" s="175" t="inlineStr">
        <is>
          <t>Citation</t>
        </is>
      </c>
      <c r="F748" s="196" t="inlineStr">
        <is>
          <t>Botha, M., Dibb, B., &amp; Frost, D. M. (2020). 'Autism is me': An investigation of how autistic individuals make sense of autism and stigma. Disability &amp; Society.</t>
        </is>
      </c>
    </row>
    <row r="749" outlineLevel="2" ht="15" customHeight="1" s="128">
      <c r="C749" s="175" t="inlineStr">
        <is>
          <t>Autism</t>
        </is>
      </c>
      <c r="D749" s="175" t="inlineStr">
        <is>
          <t>Citation</t>
        </is>
      </c>
      <c r="F749" s="196" t="inlineStr">
        <is>
          <t>Jones, D. R., &amp; Sasson, N. J. (2023). A mixed method comparison of stigma toward autism and schizophrenia. Frontiers in Psychiatry, 14, 1263525.</t>
        </is>
      </c>
    </row>
    <row r="750" outlineLevel="2" ht="15" customHeight="1" s="128">
      <c r="C750" s="175" t="inlineStr">
        <is>
          <t>Autism</t>
        </is>
      </c>
      <c r="D750" s="175" t="inlineStr">
        <is>
          <t>Citation</t>
        </is>
      </c>
      <c r="F750" s="196" t="inlineStr">
        <is>
          <t>Milton, D. E. M. (2012). On the ontological status of autism: The 'double empathy problem'. Disability &amp; Society, 27(6), 883–887.</t>
        </is>
      </c>
    </row>
    <row r="751" outlineLevel="2" ht="15" customHeight="1" s="128">
      <c r="C751" s="175" t="inlineStr">
        <is>
          <t>Autism</t>
        </is>
      </c>
      <c r="D751" s="175" t="inlineStr">
        <is>
          <t>Citation</t>
        </is>
      </c>
      <c r="F751" s="196" t="inlineStr">
        <is>
          <t>Taylor, L. E., Swerdfeger, A. L., &amp; Eslick, G. D. (2014). Vaccines are not associated with autism: An evidence-based meta-analysis. Vaccine, 32(29).</t>
        </is>
      </c>
    </row>
    <row r="752" outlineLevel="2" ht="15" customHeight="1" s="128">
      <c r="C752" s="175" t="inlineStr">
        <is>
          <t>Autism</t>
        </is>
      </c>
      <c r="D752" s="175" t="inlineStr">
        <is>
          <t>Citation</t>
        </is>
      </c>
      <c r="F752" s="196" t="inlineStr">
        <is>
          <t>Fecteau, S.-M., et al. (2024). 'Not a trouble': Autism-related language preferences by French-Canadian adults. Neurodiversity.</t>
        </is>
      </c>
    </row>
    <row r="753" ht="408.75" customHeight="1" s="128">
      <c r="A753" s="158" t="inlineStr">
        <is>
          <t>CONDITION</t>
        </is>
      </c>
      <c r="B753" s="158" t="n"/>
      <c r="C753" s="161" t="inlineStr">
        <is>
          <t>General Learning Disability (GLD) / Intellectual Disability</t>
        </is>
      </c>
      <c r="D753" s="158" t="inlineStr">
        <is>
          <t>Condition explained</t>
        </is>
      </c>
      <c r="E753" s="161" t="inlineStr">
        <is>
          <t>General Learning Disability (GLD) / Intellectual Disability</t>
        </is>
      </c>
      <c r="F753" s="162" t="inlineStr">
        <is>
          <t>DSM-5-TR Intellectual Developmental Disorder · ICD-11 6A00 · Irish education: mild / moderate / severe-profound GLD</t>
        </is>
      </c>
      <c r="G753" s="158" t="n"/>
      <c r="H753" s="158" t="n"/>
      <c r="I753" s="158" t="n"/>
      <c r="J753" s="158" t="n"/>
      <c r="K753" s="158" t="n"/>
      <c r="L753" s="158" t="n"/>
      <c r="M753" s="165" t="inlineStr">
        <is>
          <t>• Defined by THREE criteria, all of which must be met (APA, 2022): (a) deficits in intellectual functioning confirmed by clinical assessment and standardised testing; (b) deficits in ADAPTIVE functioning across conceptual, social and practical domains; (c) onset during the developmental period.
• CRITICAL POINT: DSM-5 moved severity from IQ score to ADAPTIVE FUNCTIONING. Severity is determined by adaptive functioning, not by IQ. Many practitioners have not updated this.
• Irish education uses mild (approx. IQ 50–70), moderate (35–49), severe/profound (below 35) GLD as categories for resource allocation. These bands are administrative, not diagnostic.
• Borderline intellectual functioning (roughly 70–79) is NOT intellectual disability, has no category, and often receives no resource — while having substantial educational impact. It is a DSM-5-TR V-code.
• Onset in the developmental period is essential. An acquired difficulty after a brain injury is a different diagnosis.</t>
        </is>
      </c>
      <c r="N753" s="154" t="inlineStr">
        <is>
          <t>• NOT the same as a specific learning difficulty. Dyslexia is a SPECIFIC difficulty against an otherwise typical profile; GLD is a GENERAL difficulty across domains. Parents and teachers confuse these constantly.
• NOT fixed and unchangeable. Adaptive functioning improves with teaching and support; that is the whole point of measuring it separately.
• NOT determined by an IQ number alone. Diagnosing on IQ without adaptive assessment is incorrect under current criteria.
• NOT a predictor of quality of life, relationships or employment. Support and opportunity predict those.
• NOT 'mental handicap', 'retardation' or any historical term. Do not use them, including when quoting older reports without flagging it.</t>
        </is>
      </c>
      <c r="O753" s="164" t="inlineStr">
        <is>
          <t>• OVERALL: around 1% of the population internationally (Maulik et al., 2011, meta-analysis), with mild ID accounting for the large majority.
• IRELAND: the National Intellectual Disability Database (NIDD), run by the Health Research Board, is the authoritative Irish source. Check the current annual report.
• MILD GLD is the largest group by far and the most likely to be identified late, because the profile is less visibly distinct in early years.
• MODERATE, SEVERE AND PROFOUND are usually identified in the early years, often through the CDNT rather than through school.
• EARLY YEARS 0–5: usually presents as global developmental delay; formal ID diagnosis is often deferred because profiles are unstable below 5.
• SCHOOL AGE 6–12: the main identification window for mild GLD, typically when curriculum demands outpace the child.
• ADOLESCENT AND ADULT: prevalence figures drop in some datasets, which reflects service disengagement rather than the condition resolving.
• SOCIOECONOMIC GRADIENT: mild ID is strongly associated with socioeconomic disadvantage, which is a reason for caution about attribution and for assessing opportunity as well as ability.</t>
        </is>
      </c>
      <c r="P753" s="154" t="inlineStr">
        <is>
          <t>• MENTAL HEALTH DIFFICULTY — substantially elevated across all conditions. PRESENTS AS: behaviour change. Diagnostic overshadowing is severe here; distress is read as part of the disability and goes untreated. This is the single most important co-occurrence to hold in mind.
• AUTISM — around a third of people with ID. PRESENTS AS: social communication differences on top of the learning profile. Assess separately.
• ADHD — elevated. PRESENTS AS: attention difficulty that may simply be work pitched above the child's level. Rule that out first.
• EPILEPSY — strongly elevated, particularly at moderate to profound levels. Medical; note and refer.
• COMMUNICATION DIFFICULTY — very common and often the real barrier. SLT involvement is usually more useful than more cognitive assessment.
• PHYSICAL AND SENSORY IMPAIRMENT — elevated, particularly in genetic syndromes. Always check vision and hearing before attributing anything to cognition.
• SPECIFIC LEARNING DIFFICULTY — can co-occur. A child with GLD whose reading is far below even their own cognitive level has something additional going on.
• SLEEP AND FEEDING DIFFICULTIES — common, under-asked-about, and they change the whole presentation.</t>
        </is>
      </c>
      <c r="Q753" s="199" t="inlineStr">
        <is>
          <t>• PITCH THE CURRICULUM TO THE CHILD, NOT THE CLASS. This is the recommendation that matters most and the one schools find hardest. Say the level explicitly.
• TEACH TO MASTERY with more repetition, in more contexts, over a longer period, before moving on.
• PLAN FOR GENERALISATION EXPLICITLY. Something learned in the SET room will not transfer to the classroom unless it is taught there too.
• CONCRETE BEFORE PICTORIAL BEFORE ABSTRACT, and do not rush the concrete stage.
• ADAPTIVE SKILLS ARE CURRICULUM. Dressing, money, time, safety, travel. For post-primary, this is more important than academic content.
• REDUCE LANGUAGE LOAD in instructions; check comprehension by asking for a demonstration rather than a yes.
• CURRICULUM ROUTE at post-primary: consider L1LP or L2LP and raise it early, not in sixth year.
• TRANSITION PLANNING from at least 14. Adult services have different thresholds and long lead times.
• WATCH FOR OVER-SUPPORT. An SNA doing the task is not the child learning the task. Build fading into the plan.
• CONTINUUM LEVEL: usually School Support Plus with outside involvement. Name it and justify it.
• REFER: CDNT for diagnosis and adaptive support; SLT for communication; OT where motor or self-care; SENO for placement and resource.</t>
        </is>
      </c>
      <c r="R753" s="165" t="inlineStr">
        <is>
          <t>• 'A general learning disability means learning is harder across most areas, not just one. It affects how quickly new things are learned and how much repetition and support is needed.'
• 'It's about two things together: how she reasons and problem-solves, and how she manages everyday things — dressing, money, keeping safe, getting along with others. We look at both, because the everyday side is what actually matters day to day.'
• 'It's been there from early on. We're identifying it now; it hasn't started now.'
• 'It doesn't tell us what she'll be able to do. It tells us how she learns best and how much support she needs while she's learning. Those are different questions.'
• IF THEY ASK ABOUT THE FUTURE: be honest and specific. 'I can tell you what the next two years should look like. I can't tell you about twenty years, and anyone who does is guessing.'
• SIGNPOST: the CDNT, Inclusion Ireland, Down Syndrome Ireland where relevant, and the SENO for placement questions.</t>
        </is>
      </c>
      <c r="S753" s="165" t="inlineStr">
        <is>
          <t>• 'Learning is slower across the board rather than in one area, so differentiation needs to be about level and pace, not just about extra time.'
• 'Start from the adaptive profile as much as the cognitive one. If she can't yet follow a three-step instruction, that's the ceiling for how instructions should be given, regardless of the topic.'
• 'More repetition, in more contexts, with more concrete materials, and longer before moving on. The curriculum level has to match where she is, not where the class is.'
• 'Generalisation is the key difficulty. Something learned in one setting often doesn't transfer. Plan to teach it again in the place it's needed.'
• 'Check for the L1LP and L2LP options at post-primary — the curriculum route matters more than the hours.'</t>
        </is>
      </c>
      <c r="T753" s="165" t="inlineStr">
        <is>
          <t>• 'Everyone learns at their own speed. You learn best when things are broken into smaller steps and when you get to practise lots of times. That's just how your brain works best.'
• Focus on HOW they learn, not on a label or a level. Children rarely benefit from being told an IQ band.
• 'What are you good at?' first. Then 'what's the trickiest bit of school?' Then 'what helps when it's tricky?'
• Be honest if asked directly: 'Some things take you longer than other people, and that's true. It doesn't say anything about how good you are at being you.'
• Check what they have overheard. Children often know the word 'disability' has been used and have no idea what it means.</t>
        </is>
      </c>
      <c r="U753" s="165" t="inlineStr">
        <is>
          <t>• THE ROAD, NOT THE DESTINATION: 'Everyone's travelling the same road. Some people are in a faster car. It doesn't change where the road goes — it changes how many stops you make.' Good with parents; avoids implying a ceiling.
• BUILDING WITH SMALLER BRICKS: 'If most people build with big blocks, she's building with smaller ones. She'll build the same wall — it takes more bricks and more time, and it's just as solid.' Good for explaining repetition to teachers.
• THE TORCH VERSUS THE FLOODLIGHT (specific vs general): 'A specific learning difficulty is like one light being out in a room. A general learning disability is the whole room being dimmer.' Useful for the confusion parents most often have.
• CAUTION: avoid any analogy implying a fixed limit. Adaptive functioning is modifiable and the analogy should not say otherwise.</t>
        </is>
      </c>
      <c r="V753" s="165" t="inlineStr">
        <is>
          <t>• In Ireland, 'general learning disability' is the education term; 'intellectual disability' is the health and diagnostic term. You will meet both. Use the one the setting uses and define it once.
• Inclusion Ireland and self-advocacy organisations favour 'person with an intellectual disability' — person-first is the majority preference in this community, which is the opposite of the autism position. Do not generalise across conditions.
• Never: 'mental handicap', 'retardation', 'low-functioning', 'mentally disabled'.
• Avoid stating an IQ number in a report where a description would do the same work. Numbers get repeated out of context for years.</t>
        </is>
      </c>
      <c r="W753" s="165" t="inlineStr">
        <is>
          <t>• EARLY YEARS 0–5: identified through developmental delay. Griffiths III or Bayley-4 via CDNT, Vineland-3 or ABAS-3. Diagnosis is often deferred — 'global developmental delay' is used under 5 because profiles are unstable.
• SCHOOL AGE 6–12: WISC-V plus an adaptive measure plus attainment. Both criteria must be assessed. Use GAI where index scatter exceeds 23 points.
• ADOLESCENT 13–16: the question shifts to curriculum route (L1LP/L2LP) and to transition. Adaptive assessment becomes more important than cognitive.
• YOUNG ADULT 17–26: WAIS-IV and ABAS-3 adult form for adult service eligibility. Functional and vocational focus.
• SPECIAL SETTING: adaptive profile against the setting curriculum is usually more informative than any IQ.</t>
        </is>
      </c>
      <c r="X753" s="166" t="inlineStr">
        <is>
          <t>• RED FLAG — regression or loss of skills. Urgent medical referral.
• RED FLAG — safeguarding. Children and adults with intellectual disability are at substantially elevated risk of abuse and are less likely to be believed. Take any concern seriously and follow the protocol immediately.
• RED FLAG — a large gap between cognitive and adaptive scores. Consider opportunity, over-support, or an underestimating cognitive assessment. Do not average them.
• BOUNDARY — diagnosis sits with the CDNT or clinical services. You assess and describe; you do not diagnose.
• DIAGNOSTIC OVERSHADOWING — mental health difficulties in people with intellectual disability are routinely missed because distress is read as part of the disability.</t>
        </is>
      </c>
      <c r="Y753" s="171" t="inlineStr">
        <is>
          <t>• TALKING MATS — strong evidence base specifically with people with intellectual disability. Good because it reduces the language demand of being consulted. → https://www.talkingmats.com/
• ONE-PAGE PROFILE — strengths-first, transfers with the child between settings. Good because staff actually read one page.
• PATH / MAPS — person-centred transition planning, graphic. Good for school leavers because it starts from the young person's preferred future.
• PHOTO-ELICITATION — the young person photographs what matters to them and talks from the photos. Good because it removes the need to generate content verbally on the spot.
• INCLUSION IRELAND easy-read materials — Irish, self-advocacy led. Good because easy-read is a genuine accessibility standard, not a simplification. → https://inclusionireland.ie/
• PREFERENCE ASSESSMENT (structured choice-making) — systematic presentation of options to establish what the person actually prefers. Good where verbal report is not available; it is the ethical alternative to assuming.</t>
        </is>
      </c>
      <c r="Z753" s="198" t="inlineStr">
        <is>
          <t>• Q: 'What's her IQ?' — A: 'I can tell you the range, but I'd rather tell you what it means, because the number on its own is easy to misread. What it tells us is [describe]. What matters more day to day is how she manages everyday tasks, and that's the other half of the assessment.'
• Q: 'Will she catch up?' — A: 'She'll keep learning and keep making progress. The gap with her peers is likely to stay, and that's what the word 'disability' is describing. What changes is how much she can do independently, and that does improve a lot with the right teaching.'
• Q: 'Is this the same as dyslexia?' — A: 'No. Dyslexia is a specific difficulty — one area that's much harder than everything else. This is more general, affecting learning across most areas. Different profile, different supports.'
• Q: 'Will she go to a normal school?' — A: 'Most children with a general learning disability are in mainstream, and plenty are in special classes or special schools. It's a question of which setting can give her what she needs, not a question of category. I can walk you through what each looks like.'
• Q: 'Will she be able to live independently / get a job?' — A: 'Honestly, I can't tell you that from an assessment at eight. What I can tell you is what she needs over the next two years, and that the adaptive skills we work on now are exactly the ones that matter for that question later.'
• Q: 'Did I cause this?' — A: 'No. It's present from early development. There are lots of causes and in many cases we never identify one.'
• Q: 'The school says she's fine.' — A: 'She may well be coping, and coping and learning aren't the same thing. What I'm looking at is whether the work she's given is at the level she can actually access.'</t>
        </is>
      </c>
      <c r="AA753" s="164" t="inlineStr">
        <is>
          <t>• Bring the report and ask: does this read as a description of a person or of a score?
• Ask how your supervisor answers the 'what will she be able to do?' question, in their actual words.
• Raise the gap between the education categories (mild/moderate/severe) and the diagnostic criteria, and how your service handles it.
• Discuss borderline intellectual functioning — children who fall between the categories and receive nothing. What does your service do?
• Ask about placement conversations specifically: how do you frame special class or special school as a question of fit rather than of category?
• Bring any case where the cognitive and adaptive profiles diverged sharply and ask how to write that.</t>
        </is>
      </c>
      <c r="AB753" s="171" t="inlineStr">
        <is>
          <t>• ON LANGUAGE — Did I check which term this family uses before I used one? Education says 'general learning disability', health says 'intellectual disability', and self-advocacy organisations favour person-first. Which did I use and did I decide or default?
• ON THE NUMBER — Did I state an IQ score where a description would have done the same work? Numbers get repeated out of context for years. Was it necessary?
• ON ADAPTIVE FUNCTIONING — Did I give it equal weight to the cognitive assessment, or did I treat it as the supporting document? Current criteria determine severity by adaptive functioning, not IQ. Did my report reflect that?
• ON THE FUTURE QUESTION — When the parent asked what this means for adulthood, what did I actually say? Did I stay within what is knowable, or did I reassure beyond the evidence?
• ON THE TEACHER CONVERSATION — Did I explain the difference between general and specific learning difficulty clearly enough that they could explain it to someone else? That confusion is the most common one in schools.
• ON MY OWN ASSUMPTIONS about what this child's life will be like. Name them. They shape what you recommend.
• WHAT GOOD LOOKS LIKE: 'I realised afterwards that I had described her almost entirely through the cognitive assessment, and the adaptive profile — which is where her actual strengths were — got two lines. I have rewritten the summary to lead with what she can do independently.'
• WHAT POOR LOOKS LIKE: 'The assessment confirmed a mild general learning disability and recommendations were made.' — no reflection, no register, nothing about how it was received.</t>
        </is>
      </c>
      <c r="AC753" s="165" t="inlineStr">
        <is>
          <t>→ American Psychiatric Association (2022). DSM-5-TR — Intellectual Developmental Disorder.
→ Tassé, M. J., et al. (2012). The construct of adaptive behavior: Its conceptualization, measurement, and use. American Journal on Intellectual and Developmental Disabilities, 117(4), 291–303.
→ Schalock, R. L., et al. (2021). Intellectual Disability: Definition, Diagnosis, Classification, and Systems of Supports (12th ed.). AAIDD.
→ NCSE (Ireland) — policy advice and guidance on students with general learning disabilities.
→ NCCA — Level 1 and Level 2 Learning Programmes.
→ Burgess, A., et al. (2024). Clinical utility and psychometric properties of tools for early detection of developmental concerns. DMCN.</t>
        </is>
      </c>
    </row>
    <row r="754" outlineLevel="2" ht="32.25" customHeight="1" s="128">
      <c r="C754" s="175" t="inlineStr">
        <is>
          <t>General Learning Disability (GLD) / Intellectual Disability</t>
        </is>
      </c>
      <c r="D754" s="175" t="inlineStr">
        <is>
          <t>Citation</t>
        </is>
      </c>
      <c r="F754" s="165" t="inlineStr">
        <is>
          <t>American Psychiatric Association (2022). DSM-5-TR — Intellectual Developmental Disorder.</t>
        </is>
      </c>
    </row>
    <row r="755" outlineLevel="2" ht="27.75" customHeight="1" s="128">
      <c r="C755" s="175" t="inlineStr">
        <is>
          <t>General Learning Disability (GLD) / Intellectual Disability</t>
        </is>
      </c>
      <c r="D755" s="175" t="inlineStr">
        <is>
          <t>Citation</t>
        </is>
      </c>
      <c r="F755" s="196" t="inlineStr">
        <is>
          <t>Tassé, M. J., et al. (2012). The construct of adaptive behavior: Its conceptualization, measurement, and use. American Journal on Intellectual and Developmental Disabilities, 117(4), 291–303.</t>
        </is>
      </c>
    </row>
    <row r="756" outlineLevel="2" ht="42.75" customHeight="1" s="128">
      <c r="C756" s="175" t="inlineStr">
        <is>
          <t>General Learning Disability (GLD) / Intellectual Disability</t>
        </is>
      </c>
      <c r="D756" s="175" t="inlineStr">
        <is>
          <t>Citation</t>
        </is>
      </c>
      <c r="F756" s="165" t="inlineStr">
        <is>
          <t>Schalock, R. L., et al. (2021). Intellectual Disability: Definition, Diagnosis, Classification, and Systems of Supports (12th ed.). AAIDD.</t>
        </is>
      </c>
    </row>
    <row r="757" outlineLevel="2" ht="27.75" customHeight="1" s="128">
      <c r="C757" s="175" t="inlineStr">
        <is>
          <t>General Learning Disability (GLD) / Intellectual Disability</t>
        </is>
      </c>
      <c r="D757" s="175" t="inlineStr">
        <is>
          <t>Citation</t>
        </is>
      </c>
      <c r="F757" s="196" t="inlineStr">
        <is>
          <t>NCSE (Ireland) — policy advice and guidance on students with general learning disabilities.</t>
        </is>
      </c>
    </row>
    <row r="758" outlineLevel="2" ht="27.75" customHeight="1" s="128">
      <c r="C758" s="175" t="inlineStr">
        <is>
          <t>General Learning Disability (GLD) / Intellectual Disability</t>
        </is>
      </c>
      <c r="D758" s="175" t="inlineStr">
        <is>
          <t>Citation</t>
        </is>
      </c>
      <c r="F758" s="196" t="inlineStr">
        <is>
          <t>NCCA — Level 1 and Level 2 Learning Programmes.</t>
        </is>
      </c>
    </row>
    <row r="759" outlineLevel="2" ht="27.75" customHeight="1" s="128">
      <c r="C759" s="175" t="inlineStr">
        <is>
          <t>General Learning Disability (GLD) / Intellectual Disability</t>
        </is>
      </c>
      <c r="D759" s="175" t="inlineStr">
        <is>
          <t>Citation</t>
        </is>
      </c>
      <c r="F759" s="196" t="inlineStr">
        <is>
          <t>Burgess, A., et al. (2024). Clinical utility and psychometric properties of tools for early detection of developmental concerns. DMCN.</t>
        </is>
      </c>
    </row>
    <row r="760" ht="408.75" customHeight="1" s="128">
      <c r="A760" s="158" t="inlineStr">
        <is>
          <t>CONDITION</t>
        </is>
      </c>
      <c r="B760" s="158" t="n"/>
      <c r="C760" s="161" t="inlineStr">
        <is>
          <t>Dyslexia / Specific Learning Disorder with impairment in reading</t>
        </is>
      </c>
      <c r="D760" s="158" t="inlineStr">
        <is>
          <t>Condition explained</t>
        </is>
      </c>
      <c r="E760" s="161" t="inlineStr">
        <is>
          <t>Dyslexia / Specific Learning Disorder with impairment in reading</t>
        </is>
      </c>
      <c r="F760" s="162" t="inlineStr">
        <is>
          <t>DSM-5-TR Specific Learning Disorder, with impairment in reading</t>
        </is>
      </c>
      <c r="G760" s="158" t="n"/>
      <c r="H760" s="158" t="n"/>
      <c r="I760" s="158" t="n"/>
      <c r="J760" s="158" t="n"/>
      <c r="K760" s="158" t="n"/>
      <c r="L760" s="158" t="n"/>
      <c r="M760" s="165" t="inlineStr">
        <is>
          <t>• A SPECIFIC difficulty in accurate and/or fluent word reading, decoding and spelling, persisting despite appropriate instruction (APA, 2022).
• The best-supported causal account is a PHONOLOGICAL DEFICIT — difficulty representing and manipulating the sound structure of language (Snowling &amp; Hulme, 2011). Rapid automatised naming is a second reliable correlate.
• It is DIMENSIONAL. Pennington (2006) set out the multiple-deficit model: reading difficulty arises from several risk factors combining, not from one cause, which is why cut-offs are arbitrary and co-occurrence is the norm.
• 'Despite appropriate instruction' is doing real work in the definition. You cannot identify dyslexia without knowing what has been taught.
• In Ireland the Department of Education uses 'specific learning difficulty'; the DSM term is Specific Learning Disorder. Both are in use.</t>
        </is>
      </c>
      <c r="N760" s="154" t="inlineStr">
        <is>
          <t>• NOT about seeing letters backwards. Reversals are developmentally normal in early writing and are not diagnostic. This is the single most common public misconception.
• NOT a visual problem. Coloured overlays and tinted lenses do not have the evidence base their marketing claims; the difficulty is phonological, not optical.
• NOT related to intelligence. The IQ-achievement discrepancy model has been abandoned in current criteria because it under-identified children with lower cognitive scores.
• NOT laziness or lack of effort. Children with dyslexia typically work harder for less output.
• NOT cured by more of the same. If two years of unstructured reading practice has not worked, more of it will not either — the instruction has to be structured, explicit and systematic.</t>
        </is>
      </c>
      <c r="O760" s="164" t="inlineStr">
        <is>
          <t>• OVERALL: commonly cited at 3–7% of the population depending on cut-off, rising to around 20% if a broader definition of reading difficulty is used. The variation is because the underlying distribution is continuous and the cut-off is a decision.
• IRELAND: the Dyslexia Association of Ireland cites approximately 10% of the population as having dyslexia to some degree. Department of Education figures for identified specific learning difficulty will be lower because they reflect identification, not prevalence.
• EARLY YEARS 0–5: not identified. Precursors are assessable — phonological awareness, letter-sound knowledge, family history.
• SCHOOL AGE 6–12: the identification window. Most identification occurs between 7 and 10, which is later than optimal — intervention is most effective earlier.
• ADOLESCENT 13–16: identification still occurs, often when exam demands expose it. By this point secondary effects on confidence and attainment are usually established.
• YOUNG ADULT 17–26: a meaningful group identified for the first time at third level, through DSA processes.
• FAMILY HISTORY: heritability is substantial. A child with an affected parent has roughly a 40–60% chance of reading difficulty. Always ask.</t>
        </is>
      </c>
      <c r="P760" s="154" t="inlineStr">
        <is>
          <t>• ADHD — co-occurs in roughly 30–50% of cases in both directions. PRESENTS AS: reading difficulty plus inattention, where each worsens the other. Pennington's multiple-deficit model (2006) explains why this is expected rather than coincidental.
• DLD / LANGUAGE DISORDER — strongly associated. PRESENTS AS: decoding difficulty PLUS comprehension difficulty. A child who decodes accurately and still cannot answer questions has a language problem, not a decoding one.
• DCD — elevated. PRESENTS AS: slow, effortful handwriting on top of spelling difficulty, compounding written output problems.
• DYSCALCULIA — co-occurs, though less studied. PRESENTS AS: word-problem failure that may be either reading or number sense; test them apart.
• ANXIETY — very common and usually SECONDARY. PRESENTS AS: avoidance of reading aloud, school reluctance, somatic complaints before literacy lessons. Treat the reading and much of it resolves.
• LOW SELF-CONCEPT — almost universal where identification has been late. Academic self-concept drops before global self-esteem does.
• GLUE EAR HISTORY — not a co-occurring condition but a competing explanation. Always ask about the infant years.</t>
        </is>
      </c>
      <c r="Q760" s="199" t="inlineStr">
        <is>
          <t>• IDENTIFY THE COMPONENT FIRST — phonological awareness, decoding, fluency, vocabulary or comprehension — then match the intervention to it. A programme recommended without a component is a guess.
• STRUCTURED, EXPLICIT, SYSTEMATIC PHONICS taught to mastery. Specify: daily, 20 minutes, group of no more than three, SET-delivered, for a term.
• FLUENCY: repeated reading with feedback, and paired reading. Only after decoding is secure.
• ASSISTIVE TECHNOLOGY NOW, not when reading improves. Text-to-speech and speech-to-text give curriculum access while remediation happens.
• NEVER ASK TO READ ALOUD UNPREPARED. Offer the passage in advance if the child wants to participate.
• SEPARATE THE READING LOAD from every other subject's assessment. If she cannot read the question, that is a reading result.
• MONITOR FORTNIGHTLY with something sensitive — words correct per minute, non-word reading — not the annual standardised test.
• RACE / EXAM ACCESS at post-primary: build the evidence early, check current State Examinations Commission criteria.
• ADDRESS THE SECONDARY EFFECTS explicitly — confidence, avoidance — rather than assuming they resolve on their own.
• DO NOT RECOMMEND coloured overlays, tinted lenses or learning-styles matching. The evidence does not support them and PSI 4.2.2 applies.
• CONTINUUM LEVEL: School Support, moving to School Support Plus if a term of targeted intervention produces no measurable change.
• REFER: SLT where comprehension or oral language is implicated; OT where handwriting is motor; audiology where hearing history is unclear.</t>
        </is>
      </c>
      <c r="R760" s="165" t="inlineStr">
        <is>
          <t>• 'Dyslexia is a difficulty with the sound structure of words — breaking them apart and putting them together. That makes decoding new words slow and effortful, which then makes everything that depends on reading harder.'
• 'It's nothing to do with how clever she is. Her reasoning is [describe], and her reading is where the difficulty is. That gap is actually the picture.'
• 'It's not about seeing letters backwards — that's the bit everyone has heard and it's not accurate.'
• 'What helps is structured, explicit phonics taught to mastery, plus assistive technology so she can access the curriculum while the reading catches up. Both, not one.'
• SIGNPOST: Dyslexia Association of Ireland. Give the name.</t>
        </is>
      </c>
      <c r="S760" s="165" t="inlineStr">
        <is>
          <t>• 'The difficulty is phonological. She needs systematic, explicit phonics — and she needs it at her level, not the class level.'
• 'Separate the reading load from the subject. If she can't read the maths word problem, that's a reading result, not a maths result. Read it to her and see what happens.'
• 'Assistive technology now, not later. Text-to-speech and speech-to-text let her access the curriculum while the reading is being remediated. Withholding it until she can read is withholding the curriculum.'
• 'Never ask her to read aloud unprepared in front of the class. Give her the passage the day before if she wants to participate.'
• 'Monitor fortnightly with something sensitive — words correct per minute — not with the annual standardised test.'</t>
        </is>
      </c>
      <c r="T760" s="165" t="inlineStr">
        <is>
          <t>• 'Your brain finds it harder to break words into sounds and put them back together. That's what makes reading slow — it's not about how smart you are.'
• 'Lots of people have this. It's called dyslexia. It doesn't go away, but reading gets a lot easier with the right kind of practice, and there's technology that reads things to you.'
• ASK: 'What's the hardest bit about reading for you?' Their answer often tells you whether it is decoding, stamina or embarrassment — three different problems.
• NAME A STRENGTH SPECIFICALLY: 'You worked out that answer without being able to read the question — that's the thinking part, and that's strong.'
• Be honest that it is lifelong. Children find that easier than discovering it later.</t>
        </is>
      </c>
      <c r="U760" s="165" t="inlineStr">
        <is>
          <t>• THE FOREIGN ALPHABET: 'Imagine every page was in Greek letters. You know the language, you can think about the ideas — but turning those shapes into sounds takes all your effort, and there's nothing left for understanding the story.' Good for teachers; explains why comprehension collapses.
• THE JAMMED LOCK: 'Most people's brains unlock a word automatically. Yours has a lock that sticks — you can still open it, it just takes longer each time.' Good with children.
• THE BUCKET OF EFFORT: 'Everyone starts the day with a bucket of concentration. If reading uses half the bucket before lunch, there isn't much left for anything else. That's why she's exhausted, not lazy.' Good with parents.</t>
        </is>
      </c>
      <c r="V760" s="165" t="inlineStr">
        <is>
          <t>• 'Dyslexia' is widely used and generally accepted by the community; the Dyslexia Association of Ireland uses it directly.
• 'Specific learning difficulty' is the Irish Department of Education term. 'Specific Learning Disorder with impairment in reading' is the DSM-5-TR term.
• Avoid 'word blind', 'suffers from dyslexia', and 'struggling reader' as a euphemism — it obscures rather than protects.
• Be careful with 'diagnosis'. In Ireland, educational psychologists identify specific learning difficulties; frame it as identification against criteria and say what criteria.</t>
        </is>
      </c>
      <c r="W760" s="165" t="inlineStr">
        <is>
          <t>• EARLY YEARS 0–5: no diagnosis. Assess precursors — phonological awareness, rhyme, alliteration, letter-sound knowledge, family history. Family history is a genuine risk indicator.
• SCHOOL AGE 6–12: the identification window. WIAT-III, phonological battery, cognitive comparison, and instructional history. Early identification matters — intervention is most effective before the gap widens.
• ADOLESCENT 13–16: the question shifts to access and accommodation. RACE evidence, assistive technology, subject choice. Remediation still works but the priority is curriculum access.
• YOUNG ADULT 17–26: DSA evidence for third level, workplace adjustment, WRAT-5 or WIAT-III adult norms.
• SPECIAL SETTING: functional literacy against the setting curriculum.</t>
        </is>
      </c>
      <c r="X760" s="166" t="inlineStr">
        <is>
          <t>• RED FLAG — a child with an unidentified reading difficulty and emerging low mood or school refusal. The sequence is usually reading first, then avoidance. Treat the reading.
• RED FLAG — hearing history. Glue ear during the infant classes is a plausible alternative explanation and is routinely missed. Always ask.
• RED FLAG — no systematic phonics instruction has ever been provided. You cannot identify a disorder 'despite appropriate instruction' if there has not been appropriate instruction.
• WATCH FOR co-occurrence: ADHD, DLD and DCD all co-occur with reading difficulty at well above chance.</t>
        </is>
      </c>
      <c r="Y760" s="171" t="inlineStr">
        <is>
          <t>• READING ATTITUDE SCALES (e.g. Elementary Reading Attitude Survey) — good because reading attitude often deteriorates before attainment does, so it catches the emotional cost early.
• 'MY THOUGHTS ABOUT SCHOOL' (NEPS Continuum of Support materials) — Irish, free, already in schools. Good because staff recognise it. → https://www.gov.ie/en/publication/52ee2-neps-resources-and-publications/
• SENTENCE COMPLETION ('Reading is…', 'When the teacher asks me to read…') — good because it is quick, non-threatening, and surfaces shame that direct questions miss.
• DYSLEXIA ASSOCIATION OF IRELAND young people's materials — Irish, written for children about their own profile. Good because self-understanding predicts self-advocacy. → https://dyslexia.ie/
• SCALING ON A DRAWN LADDER — good with 6–12s because it makes an abstract judgement concrete and gives you a follow-up question ('what puts you at a 4?').</t>
        </is>
      </c>
      <c r="Z760" s="198" t="inlineStr">
        <is>
          <t>• Q: 'Does she see letters backwards?' — A: 'That's the thing everyone's heard and it isn't accurate. Reversals are normal in early writing. The actual difficulty is with the sounds in words — breaking them apart and blending them back together.'
• Q: 'Would coloured overlays help?' — A: 'The evidence doesn't support them, and I'd rather you spent the money and the time on something that does. If she finds a particular background easier to read, that's fine to use — it just isn't treating the dyslexia.'
• Q: 'Is she just not trying?' — A: 'The opposite, usually. Children with this profile work considerably harder than their classmates for less output, which is exhausting. What looks like giving up is often running out.'
• Q: 'Will she grow out of it?' — A: 'No, it's lifelong. Reading gets a great deal better with the right teaching, and most people find their own strategies. The difficulty with decoding new words tends to stay.'
• Q: 'Does this mean she's not clever?' — A: 'No, and in fact the gap between her reasoning and her reading is part of what identifies it. Her thinking is [specific]. The reading is where the difficulty sits.'
• Q: 'Should she use a laptop? Isn't that giving up on reading?' — A: 'No — it's two separate things. She needs the phonics teaching to improve the reading, and she needs the technology so she can access history and science while that's happening. Doing one without the other means she falls behind in everything else.'
• Q: 'Will she get extra time in the Leaving Cert?' — A: 'Possibly, and the application is made by the school against criteria set by the State Examinations Commission. I can set out the evidence that supports it, but I can't promise the outcome.'
• Q: 'The school says she's improving, so is she fine now?' — A: 'Improving is good and it doesn't mean the difficulty has gone. The thing to watch is whether she's improving fast enough to close the gap, or improving at the same rate while the gap stays the same. That's why we measure.'</t>
        </is>
      </c>
      <c r="AA760" s="164" t="inlineStr">
        <is>
          <t>• Bring a recommendations section and ask your supervisor: 'who does this on Monday morning?' If they cannot answer, rewrite it.
• Ask how your service handles a school with no systematic phonics programme — that is a systemic conversation and it needs a strategy.
• Raise the identification threshold: at what point does your service say 'specific learning difficulty' and on what basis?
• Discuss the RACE process and what evidence actually satisfies the State Examinations Commission this year.
• Bring a case where the cognitive profile was low average and ask how identification works without a discrepancy model.
• Ask about assistive technology — what the service recommends, what schools actually have, and how to bridge the gap.</t>
        </is>
      </c>
      <c r="AB760" s="171" t="inlineStr">
        <is>
          <t>• ON INSTRUCTIONAL HISTORY — Did I establish what had actually been taught before I concluded anything? The criteria say 'despite appropriate instruction'. If I did not check, I have not met the criteria I claimed to apply.
• ON THE HEARING QUESTION — Did I ask specifically about glue ear and grommets in the infant years, or did I ask a general health question and accept a general answer?
• ON THE TEACHER CONVERSATION — Did I say 'structured phonics' and leave, or did I specify what, who, how often, for how long, and how it would be measured? An unspecified recommendation is a wish.
• ON ASSISTIVE TECHNOLOGY — Did I recommend it now, or imply it should wait until reading improves? Withholding access technology until a child can read is withholding the curriculum.
• ON HOW I EXPLAINED IT TO THE CHILD — Did I name a strength that was specific to them, or a generic one about dyslexic people? Generic strengths are heard as consolation.
• ON THE REVERSALS QUESTION — When the parent mentioned letters backwards, did I correct it clearly, or did I let it pass because correcting felt awkward?
• WHAT GOOD LOOKS LIKE: 'I had written 'targeted literacy support' in my first draft. Reading it back I could not have acted on it myself, so I rewrote it as daily 20 minutes of structured phonics, SET-delivered, group of three, monitored fortnightly on non-word reading. The school implemented it. The first version would have been filed.'
• WHAT POOR LOOKS LIKE: 'Assessment indicated a specific learning difficulty in reading. Literacy support is recommended.' — nothing actionable, no component identified, no instructional history.</t>
        </is>
      </c>
      <c r="AC760" s="165" t="inlineStr">
        <is>
          <t>→ American Psychiatric Association (2022). DSM-5-TR — Specific Learning Disorder.
→ Snowling, M. J., &amp; Hulme, C. (2011). Evidence-based interventions for reading and language difficulties. British Journal of Educational Psychology, 81(1), 1–23.
→ Pennington, B. F. (2006). From single to multiple deficit models of developmental disorders. Cognition, 101(2), 385–413.
→ Ehri, L. C. (2005). Learning to read words: Theory, findings, and issues. Scientific Studies of Reading, 9(2), 167–188.
→ Snowling, M. J., &amp; Hulme, C. (2012). Annual research review: The nature and classification of reading disorders. JCPP, 53(5), 593–607.
→ EEF Teaching and Learning Toolkit — phonics strand.</t>
        </is>
      </c>
    </row>
    <row r="761" outlineLevel="2" ht="41.25" customHeight="1" s="128">
      <c r="C761" s="175" t="inlineStr">
        <is>
          <t>Dyslexia / Specific Learning Disorder with impairment in reading</t>
        </is>
      </c>
      <c r="D761" s="175" t="inlineStr">
        <is>
          <t>Citation</t>
        </is>
      </c>
      <c r="F761" s="165" t="inlineStr">
        <is>
          <t>American Psychiatric Association (2022). DSM-5-TR — Specific Learning Disorder.</t>
        </is>
      </c>
    </row>
    <row r="762" outlineLevel="2" ht="41.25" customHeight="1" s="128">
      <c r="C762" s="175" t="inlineStr">
        <is>
          <t>Dyslexia / Specific Learning Disorder with impairment in reading</t>
        </is>
      </c>
      <c r="D762" s="175" t="inlineStr">
        <is>
          <t>Citation</t>
        </is>
      </c>
      <c r="F762" s="196" t="inlineStr">
        <is>
          <t>Snowling, M. J., &amp; Hulme, C. (2011). Evidence-based interventions for reading and language difficulties. British Journal of Educational Psychology, 81(1), 1–23.</t>
        </is>
      </c>
    </row>
    <row r="763" outlineLevel="2" ht="41.25" customHeight="1" s="128">
      <c r="C763" s="175" t="inlineStr">
        <is>
          <t>Dyslexia / Specific Learning Disorder with impairment in reading</t>
        </is>
      </c>
      <c r="D763" s="175" t="inlineStr">
        <is>
          <t>Citation</t>
        </is>
      </c>
      <c r="F763" s="196" t="inlineStr">
        <is>
          <t>Pennington, B. F. (2006). From single to multiple deficit models of developmental disorders. Cognition, 101(2), 385–413.</t>
        </is>
      </c>
    </row>
    <row r="764" outlineLevel="2" ht="41.25" customHeight="1" s="128">
      <c r="C764" s="175" t="inlineStr">
        <is>
          <t>Dyslexia / Specific Learning Disorder with impairment in reading</t>
        </is>
      </c>
      <c r="D764" s="175" t="inlineStr">
        <is>
          <t>Citation</t>
        </is>
      </c>
      <c r="F764" s="196" t="inlineStr">
        <is>
          <t>Ehri, L. C. (2005). Learning to read words: Theory, findings, and issues. Scientific Studies of Reading, 9(2), 167–188.</t>
        </is>
      </c>
    </row>
    <row r="765" outlineLevel="2" ht="41.25" customHeight="1" s="128">
      <c r="C765" s="175" t="inlineStr">
        <is>
          <t>Dyslexia / Specific Learning Disorder with impairment in reading</t>
        </is>
      </c>
      <c r="D765" s="175" t="inlineStr">
        <is>
          <t>Citation</t>
        </is>
      </c>
      <c r="F765" s="196" t="inlineStr">
        <is>
          <t>Snowling, M. J., &amp; Hulme, C. (2012). Annual research review: The nature and classification of reading disorders. JCPP, 53(5), 593–607.</t>
        </is>
      </c>
    </row>
    <row r="766" outlineLevel="2" ht="41.25" customHeight="1" s="128">
      <c r="C766" s="175" t="inlineStr">
        <is>
          <t>Dyslexia / Specific Learning Disorder with impairment in reading</t>
        </is>
      </c>
      <c r="D766" s="175" t="inlineStr">
        <is>
          <t>Citation</t>
        </is>
      </c>
      <c r="F766" s="196" t="inlineStr">
        <is>
          <t>EEF Teaching and Learning Toolkit — phonics strand.</t>
        </is>
      </c>
    </row>
    <row r="767" ht="408.75" customHeight="1" s="128">
      <c r="A767" s="158" t="inlineStr">
        <is>
          <t>CONDITION</t>
        </is>
      </c>
      <c r="B767" s="158" t="n"/>
      <c r="C767" s="161" t="inlineStr">
        <is>
          <t>ADHD</t>
        </is>
      </c>
      <c r="D767" s="158" t="inlineStr">
        <is>
          <t>Condition explained</t>
        </is>
      </c>
      <c r="E767" s="161" t="inlineStr">
        <is>
          <t>ADHD</t>
        </is>
      </c>
      <c r="F767" s="162" t="inlineStr">
        <is>
          <t>DSM-5-TR Attention-Deficit/Hyperactivity Disorder · ICD-11 6A05</t>
        </is>
      </c>
      <c r="G767" s="158" t="n"/>
      <c r="H767" s="158" t="n"/>
      <c r="I767" s="158" t="n"/>
      <c r="J767" s="158" t="n"/>
      <c r="K767" s="158" t="n"/>
      <c r="L767" s="158" t="n"/>
      <c r="M767" s="165" t="inlineStr">
        <is>
          <t>• A neurodevelopmental condition defined by a persistent pattern of INATTENTION and/or HYPERACTIVITY-IMPULSIVITY that interferes with functioning or development (APA, 2022, DSM-5-TR).
• Three presentations: predominantly inattentive, predominantly hyperactive/impulsive, and combined. Presentation can change with age — hyperactivity typically reduces while inattention persists.
• Criteria require: several symptoms present before age 12; symptoms in TWO OR MORE settings; clear interference with functioning; and not better explained by another condition.
• The best-supported account is of EXECUTIVE FUNCTION and DELAY AVERSION difficulties, not of a deficit of attention per se — attention is often intense on high-interest tasks. Barkley (1997) frames it as a disorder of behavioural inhibition and self-regulation.
• It is DIMENSIONAL. Traits are continuously distributed; the diagnostic line is a judgement about impairment.
• Heritability is among the highest of any psychiatric condition, commonly estimated around 70–80%.</t>
        </is>
      </c>
      <c r="N767" s="154" t="inlineStr">
        <is>
          <t>• NOT caused by sugar. Wolraich, Wilson &amp; White (1995) meta-analysed this and found no effect on behaviour or cognition. The belief persists strongly.
• NOT caused by screens, poor parenting or bad teaching. These can worsen presentation; they do not cause it.
• NOT an absence of attention. Hyperfocus on high-interest activity is characteristic and is routinely used as evidence AGAINST the diagnosis by teachers and family. It is not.
• NOT only hyperactive boys. The predominantly inattentive presentation is under-identified, particularly in girls, who are more often quiet, disorganised and internalising.
• NOT outgrown. Hyperactivity reduces; inattention and executive difficulty commonly persist into adulthood.
• NOT resolved by medication alone. Medication is effective for core symptoms in many people and does not teach skills, organise an environment, or repair self-concept.</t>
        </is>
      </c>
      <c r="O767" s="164" t="inlineStr">
        <is>
          <t>• OVERALL: worldwide pooled prevalence in children and adolescents around 5–7% (Polanczyk et al., 2007, 2014 meta-analyses). Adult prevalence around 2.5%.
• IRELAND: ADHD Ireland cites around 5% of children. Department of Education and HSE identification figures will be lower than prevalence.
• EARLY YEARS 0–5: diagnosis uncommon and less stable. Prevalence figures at this age should be treated cautiously.
• SCHOOL AGE 6–12: peak identification. This is where the majority of diagnoses are made.
• ADOLESCENT 13–16: prevalence broadly stable; presentation shifts from hyperactive to inattentive and executive.
• ADULT: roughly 2.5–3%. Persistence into adulthood in some form is the majority outcome, not the exception.
• SEX RATIO: clinic samples historically 3:1 to 9:1 male. Community samples closer to 2:1 or lower, indicating substantial under-identification in girls — the same diagnostic bias pattern as autism.</t>
        </is>
      </c>
      <c r="P767" s="154" t="inlineStr">
        <is>
          <t>• SPECIFIC LEARNING DIFFICULTY — 30–50% overlap. PRESENTS AS: inattention during literacy work specifically. ALWAYS assess attainment; escape from an unreadable task looks identical to inattention.
• AUTISM — 28–44%. PRESENTS AS: social difficulty plus attention difficulty. Dual diagnosis has been permitted since DSM-5 (2013); older records may not reflect it.
• ODD / CONDUCT DIFFICULTY — elevated, particularly where ADHD has gone unidentified and the child has accumulated years of correction. PRESENTS AS: defiance that is often a learned response to chronic failure.
• ANXIETY AND LOW MOOD — elevated, usually secondary. PRESENTS AS: avoidance and somatic complaints. Treat the ADHD and much reduces, but not all.
• DCD — elevated. PRESENTS AS: messy, slow written work attributed to carelessness.
• DLD — elevated. PRESENTS AS: not following instructions, which is comprehension rather than attention.
• SLEEP DIFFICULTY — very common and bidirectional. Always ask; a child sleeping six hours will screen positive on everything.</t>
        </is>
      </c>
      <c r="Q767" s="199" t="inlineStr">
        <is>
          <t>• EXTERNALISE THE EXECUTIVE FUNCTION. Visual task lists, checklists, timers, a written homework record. Do not expect internal organisation and then penalise its absence.
• ONE INSTRUCTION AT A TIME, or written down. Working memory is usually the bottleneck.
• CHUNK WORK with a visible finish line. 'Do five, then show me' beats 'do the page'.
• LEGITIMATE MOVEMENT built in — a job, an errand, a standing option. Movement suppressed re-emerges as disruption.
• PRIVATE CUES, not public correction. Agree a signal with the child in advance.
• SEATING and proximity to the teacher, away from high-traffic areas. Cheap and effective.
• ASSESS ATTAINMENT. Never treat inattention as the whole story until an unidentified learning difficulty is ruled out.
• SELF-MONITORING for older children — a simple tally the child keeps themselves. Evidence supports self-monitoring and it transfers ownership.
• HOMEWORK: negotiate volume rather than expecting the same as peers. A child taking three hours over thirty minutes' work is not learning.
• CONTINUUM LEVEL: School Support, or School Support Plus where outside services are involved.
• REFER: CAMHS or Primary Care for diagnostic assessment depending on complexity; OT where motor or sensory; SLT where instructions are the issue.
• DO NOT recommend diet change, omega supplements or screen elimination as treatments for core ADHD. The evidence does not support them and PSI 4.2.2 applies.</t>
        </is>
      </c>
      <c r="R767" s="165" t="inlineStr">
        <is>
          <t>• 'ADHD is a difference in the brain's self-management system — starting things, stopping things, holding information in mind, and resisting distraction. It's not about not caring or not trying.'
• 'The name is a bit misleading. It isn't a shortage of attention — it's difficulty DIRECTING attention to order. That's why he can spend three hours on something he loves and three minutes on homework.'
• 'It's highly heritable. Very often a parent recognises a lot of it in themselves, and that's worth knowing rather than avoiding.'
• 'It's not caused by sugar, screens or parenting. Those can make a hard day harder. They didn't cause this.'
• 'What helps is structure that's external rather than expected of him — visual reminders, broken-down tasks, movement built in — plus, for some children, medication, which is a medical decision and not mine.'
• SIGNPOST: ADHD Ireland, and the CAMHS or Primary Care route for assessment.</t>
        </is>
      </c>
      <c r="S767" s="165" t="inlineStr">
        <is>
          <t>• 'The difficulty is executive function — starting, sustaining, switching and inhibiting. Think of it as a self-management difficulty rather than a listening problem.'
• 'Hyperfocus is part of the picture, not evidence against it. Being able to concentrate on something interesting is normal for ADHD.'
• 'Put the structure outside the child. Visual task lists, one instruction at a time, chunked work with a clear finish line, and a legitimate way to move.'
• 'Proximity and private cues work better than public correction. Public correction costs the relationship and rarely changes the behaviour.'
• 'Working memory is usually the bottleneck. Three-step instructions arrive as one step. Write them down or give them one at a time.'
• 'Notice the inattentive presentation. The quiet, disorganised child who never causes trouble is the one most likely to be missed.'</t>
        </is>
      </c>
      <c r="T767" s="165" t="inlineStr">
        <is>
          <t>• YOUNGER: 'Your brain is really good at noticing everything all at once. That's great for spotting things and it makes it hard when you only need to notice one thing. It also makes it tricky to get started and to stop.'
• OLDER: 'ADHD means the part of your brain that manages what you do next works differently. Starting things is harder, stopping is harder, and holding instructions in your head is harder. It's not about effort and it's not about being clever.'
• NAME THE HYPERFOCUS AS A STRENGTH, specifically: 'you spent an hour on that and got it exactly right — that's your brain doing what it does well.'
• ASK: 'What's the hardest part of the school day?' and 'when is it easiest?' The comparison is where the intervention comes from.
• BE CAREFUL WITH 'you just need to try harder' language, including your own. Children with ADHD have usually heard it for years and it is the fastest route to disengagement.</t>
        </is>
      </c>
      <c r="U767" s="165" t="inlineStr">
        <is>
          <t>• THE ORCHESTRA WITHOUT A CONDUCTOR: 'All the instruments are there and they're good ones. What's missing is the conductor deciding who plays when.' Barkley's inhibition account in plain terms; works well with parents and older children.
• THE BROWSER WITH FORTY TABS: 'Everything's open at once and something's playing music and you can't find which tab.' Good with adolescents — it is recognisable rather than pathologising.
• THE RAIN AND THE UMBRELLA (medication): 'Medication doesn't teach him to organise. It holds the umbrella so he can learn while it's raining.' Good for parents deciding about medication.
• THE INTEREST-POWERED ENGINE: 'Most engines run on petrol. This one runs on interest and urgency. When there's neither, it won't start — no matter how hard you push it.' Explains hyperfocus and homework in one image.</t>
        </is>
      </c>
      <c r="V767" s="165" t="inlineStr">
        <is>
          <t>• 'ADHD' is the accepted term and is used by advocacy organisations including ADHD Ireland.
• Community preference is mixed on person-first versus identity-first; 'person with ADHD' and 'ADHDer' are both in use. Ask.
• Avoid: 'suffers from ADHD', 'hyper', 'ADD' (no longer a diagnostic term — it was folded into ADHD in DSM-IV).
• Avoid describing children as 'naughty', 'defiant' or 'lazy' in reports. These are interpretations, and PSI 1.2.8 requires labelling opinion clearly.</t>
        </is>
      </c>
      <c r="W767" s="165" t="inlineStr">
        <is>
          <t>• EARLY YEARS 0–5: rarely diagnosed and hard to distinguish from typical development. Conners EC, structured observation, developmental history. Frame as developmental rather than diagnostic.
• SCHOOL AGE 6–12: the main identification window, usually when sustained seatwork demands begin. Conners-4 parent and teacher, BRIEF-2, TEA-Ch2, classroom observation with a comparison peer. Parent-teacher disagreement is common and is data.
• ADOLESCENT 13–16: hyperactivity declines; organisation, homework and time-management difficulties dominate. Self-report becomes essential — Conners-4 self-report, BRIEF-2 self-report. Risk-taking and substance use need asking about.
• YOUNG ADULT 17–26: adult services, DSA for third level, workplace adjustment. Many first identified here.
• SPECIAL SETTING: distinguish ADHD from work pitched above the pupil's level. Rule the second out first.</t>
        </is>
      </c>
      <c r="X767" s="166" t="inlineStr">
        <is>
          <t>• RED FLAG — an adolescent with ADHD and emerging substance use, self-harm or risk-taking. Elevated risk across all three. Follow the risk protocol.
• RED FLAG — a child on medication whose presentation has changed sharply. Could be dose, could be something else. Medical; refer, do not adjust anything.
• RED FLAG — sudden onset of attention difficulty in a previously settled child. ADHD is developmental and present before 12. Sudden onset suggests something else — sleep, illness, trauma, a life event.
• BOUNDARY — you do not diagnose ADHD and you do not advise on medication. PSI 2.2.2, 2.2.3.
• WATCH — inattention is the final common pathway of many things: hearing loss, anxiety, sleep deprivation, an unidentified learning difficulty, trauma. Rule those out before concluding.</t>
        </is>
      </c>
      <c r="Y767" s="171" t="inlineStr">
        <is>
          <t>• 'MY THOUGHTS ABOUT SCHOOL' (NEPS) — Irish, free, in schools already. Good because staff recognise it and it surfaces the school-day map. → https://www.gov.ie/en/publication/52ee2-neps-resources-and-publications/
• DAY MAPPING — the child marks a timeline of a typical day green/amber/red. Good because it locates the difficulty in time and setting rather than in the child, and generates precise targets.
• SCALING ON A LADDER — good because it gives a follow-up question ('what puts you at a 4?') that produces exceptions.
• ADHD IRELAND young people's materials — Irish context, written for young people. Good because self-understanding predicts self-advocacy in adolescence. → https://adhdireland.ie/
• STRENGTHS CARD SORT — the child sorts strengths cards into 'like me' / 'not like me'. Good because children with ADHD have usually accumulated years of negative feedback and direct questions about strengths produce nothing.</t>
        </is>
      </c>
      <c r="Z767" s="198" t="inlineStr">
        <is>
          <t>• Q: 'But he can play video games for hours — so how can he have attention problems?' — A: 'That's hyperfocus and it's part of the picture rather than evidence against it. The difficulty is directing attention to order, not having none. High-interest activity supplies the direction for him.'
• Q: 'Is it the sugar?' — A: 'No. That's been tested properly — a meta-analysis found no effect of sugar on behaviour or cognition. It's one of the most persistent beliefs about ADHD and it isn't supported.'
• Q: 'Is it my parenting?' — A: 'No. It's highly heritable and present from early development. Parenting affects how hard the days are; it didn't cause this.'
• Q: 'Will he need medication?' — A: 'That's a medical decision and not mine to make. What I can say is that medication helps core symptoms for many children and doesn't teach organisation or repair confidence — so it's usually one part rather than the answer.'
• Q: 'Will he grow out of it?' — A: 'The hyperactivity usually reduces. The organisation and attention side often continues into adulthood. Most people find strategies that work.'
• Q: 'The teacher says he's fine when he wants to be.' — A: 'I'd want to look at when those times are, because that usually tells us exactly what he needs. If he's fine in short, structured, interesting tasks, that's the design brief rather than proof he could do it all along.'
• Q: 'She's quiet and does her work, so it can't be ADHD?' — A: 'The inattentive presentation looks like that — quiet, disorganised, drifting rather than disruptive. It's the one most often missed, especially in girls.'
• Q: 'Isn't ADHD over-diagnosed?' — A: 'It's both, in different places. Under-identified in girls and in the inattentive presentation, and there are concerns about identification in other groups. What matters here is whether this child meets criteria and is impaired, which is what the assessment looks at.'</t>
        </is>
      </c>
      <c r="AA767" s="164" t="inlineStr">
        <is>
          <t>• Bring a case where parent and teacher ratings diverged sharply and ask how your supervisor reads that.
• Ask about the local referral route and threshold — CAMHS versus Primary Care — and what actually gets accepted.
• Raise any case where you suspect an unidentified learning difficulty underneath the attention referral. This is the most common formulation error in ADHD work.
• Discuss what you say to a parent asking about medication, word for word.
• Ask how your service handles a school that is treating ADHD as a behaviour problem.
• Bring the quiet inattentive child you nearly missed. There will be one.</t>
        </is>
      </c>
      <c r="AB767" s="171" t="inlineStr">
        <is>
          <t>• ON HOW I EXPLAINED IT — Did I explain ADHD, or did I explain what this child needs on Monday? Did the teacher leave with something specific?
• ON LANGUAGE — Did I use the family's terms or mine? Did I check whether the young person prefers 'has ADHD' or 'is ADHD'?
• ON THE HYPERFOCUS CONVERSATION — When someone said 'he can concentrate when he wants to', did I correct it clearly, or let it stand because contradicting felt awkward?
• ON MY OWN LANGUAGE IN THE REPORT — did I write 'refuses', 'won't', 'chooses not to'? Those are interpretations, and they follow a child for years.
• ON RULING OUT — did I assess attainment, ask about hearing, ask about sleep, before concluding attention? If not, my formulation is a hypothesis presented as a finding.
• ON THE INATTENTIVE CHILD — am I identifying the quiet ones, or only the ones the school is finding difficult?
• WHAT GOOD LOOKS LIKE: 'I had framed my feedback around attention, and the teacher pushed back that he concentrates fine in art. Rather than defending, I asked what art looks like — short tasks, movement, immediate feedback, high interest. That became the recommendation. My first framing would have produced an argument.'
• WHAT POOR LOOKS LIKE: 'Consistent with ADHD; referral recommended.' — no ruling out, no recommendations the school can act on, nothing learned.</t>
        </is>
      </c>
      <c r="AC767" s="165" t="inlineStr">
        <is>
          <t>→ American Psychiatric Association (2022). DSM-5-TR — Attention-Deficit/Hyperactivity Disorder.
→ Polanczyk, G., de Lima, M. S., Horta, B. L., Biederman, J., &amp; Rohde, L. A. (2007). The worldwide prevalence of ADHD: A systematic review and metaregression analysis. American Journal of Psychiatry, 164(6), 942–948.
→ Barkley, R. A. (1997). Behavioral inhibition, sustained attention, and executive functions. Psychological Bulletin, 121(1), 65–94.
→ Wolraich, M. L., Wilson, D. B., &amp; White, J. W. (1995). The effect of sugar on behavior or cognition in children: A meta-analysis. JAMA, 274(20), 1617–1621.
→ Willcutt, E. G. (2012). The prevalence of DSM-IV ADHD: A meta-analytic review. Neurotherapeutics, 9(3), 490–499.
→ Pennington, B. F. (2006). From single to multiple deficit models of developmental disorders. Cognition, 101(2), 385–413.
→ NICE (2018, updated). Attention deficit hyperactivity disorder: diagnosis and management. NG87.</t>
        </is>
      </c>
    </row>
    <row r="768" outlineLevel="2" ht="32.25" customHeight="1" s="128">
      <c r="C768" s="175" t="inlineStr">
        <is>
          <t>ADHD</t>
        </is>
      </c>
      <c r="D768" s="175" t="inlineStr">
        <is>
          <t>Citation</t>
        </is>
      </c>
      <c r="F768" s="165" t="inlineStr">
        <is>
          <t>American Psychiatric Association (2022). DSM-5-TR — Attention-Deficit/Hyperactivity Disorder.</t>
        </is>
      </c>
    </row>
    <row r="769" outlineLevel="2" ht="15" customHeight="1" s="128">
      <c r="C769" s="175" t="inlineStr">
        <is>
          <t>ADHD</t>
        </is>
      </c>
      <c r="D769" s="175" t="inlineStr">
        <is>
          <t>Citation</t>
        </is>
      </c>
      <c r="F769" s="196" t="inlineStr">
        <is>
          <t>Polanczyk, G., de Lima, M. S., Horta, B. L., Biederman, J., &amp; Rohde, L. A. (2007). The worldwide prevalence of ADHD: A systematic review and metaregression analysis. American Journal of Psychiatry, 164(6), 942–948.</t>
        </is>
      </c>
    </row>
    <row r="770" outlineLevel="2" ht="15" customHeight="1" s="128">
      <c r="C770" s="175" t="inlineStr">
        <is>
          <t>ADHD</t>
        </is>
      </c>
      <c r="D770" s="175" t="inlineStr">
        <is>
          <t>Citation</t>
        </is>
      </c>
      <c r="F770" s="196" t="inlineStr">
        <is>
          <t>Barkley, R. A. (1997). Behavioral inhibition, sustained attention, and executive functions. Psychological Bulletin, 121(1), 65–94.</t>
        </is>
      </c>
    </row>
    <row r="771" outlineLevel="2" ht="15" customHeight="1" s="128">
      <c r="C771" s="175" t="inlineStr">
        <is>
          <t>ADHD</t>
        </is>
      </c>
      <c r="D771" s="175" t="inlineStr">
        <is>
          <t>Citation</t>
        </is>
      </c>
      <c r="F771" s="196" t="inlineStr">
        <is>
          <t>Wolraich, M. L., Wilson, D. B., &amp; White, J. W. (1995). The effect of sugar on behavior or cognition in children: A meta-analysis. JAMA, 274(20), 1617–1621.</t>
        </is>
      </c>
    </row>
    <row r="772" outlineLevel="2" ht="15" customHeight="1" s="128">
      <c r="C772" s="175" t="inlineStr">
        <is>
          <t>ADHD</t>
        </is>
      </c>
      <c r="D772" s="175" t="inlineStr">
        <is>
          <t>Citation</t>
        </is>
      </c>
      <c r="F772" s="196" t="inlineStr">
        <is>
          <t>Willcutt, E. G. (2012). The prevalence of DSM-IV ADHD: A meta-analytic review. Neurotherapeutics, 9(3), 490–499.</t>
        </is>
      </c>
    </row>
    <row r="773" outlineLevel="2" ht="15" customHeight="1" s="128">
      <c r="C773" s="175" t="inlineStr">
        <is>
          <t>ADHD</t>
        </is>
      </c>
      <c r="D773" s="175" t="inlineStr">
        <is>
          <t>Citation</t>
        </is>
      </c>
      <c r="F773" s="196" t="inlineStr">
        <is>
          <t>Pennington, B. F. (2006). From single to multiple deficit models of developmental disorders. Cognition, 101(2), 385–413.</t>
        </is>
      </c>
    </row>
    <row r="774" outlineLevel="2" ht="15" customHeight="1" s="128">
      <c r="C774" s="175" t="inlineStr">
        <is>
          <t>ADHD</t>
        </is>
      </c>
      <c r="D774" s="175" t="inlineStr">
        <is>
          <t>Citation</t>
        </is>
      </c>
      <c r="F774" s="196" t="inlineStr">
        <is>
          <t>NICE (2018, updated). Attention deficit hyperactivity disorder: diagnosis and management. NG87.</t>
        </is>
      </c>
    </row>
    <row r="776" ht="25.5" customHeight="1" s="128">
      <c r="A776" s="142" t="inlineStr">
        <is>
          <t>PART J</t>
        </is>
      </c>
      <c r="B776" s="142" t="inlineStr">
        <is>
          <t>WHAT IS COMPLETE AND WHAT IS NOT</t>
        </is>
      </c>
      <c r="C776" s="142" t="n"/>
      <c r="D776" s="142" t="n"/>
      <c r="E776" s="142" t="inlineStr">
        <is>
          <t>An honest account. Depth was chosen over coverage deliberately — a thin entry on all 96 conditions would be worse than a full entry on the ones you actually meet. This is the map of what remains.</t>
        </is>
      </c>
      <c r="F776" s="142" t="n"/>
      <c r="G776" s="142" t="n"/>
      <c r="H776" s="142" t="n"/>
      <c r="I776" s="142" t="n"/>
      <c r="J776" s="142" t="n"/>
      <c r="K776" s="142" t="n"/>
      <c r="L776" s="142" t="n"/>
      <c r="M776" s="142" t="n"/>
      <c r="N776" s="142" t="n"/>
      <c r="O776" s="142" t="n"/>
      <c r="P776" s="142" t="n"/>
      <c r="Q776" s="142" t="n"/>
      <c r="R776" s="142" t="n"/>
      <c r="S776" s="142" t="n"/>
      <c r="T776" s="142" t="n"/>
      <c r="U776" s="142" t="n"/>
      <c r="V776" s="142" t="n"/>
      <c r="W776" s="142" t="n"/>
      <c r="X776" s="142" t="n"/>
      <c r="Y776" s="142" t="n"/>
      <c r="Z776" s="142" t="n"/>
      <c r="AA776" s="142" t="n"/>
      <c r="AB776" s="142" t="n"/>
      <c r="AC776" s="142" t="n"/>
      <c r="AD776" s="142" t="n"/>
      <c r="AE776" s="142" t="n"/>
      <c r="AF776" s="142" t="n"/>
      <c r="AG776" s="142" t="n"/>
      <c r="AH776" s="142" t="n"/>
      <c r="AI776" s="142" t="n"/>
      <c r="AJ776" s="142" t="n"/>
      <c r="AK776" s="142" t="n"/>
    </row>
    <row r="777" ht="15" customHeight="1" s="128">
      <c r="A777" s="179" t="n"/>
      <c r="B777" s="179" t="inlineStr">
        <is>
          <t>Part</t>
        </is>
      </c>
      <c r="C777" s="179" t="inlineStr">
        <is>
          <t>What it covers</t>
        </is>
      </c>
      <c r="D777" s="179" t="inlineStr">
        <is>
          <t>Done</t>
        </is>
      </c>
      <c r="E777" s="179" t="inlineStr">
        <is>
          <t>Remaining</t>
        </is>
      </c>
      <c r="F777" s="179" t="inlineStr">
        <is>
          <t>Priority order</t>
        </is>
      </c>
      <c r="G777" s="179" t="inlineStr">
        <is>
          <t>Roughly</t>
        </is>
      </c>
      <c r="H777" s="179" t="n"/>
      <c r="I777" s="179" t="n"/>
      <c r="J777" s="179" t="n"/>
      <c r="K777" s="179" t="n"/>
      <c r="L777" s="179" t="n"/>
    </row>
    <row r="778" ht="90" customHeight="1" s="128">
      <c r="A778" s="148" t="n"/>
      <c r="B778" s="184" t="inlineStr">
        <is>
          <t>Part A · competencies</t>
        </is>
      </c>
      <c r="C778" s="149" t="inlineStr">
        <is>
          <t>8 UCD competencies, 55 macro skills, 154 blocks, 317 micro-skills, teaching, rubrics, readings</t>
        </is>
      </c>
      <c r="D778" s="148" t="n"/>
      <c r="E778" s="200" t="inlineStr">
        <is>
          <t>55 of 55 skills taught — COMPLETE</t>
        </is>
      </c>
      <c r="F778" s="149" t="inlineStr">
        <is>
          <t>None</t>
        </is>
      </c>
      <c r="G778" s="149" t="inlineStr">
        <is>
          <t>—</t>
        </is>
      </c>
      <c r="H778" s="148" t="inlineStr">
        <is>
          <t>done</t>
        </is>
      </c>
      <c r="I778" s="148" t="n"/>
      <c r="J778" s="148" t="n"/>
      <c r="K778" s="148" t="n"/>
      <c r="L778" s="148" t="n"/>
    </row>
    <row r="779" ht="90" customHeight="1" s="128">
      <c r="A779" s="148" t="n"/>
      <c r="B779" s="184" t="inlineStr">
        <is>
          <t>Part B · standards</t>
        </is>
      </c>
      <c r="C779" s="149" t="inlineStr">
        <is>
          <t>102 CORU standards and 128 PSI clauses in full text</t>
        </is>
      </c>
      <c r="D779" s="148" t="n"/>
      <c r="E779" s="200" t="inlineStr">
        <is>
          <t>230 of 230 — COMPLETE</t>
        </is>
      </c>
      <c r="F779" s="149" t="inlineStr">
        <is>
          <t>None</t>
        </is>
      </c>
      <c r="G779" s="149" t="inlineStr">
        <is>
          <t>—</t>
        </is>
      </c>
      <c r="H779" s="148" t="inlineStr">
        <is>
          <t>done</t>
        </is>
      </c>
      <c r="I779" s="148" t="n"/>
      <c r="J779" s="148" t="n"/>
      <c r="K779" s="148" t="n"/>
      <c r="L779" s="148" t="n"/>
    </row>
    <row r="780" ht="90" customHeight="1" s="128">
      <c r="A780" s="148" t="n"/>
      <c r="B780" s="184" t="inlineStr">
        <is>
          <t>Part C · Interactive Factors</t>
        </is>
      </c>
      <c r="C780" s="149" t="inlineStr">
        <is>
          <t>The prompt transcribed, plus Irish equivalents</t>
        </is>
      </c>
      <c r="D780" s="148" t="n"/>
      <c r="E780" s="200" t="inlineStr">
        <is>
          <t>COMPLETE</t>
        </is>
      </c>
      <c r="F780" s="149" t="inlineStr">
        <is>
          <t>None</t>
        </is>
      </c>
      <c r="G780" s="149" t="inlineStr">
        <is>
          <t>—</t>
        </is>
      </c>
      <c r="H780" s="148" t="inlineStr">
        <is>
          <t>done</t>
        </is>
      </c>
      <c r="I780" s="148" t="n"/>
      <c r="J780" s="148" t="n"/>
      <c r="K780" s="148" t="n"/>
      <c r="L780" s="148" t="n"/>
    </row>
    <row r="781" ht="90" customHeight="1" s="128">
      <c r="A781" s="148" t="n"/>
      <c r="B781" s="184" t="inlineStr">
        <is>
          <t>Part D · by age band</t>
        </is>
      </c>
      <c r="C781" s="149" t="inlineStr">
        <is>
          <t>5 bands, 25 category blocks, 113 area entries, diagnoses, presentations, referral routes, tools</t>
        </is>
      </c>
      <c r="D781" s="148" t="n"/>
      <c r="E781" s="200" t="inlineStr">
        <is>
          <t>COMPLETE for the 23 referral areas</t>
        </is>
      </c>
      <c r="F781" s="149" t="inlineStr">
        <is>
          <t>None at area level</t>
        </is>
      </c>
      <c r="G781" s="149" t="inlineStr">
        <is>
          <t>—</t>
        </is>
      </c>
      <c r="H781" s="148" t="inlineStr">
        <is>
          <t>done</t>
        </is>
      </c>
      <c r="I781" s="148" t="n"/>
      <c r="J781" s="148" t="n"/>
      <c r="K781" s="148" t="n"/>
      <c r="L781" s="148" t="n"/>
    </row>
    <row r="782" ht="90" customHeight="1" s="128">
      <c r="A782" s="148" t="n"/>
      <c r="B782" s="184" t="inlineStr">
        <is>
          <t>Part E · three-year route</t>
        </is>
      </c>
      <c r="C782" s="149" t="inlineStr">
        <is>
          <t>UCD, PSI and CORU requirements by year, with where you stand</t>
        </is>
      </c>
      <c r="D782" s="148" t="n"/>
      <c r="E782" s="200" t="inlineStr">
        <is>
          <t>COMPLETE</t>
        </is>
      </c>
      <c r="F782" s="149" t="inlineStr">
        <is>
          <t>None</t>
        </is>
      </c>
      <c r="G782" s="149" t="inlineStr">
        <is>
          <t>—</t>
        </is>
      </c>
      <c r="H782" s="148" t="inlineStr">
        <is>
          <t>done</t>
        </is>
      </c>
      <c r="I782" s="148" t="n"/>
      <c r="J782" s="148" t="n"/>
      <c r="K782" s="148" t="n"/>
      <c r="L782" s="148" t="n"/>
    </row>
    <row r="783" ht="90" customHeight="1" s="128">
      <c r="A783" s="151" t="n"/>
      <c r="B783" s="201" t="inlineStr">
        <is>
          <t>Part F · papers</t>
        </is>
      </c>
      <c r="C783" s="152" t="inlineStr">
        <is>
          <t>Papers behind the tool choices, via Elicit</t>
        </is>
      </c>
      <c r="D783" s="151" t="n"/>
      <c r="E783" s="202" t="inlineStr">
        <is>
          <t>5 papers</t>
        </is>
      </c>
      <c r="F783" s="203" t="inlineStr">
        <is>
          <t>More as each area is written</t>
        </is>
      </c>
      <c r="G783" s="152" t="inlineStr">
        <is>
          <t>alongside each new part</t>
        </is>
      </c>
      <c r="H783" s="151" t="inlineStr">
        <is>
          <t>ongoing</t>
        </is>
      </c>
      <c r="I783" s="151" t="n"/>
      <c r="J783" s="151" t="n"/>
      <c r="K783" s="151" t="n"/>
      <c r="L783" s="151" t="n"/>
    </row>
    <row r="784" ht="90" customHeight="1" s="128">
      <c r="A784" s="151" t="n"/>
      <c r="B784" s="201" t="inlineStr">
        <is>
          <t>Part G · tools taught</t>
        </is>
      </c>
      <c r="C784" s="152" t="inlineStr">
        <is>
          <t>Before · administer · score · interpret · errors · read</t>
        </is>
      </c>
      <c r="D784" s="151" t="n"/>
      <c r="E784" s="202" t="inlineStr">
        <is>
          <t>6 of 71 tools</t>
        </is>
      </c>
      <c r="F784" s="203" t="inlineStr">
        <is>
          <t>65 tools</t>
        </is>
      </c>
      <c r="G784" s="152" t="inlineStr">
        <is>
          <t>1. WISC-V(has own chapter) 2. Early Years set: Griffiths, ASQ-3, Bayley 3. WPPSI-IV 4. CELF-5, BPVS 5. Conners-4, BRIEF-2, SDQ, RCADS 6. the rest</t>
        </is>
      </c>
      <c r="H784" s="151" t="inlineStr">
        <is>
          <t>~45,000 words</t>
        </is>
      </c>
      <c r="I784" s="151" t="n"/>
      <c r="J784" s="151" t="n"/>
      <c r="K784" s="151" t="n"/>
      <c r="L784" s="151" t="n"/>
    </row>
    <row r="785" ht="90" customHeight="1" s="128">
      <c r="A785" s="151" t="n"/>
      <c r="B785" s="201" t="inlineStr">
        <is>
          <t>Part H · methods in full</t>
        </is>
      </c>
      <c r="C785" s="152" t="inlineStr">
        <is>
          <t>20 columns: history, evidence, script, Q&amp;A, theory, red flags, supervision, reflection, timeline</t>
        </is>
      </c>
      <c r="D785" s="151" t="n"/>
      <c r="E785" s="202" t="inlineStr">
        <is>
          <t>3 methods</t>
        </is>
      </c>
      <c r="F785" s="203" t="inlineStr">
        <is>
          <t>At least 9 more</t>
        </is>
      </c>
      <c r="G785" s="152" t="inlineStr">
        <is>
          <t>1. Classroom observation 2. Teacher consultation 3. ABC functional analysis 4. Parent feedback session 5. Report writing 6. Graduated return (EBSA) 7. Group intervention 8. Staff training 9. Transition planning</t>
        </is>
      </c>
      <c r="H785" s="151" t="inlineStr">
        <is>
          <t>~30,000 words</t>
        </is>
      </c>
      <c r="I785" s="151" t="n"/>
      <c r="J785" s="151" t="n"/>
      <c r="K785" s="151" t="n"/>
      <c r="L785" s="151" t="n"/>
    </row>
    <row r="786" ht="90" customHeight="1" s="128">
      <c r="A786" s="151" t="n"/>
      <c r="B786" s="201" t="inlineStr">
        <is>
          <t>Part I · conditions</t>
        </is>
      </c>
      <c r="C786" s="152" t="inlineStr">
        <is>
          <t>17 columns incl. prevalence by age, co-occurrence, recommendations, parent/teacher/child level, misconceptions, analogies, Q&amp;A, supervision, reflection</t>
        </is>
      </c>
      <c r="D786" s="151" t="n"/>
      <c r="E786" s="202" t="inlineStr">
        <is>
          <t>4 of 96 diagnoses</t>
        </is>
      </c>
      <c r="F786" s="203" t="inlineStr">
        <is>
          <t>93 diagnoses + 159 non-diagnostic presentations</t>
        </is>
      </c>
      <c r="G786" s="152" t="inlineStr">
        <is>
          <t>1. ADHD 2. DLD 3. DCD 4. Anxiety 5. EBSA 6. Trauma/attachment 7. DLD vs EAL 8. Low mood 9. ODD/conduct 10. then by caseload</t>
        </is>
      </c>
      <c r="H786" s="151" t="inlineStr">
        <is>
          <t>~250,000 words</t>
        </is>
      </c>
      <c r="I786" s="151" t="n"/>
      <c r="J786" s="151" t="n"/>
      <c r="K786" s="151" t="n"/>
      <c r="L786" s="151" t="n"/>
    </row>
    <row r="787" ht="90" customHeight="1" s="128">
      <c r="A787" s="151" t="n"/>
      <c r="B787" s="201" t="inlineStr">
        <is>
          <t>Cross-cutting</t>
        </is>
      </c>
      <c r="C787" s="152" t="inlineStr">
        <is>
          <t>Developmental re-ordering (shadow→co-work→lead→lead unsupervised); BPS material incl. interpreters</t>
        </is>
      </c>
      <c r="D787" s="151" t="n"/>
      <c r="E787" s="202" t="inlineStr">
        <is>
          <t>Not started</t>
        </is>
      </c>
      <c r="F787" s="203" t="inlineStr">
        <is>
          <t>Both</t>
        </is>
      </c>
      <c r="G787" s="152" t="inlineStr">
        <is>
          <t>After Part I reaches the conditions you meet weekly</t>
        </is>
      </c>
      <c r="H787" s="151" t="inlineStr">
        <is>
          <t>~8,000 words</t>
        </is>
      </c>
      <c r="I787" s="151" t="n"/>
      <c r="J787" s="151" t="n"/>
      <c r="K787" s="151" t="n"/>
      <c r="L787" s="151" t="n"/>
    </row>
  </sheetData>
  <autoFilter ref="A26:AK787"/>
  <hyperlinks>
    <hyperlink xmlns:r="http://schemas.openxmlformats.org/officeDocument/2006/relationships" ref="C3" location="'Reference'!A26" display="1. Assessment" r:id="rId1"/>
    <hyperlink xmlns:r="http://schemas.openxmlformats.org/officeDocument/2006/relationships" ref="C4" location="'Reference'!A58" display="2. Formulation" r:id="rId2"/>
    <hyperlink xmlns:r="http://schemas.openxmlformats.org/officeDocument/2006/relationships" ref="C5" location="'Reference'!A71" display="3. Intervention" r:id="rId3"/>
    <hyperlink xmlns:r="http://schemas.openxmlformats.org/officeDocument/2006/relationships" ref="C6" location="'Reference'!A83" display="4. Systemic Change" r:id="rId4"/>
    <hyperlink xmlns:r="http://schemas.openxmlformats.org/officeDocument/2006/relationships" ref="C7" location="'Reference'!A96" display="5. Working with Others" r:id="rId5"/>
    <hyperlink xmlns:r="http://schemas.openxmlformats.org/officeDocument/2006/relationships" ref="C8" location="'Reference'!A108" display="6. Ethical Practice" r:id="rId6"/>
    <hyperlink xmlns:r="http://schemas.openxmlformats.org/officeDocument/2006/relationships" ref="C9" location="'Reference'!A121" display="7. Supervision" r:id="rId7"/>
    <hyperlink xmlns:r="http://schemas.openxmlformats.org/officeDocument/2006/relationships" ref="C10" location="'Reference'!A136" display="8. Research" r:id="rId8"/>
    <hyperlink xmlns:r="http://schemas.openxmlformats.org/officeDocument/2006/relationships" ref="C19" location="'Reference'!A146" display="PART B — all 102 CORU standards and 128 PSI clauses in full" r:id="rId9"/>
    <hyperlink xmlns:r="http://schemas.openxmlformats.org/officeDocument/2006/relationships" ref="M27" location="'Reference'!A150" display="▸  CORU 1.2&#10;&#10;     Be able to identify the limits of their practice and know when to seek advice and additional expertise or refer to another professional" r:id="rId10"/>
    <hyperlink xmlns:r="http://schemas.openxmlformats.org/officeDocument/2006/relationships" ref="N27" location="'Reference'!A171" display="▸  CORU 2.2&#10;&#10;     Be able to modify and adapt communication methods and styles, including verbal and non-verbal methods, to suit the individual service user, considering issues of language, age, culture, beliefs and health and/or social care needs" r:id="rId11"/>
    <hyperlink xmlns:r="http://schemas.openxmlformats.org/officeDocument/2006/relationships" ref="O27" location="'Reference'!A177" display="▸  CORU 2.8&#10;&#10;     Be able to produce clear, concise, accurate and objective documentation" r:id="rId12"/>
    <hyperlink xmlns:r="http://schemas.openxmlformats.org/officeDocument/2006/relationships" ref="P27" location="'Reference'!A188" display="▸  CORU 3.1&#10;&#10;     Be able to gather all appropriate background information relevant to the service user's health and social care needs" r:id="rId13"/>
    <hyperlink xmlns:r="http://schemas.openxmlformats.org/officeDocument/2006/relationships" ref="Q27" location="'Reference'!A189" display="▸  CORU 3.2&#10;&#10;     Be able to justify the selection of and implement appropriate assessment techniques and be able to undertake and record a thorough, sensitive and detailed assessment" r:id="rId14"/>
    <hyperlink xmlns:r="http://schemas.openxmlformats.org/officeDocument/2006/relationships" ref="R27" location="'Reference'!A190" display="▸  CORU 3.3&#10;&#10;     Be able to determine the appropriate tests/assessments required and undertake/arrange these tests" r:id="rId15"/>
    <hyperlink xmlns:r="http://schemas.openxmlformats.org/officeDocument/2006/relationships" ref="S27" location="'Reference'!A191" display="▸  CORU 3.4&#10;&#10;     Be able to analyse and critically evaluate the information collected in the assessment process" r:id="rId16"/>
    <hyperlink xmlns:r="http://schemas.openxmlformats.org/officeDocument/2006/relationships" ref="T27" location="'Reference'!A211" display="▸  CORU 5.2&#10;&#10;     Demonstrate a critical understanding of relevant biological sciences, human development, social and behavioural sciences and other related sciences, together with a knowledge of health and wellbeing" r:id="rId17"/>
    <hyperlink xmlns:r="http://schemas.openxmlformats.org/officeDocument/2006/relationships" ref="U27" location="'Reference'!A215" display="▸  CORU 5.6&#10;&#10;     Demonstrate safe and effective implementation of practical, technical and clinical/professional skills" r:id="rId18"/>
    <hyperlink xmlns:r="http://schemas.openxmlformats.org/officeDocument/2006/relationships" ref="V27" location="'Reference'!A221" display="▸  CORU 5.12&#10;&#10;     Know the psychological theories of education, human development, learning and teaching and their application in children, young people and adult learners" r:id="rId19"/>
    <hyperlink xmlns:r="http://schemas.openxmlformats.org/officeDocument/2006/relationships" ref="W27" location="'Reference'!A222" display="▸  CORU 5.13&#10;&#10;     Know the structures and systems of school, community and social settings in which educational, health and social care services are provided for children, young people and adult learners" r:id="rId20"/>
    <hyperlink xmlns:r="http://schemas.openxmlformats.org/officeDocument/2006/relationships" ref="X27" location="'Reference'!A223" display="▸  CORU 5.14&#10;&#10;     Know the impact of structures and systems in which educational services are provided on the development of children, young people and adult learners at individual, group and organisational levels" r:id="rId21"/>
    <hyperlink xmlns:r="http://schemas.openxmlformats.org/officeDocument/2006/relationships" ref="Y27" location="'Reference'!A230" display="▸  CORU 5.21&#10;&#10;     Establish, maintain and conclude a professional relationship with a service user, safely and ethically, recognising and managing professional boundaries" r:id="rId22"/>
    <hyperlink xmlns:r="http://schemas.openxmlformats.org/officeDocument/2006/relationships" ref="Z27" location="'Reference'!A233" display="▸  CORU 5.24&#10;&#10;     Identify and apply knowledge of the intersecting forms of diversity of service users, working in an inclusive, sensitive and equitable manner" r:id="rId23"/>
    <hyperlink xmlns:r="http://schemas.openxmlformats.org/officeDocument/2006/relationships" ref="AA27" location="'Reference'!A236" display="▸  CORU 5.27&#10;&#10;     Be able to produce clear, concise, accessible and accurate reports — devised in collaboration with service users, as appropriate — that are suitable for the intended audience and context of their use, in order to communicate and justify professional opinions made" r:id="rId24"/>
    <hyperlink xmlns:r="http://schemas.openxmlformats.org/officeDocument/2006/relationships" ref="AB27" location="'Reference'!A237" display="▸  CORU 5.28&#10;&#10;     Be able to critically evaluate the theory and application of a range of assessment methods used in educational psychology to identify psychological, educational and developmental needs at individual and group levels" r:id="rId25"/>
    <hyperlink xmlns:r="http://schemas.openxmlformats.org/officeDocument/2006/relationships" ref="AC27" location="'Reference'!A240" display="▸  CORU 5.31&#10;&#10;     Conduct a range of assessment methods safely and ethically, adapting and re-evaluating their application as appropriate" r:id="rId26"/>
    <hyperlink xmlns:r="http://schemas.openxmlformats.org/officeDocument/2006/relationships" ref="AD27" location="'Reference'!A241" display="▸  CORU 5.32&#10;&#10;     Interpret, synthesise and critically evaluate assessment data, within relevant conceptual frameworks, to inform case formulation and psychological intervention planning" r:id="rId27"/>
    <hyperlink xmlns:r="http://schemas.openxmlformats.org/officeDocument/2006/relationships" ref="M28" location="'Reference'!A259" display="▸  PSI 1.1.1&#10;&#10;     Have sensible regard for individual clients' moral and cultural values." r:id="rId28"/>
    <hyperlink xmlns:r="http://schemas.openxmlformats.org/officeDocument/2006/relationships" ref="N28" location="'Reference'!A261" display="▸  PSI 1.1.3&#10;&#10;     Convey respect for and abide by prevailing community mores, social customs, and cultural expectations in their scientific and professional activities." r:id="rId29"/>
    <hyperlink xmlns:r="http://schemas.openxmlformats.org/officeDocument/2006/relationships" ref="O28" location="'Reference'!A280" display="▸  PSI 1.3.5&#10;&#10;     Ensure at least the following are understood: purpose and nature of the activity; mutual responsibilities; likely benefits and risks; alternatives; consequences of non-action; the option to refuse or withdraw at any time without prejudice; the period the consent applies to; and how to rescind consent." r:id="rId30"/>
    <hyperlink xmlns:r="http://schemas.openxmlformats.org/officeDocument/2006/relationships" ref="P28" location="'Reference'!A297" display="▸  PSI 1.4.1&#10;&#10;     Seek as full and active participation as possible from others in decisions which affect them." r:id="rId31"/>
    <hyperlink xmlns:r="http://schemas.openxmlformats.org/officeDocument/2006/relationships" ref="Q28" location="'Reference'!A299" display="▸  PSI 1.4.3&#10;&#10;     Respect the right of individuals to discontinue participation or service at any time, and be responsive to non-verbal indications of a desire to discontinue." r:id="rId32"/>
    <hyperlink xmlns:r="http://schemas.openxmlformats.org/officeDocument/2006/relationships" ref="R28" location="'Reference'!A306" display="▸  PSI 2.2.2&#10;&#10;     Recognise the boundaries of their competence, and do not exceed these." r:id="rId33"/>
    <hyperlink xmlns:r="http://schemas.openxmlformats.org/officeDocument/2006/relationships" ref="S28" location="'Reference'!A311" display="▸  PSI 2.3.1&#10;&#10;     Be mindful, when making decisions based on psychological data and techniques, of the limitations of such data and techniques." r:id="rId34"/>
    <hyperlink xmlns:r="http://schemas.openxmlformats.org/officeDocument/2006/relationships" ref="T28" location="'Reference'!A313" display="▸  PSI 2.3.3&#10;&#10;     Terminate an activity when it is clear the activity is more harmful than beneficial, or when it is no longer needed." r:id="rId35"/>
    <hyperlink xmlns:r="http://schemas.openxmlformats.org/officeDocument/2006/relationships" ref="U28" location="'Reference'!A345" display="▸  PSI 3.3.6&#10;&#10;     Take all reasonable steps to ensure tests and assessment methods are only used by those qualified and trained to do so." r:id="rId36"/>
    <hyperlink xmlns:r="http://schemas.openxmlformats.org/officeDocument/2006/relationships" ref="V28" location="'Reference'!A380" display="▸  PSI 4.2.2&#10;&#10;     Take due care to avoid misrepresentation, exaggeration, distortion or errors in reporting assessment results, research findings or service effectiveness, and act quickly to correct any such error." r:id="rId37"/>
    <hyperlink xmlns:r="http://schemas.openxmlformats.org/officeDocument/2006/relationships" ref="W28" location="'Reference'!A383" display="▸  PSI 4.2.5&#10;&#10;     Take care in communicating their knowledge, findings and views to clearly differentiate facts, opinions, theories, hypotheses and ideas." r:id="rId38"/>
    <hyperlink xmlns:r="http://schemas.openxmlformats.org/officeDocument/2006/relationships" ref="X28" location="'Reference'!A384" display="▸  PSI 4.2.6&#10;&#10;     Not suppress disconfirming evidence of their findings and views, and acknowledge alternative hypotheses and explanations." r:id="rId39"/>
    <hyperlink xmlns:r="http://schemas.openxmlformats.org/officeDocument/2006/relationships" ref="Y28" location="'Reference'!A395" display="▸  PSI 4.3.1&#10;&#10;     Respect the right of clients and research participants to receive an appropriate explanation of the nature, purpose and results of investigations, assessments and research findings, in language they can understand." r:id="rId40"/>
    <hyperlink xmlns:r="http://schemas.openxmlformats.org/officeDocument/2006/relationships" ref="M59" location="'Reference'!A151" display="▸  CORU 1.3&#10;&#10;     Be able to act in the best interest of service users at all times with due regard to their will and preference" r:id="rId41"/>
    <hyperlink xmlns:r="http://schemas.openxmlformats.org/officeDocument/2006/relationships" ref="N59" location="'Reference'!A160" display="▸  CORU 1.12&#10;&#10;     Understand and be able to apply the limits of the concept of confidentiality particularly in relation to child protection, vulnerable adults and elder abuse" r:id="rId42"/>
    <hyperlink xmlns:r="http://schemas.openxmlformats.org/officeDocument/2006/relationships" ref="O59" location="'Reference'!A170" display="▸  CORU 2.1&#10;&#10;     Be able to communicate diagnosis/assessment and/or treatment/management options in a way that can be understood by the service user" r:id="rId43"/>
    <hyperlink xmlns:r="http://schemas.openxmlformats.org/officeDocument/2006/relationships" ref="P59" location="'Reference'!A191" display="▸  CORU 3.4&#10;&#10;     Be able to analyse and critically evaluate the information collected in the assessment process" r:id="rId44"/>
    <hyperlink xmlns:r="http://schemas.openxmlformats.org/officeDocument/2006/relationships" ref="Q59" location="'Reference'!A192" display="▸  CORU 3.5&#10;&#10;     Be able to demonstrate sound logical reasoning and problem solving skills to determine appropriate problem lists, action plans and goals" r:id="rId45"/>
    <hyperlink xmlns:r="http://schemas.openxmlformats.org/officeDocument/2006/relationships" ref="R59" location="'Reference'!A193" display="▸  CORU 3.6&#10;&#10;     Be able to demonstrate an evidence-informed approach to professional decision-making, adapting practice to the needs of the service user and drawing on appropriate knowledge and skills in order to make professional judgments" r:id="rId46"/>
    <hyperlink xmlns:r="http://schemas.openxmlformats.org/officeDocument/2006/relationships" ref="S59" location="'Reference'!A211" display="▸  CORU 5.2&#10;&#10;     Demonstrate a critical understanding of relevant biological sciences, human development, social and behavioural sciences and other related sciences, together with a knowledge of health and wellbeing" r:id="rId47"/>
    <hyperlink xmlns:r="http://schemas.openxmlformats.org/officeDocument/2006/relationships" ref="T59" location="'Reference'!A214" display="▸  CORU 5.5&#10;&#10;     Be able to identify and understand the impact of governmental, organisational, community and societal structures, systems and culture on health and social care provision" r:id="rId48"/>
    <hyperlink xmlns:r="http://schemas.openxmlformats.org/officeDocument/2006/relationships" ref="U59" location="'Reference'!A223" display="▸  CORU 5.14&#10;&#10;     Know the impact of structures and systems in which educational services are provided on the development of children, young people and adult learners at individual, group and organisational levels" r:id="rId49"/>
    <hyperlink xmlns:r="http://schemas.openxmlformats.org/officeDocument/2006/relationships" ref="V59" location="'Reference'!A224" display="▸  CORU 5.15&#10;&#10;     Know psychological models related to the cognitive, behavioural, emotional, social and learning development of children, young people and adults in educational, health and social care services" r:id="rId50"/>
    <hyperlink xmlns:r="http://schemas.openxmlformats.org/officeDocument/2006/relationships" ref="W59" location="'Reference'!A225" display="▸  CORU 5.16&#10;&#10;     Know psychological models related to the impact of family structures, culture, community, organisations and systems on cognitive, behavioural, emotional, social and learning development" r:id="rId51"/>
    <hyperlink xmlns:r="http://schemas.openxmlformats.org/officeDocument/2006/relationships" ref="X59" location="'Reference'!A226" display="▸  CORU 5.17&#10;&#10;     Know psychological models related to the factors that hinder the fulfilment of potential and achievement among children, young people and adults, in order to identify needs and address barriers to learning and development" r:id="rId52"/>
    <hyperlink xmlns:r="http://schemas.openxmlformats.org/officeDocument/2006/relationships" ref="Y59" location="'Reference'!A238" display="▸  CORU 5.29&#10;&#10;     Know and apply educational psychology theory and systemic, ecological and problem-solving frameworks related to assessment methods" r:id="rId53"/>
    <hyperlink xmlns:r="http://schemas.openxmlformats.org/officeDocument/2006/relationships" ref="Z59" location="'Reference'!A241" display="▸  CORU 5.32&#10;&#10;     Interpret, synthesise and critically evaluate assessment data, within relevant conceptual frameworks, to inform case formulation and psychological intervention planning" r:id="rId54"/>
    <hyperlink xmlns:r="http://schemas.openxmlformats.org/officeDocument/2006/relationships" ref="M60" location="'Reference'!A311" display="▸  PSI 2.3.1&#10;&#10;     Be mindful, when making decisions based on psychological data and techniques, of the limitations of such data and techniques." r:id="rId55"/>
    <hyperlink xmlns:r="http://schemas.openxmlformats.org/officeDocument/2006/relationships" ref="N60" location="'Reference'!A383" display="▸  PSI 4.2.5&#10;&#10;     Take care in communicating their knowledge, findings and views to clearly differentiate facts, opinions, theories, hypotheses and ideas." r:id="rId56"/>
    <hyperlink xmlns:r="http://schemas.openxmlformats.org/officeDocument/2006/relationships" ref="O60" location="'Reference'!A384" display="▸  PSI 4.2.6&#10;&#10;     Not suppress disconfirming evidence of their findings and views, and acknowledge alternative hypotheses and explanations." r:id="rId57"/>
    <hyperlink xmlns:r="http://schemas.openxmlformats.org/officeDocument/2006/relationships" ref="M72" location="'Reference'!A150" display="▸  CORU 1.2&#10;&#10;     Be able to identify the limits of their practice and know when to seek advice and additional expertise or refer to another professional" r:id="rId58"/>
    <hyperlink xmlns:r="http://schemas.openxmlformats.org/officeDocument/2006/relationships" ref="N72" location="'Reference'!A170" display="▸  CORU 2.1&#10;&#10;     Be able to communicate diagnosis/assessment and/or treatment/management options in a way that can be understood by the service user" r:id="rId59"/>
    <hyperlink xmlns:r="http://schemas.openxmlformats.org/officeDocument/2006/relationships" ref="O72" location="'Reference'!A183" display="▸  CORU 2.14&#10;&#10;     Understand the need to work in partnership with service users, their relatives/carers and other professionals in planning and evaluating goals, treatments and interventions, and be aware of the concepts of power and authority in relationships with service users" r:id="rId60"/>
    <hyperlink xmlns:r="http://schemas.openxmlformats.org/officeDocument/2006/relationships" ref="P72" location="'Reference'!A191" display="▸  CORU 3.4&#10;&#10;     Be able to analyse and critically evaluate the information collected in the assessment process" r:id="rId61"/>
    <hyperlink xmlns:r="http://schemas.openxmlformats.org/officeDocument/2006/relationships" ref="Q72" location="'Reference'!A195" display="▸  CORU 3.8&#10;&#10;     Be able to evaluate intervention plans using appropriate tools and recognised performance/outcome measures along with service user responses; revise the plans as necessary and where appropriate in conjunction with the service user" r:id="rId62"/>
    <hyperlink xmlns:r="http://schemas.openxmlformats.org/officeDocument/2006/relationships" ref="R72" location="'Reference'!A227" display="▸  CORU 5.18&#10;&#10;     Know psychotherapeutic models relevant to educational psychology and critically evaluate these as they are applied in practice" r:id="rId63"/>
    <hyperlink xmlns:r="http://schemas.openxmlformats.org/officeDocument/2006/relationships" ref="S72" location="'Reference'!A230" display="▸  CORU 5.21&#10;&#10;     Establish, maintain and conclude a professional relationship with a service user, safely and ethically, recognising and managing professional boundaries" r:id="rId64"/>
    <hyperlink xmlns:r="http://schemas.openxmlformats.org/officeDocument/2006/relationships" ref="T72" location="'Reference'!A231" display="▸  CORU 5.22&#10;&#10;     Be able to critically analyse the factors that influence therapeutic and professional relationships, including power dynamics between the practitioner and service user" r:id="rId65"/>
    <hyperlink xmlns:r="http://schemas.openxmlformats.org/officeDocument/2006/relationships" ref="U72" location="'Reference'!A236" display="▸  CORU 5.27&#10;&#10;     Be able to produce clear, concise, accessible and accurate reports — devised in collaboration with service users, as appropriate — that are suitable for the intended audience and context of their use, in order to communicate and justify professional opinions made" r:id="rId66"/>
    <hyperlink xmlns:r="http://schemas.openxmlformats.org/officeDocument/2006/relationships" ref="V72" location="'Reference'!A242" display="▸  CORU 5.33&#10;&#10;     Be able to critically evaluate the theory and application of evidence-based intervention methods — at individual and group levels — in educational, health and social care settings" r:id="rId67"/>
    <hyperlink xmlns:r="http://schemas.openxmlformats.org/officeDocument/2006/relationships" ref="W72" location="'Reference'!A243" display="▸  CORU 5.34&#10;&#10;     Design intervention(s) on the basis of available data, evidence-informed professional judgement, formulation and service user perspective" r:id="rId68"/>
    <hyperlink xmlns:r="http://schemas.openxmlformats.org/officeDocument/2006/relationships" ref="X72" location="'Reference'!A244" display="▸  CORU 5.35&#10;&#10;     Identify and evaluate the characteristics of school organisation and culture in order to contribute to school development that enhances the participation and wellbeing of all learners" r:id="rId69"/>
    <hyperlink xmlns:r="http://schemas.openxmlformats.org/officeDocument/2006/relationships" ref="Y72" location="'Reference'!A245" display="▸  CORU 5.36&#10;&#10;     Apply safe and ethical intervention(s) appropriate to the goals and purpose identified in intervention plan(s)" r:id="rId70"/>
    <hyperlink xmlns:r="http://schemas.openxmlformats.org/officeDocument/2006/relationships" ref="Z72" location="'Reference'!A247" display="▸  CORU 5.38&#10;&#10;     Know and apply a range of consultation approaches at individual, group and organisational levels" r:id="rId71"/>
    <hyperlink xmlns:r="http://schemas.openxmlformats.org/officeDocument/2006/relationships" ref="AA72" location="'Reference'!A249" display="▸  CORU 5.40&#10;&#10;     Work collaboratively with other professionals — including teachers, other school staff and multi-disciplinary teams — to build capacity among those responsible for the delivery of interventions" r:id="rId72"/>
    <hyperlink xmlns:r="http://schemas.openxmlformats.org/officeDocument/2006/relationships" ref="M73" location="'Reference'!A279" display="▸  PSI 1.3.4&#10;&#10;     Provide, in obtaining informed consent, as much information as a reasonable or prudent person, family, group or community would want to know before deciding — in language they understand, taking reasonable steps to ensure it is in fact understood." r:id="rId73"/>
    <hyperlink xmlns:r="http://schemas.openxmlformats.org/officeDocument/2006/relationships" ref="N73" location="'Reference'!A297" display="▸  PSI 1.4.1&#10;&#10;     Seek as full and active participation as possible from others in decisions which affect them." r:id="rId74"/>
    <hyperlink xmlns:r="http://schemas.openxmlformats.org/officeDocument/2006/relationships" ref="O73" location="'Reference'!A306" display="▸  PSI 2.2.2&#10;&#10;     Recognise the boundaries of their competence, and do not exceed these." r:id="rId75"/>
    <hyperlink xmlns:r="http://schemas.openxmlformats.org/officeDocument/2006/relationships" ref="P73" location="'Reference'!A312" display="▸  PSI 2.3.2&#10;&#10;     Direct their interventions towards clear objectives, and do not persist after the objectives have been met or if it is apparent they cannot be met." r:id="rId76"/>
    <hyperlink xmlns:r="http://schemas.openxmlformats.org/officeDocument/2006/relationships" ref="Q73" location="'Reference'!A313" display="▸  PSI 2.3.3&#10;&#10;     Terminate an activity when it is clear the activity is more harmful than beneficial, or when it is no longer needed." r:id="rId77"/>
    <hyperlink xmlns:r="http://schemas.openxmlformats.org/officeDocument/2006/relationships" ref="R73" location="'Reference'!A327" display="▸  PSI 3.1.2&#10;&#10;     Monitor and evaluate the effect of their professional activities, record their findings and, if appropriate, communicate new knowledge to others in the field." r:id="rId78"/>
    <hyperlink xmlns:r="http://schemas.openxmlformats.org/officeDocument/2006/relationships" ref="S73" location="'Reference'!A363" display="▸  PSI 3.4.3&#10;&#10;     When referring a client, maintain support and responsibility for caring until contact has commenced with the agent to whom referral was made." r:id="rId79"/>
    <hyperlink xmlns:r="http://schemas.openxmlformats.org/officeDocument/2006/relationships" ref="T73" location="'Reference'!A364" display="▸  PSI 3.4.4&#10;&#10;     Give reasonable notice and make reasonably certain that discontinuation will cause no harm to the client, before discontinuing services." r:id="rId80"/>
    <hyperlink xmlns:r="http://schemas.openxmlformats.org/officeDocument/2006/relationships" ref="U73" location="'Reference'!A395" display="▸  PSI 4.3.1&#10;&#10;     Respect the right of clients and research participants to receive an appropriate explanation of the nature, purpose and results of investigations, assessments and research findings, in language they can understand." r:id="rId81"/>
    <hyperlink xmlns:r="http://schemas.openxmlformats.org/officeDocument/2006/relationships" ref="M84" location="'Reference'!A161" display="▸  CORU 1.13&#10;&#10;     Be aware of current data protection, freedom of information and other legislation relevant to the profession and be able to access new and emerging legislation" r:id="rId82"/>
    <hyperlink xmlns:r="http://schemas.openxmlformats.org/officeDocument/2006/relationships" ref="N84" location="'Reference'!A180" display="▸  CORU 2.11&#10;&#10;     Be able to express professional, informed and considered opinions to service users, health professionals and others in varied practice settings and contexts and within the limitations of confidentiality" r:id="rId83"/>
    <hyperlink xmlns:r="http://schemas.openxmlformats.org/officeDocument/2006/relationships" ref="O84" location="'Reference'!A185" display="▸  CORU 2.16&#10;&#10;     Understand the role and impact of effective interdisciplinary team working in meeting service user needs and be able to effectively contribute to decision-making within a team setting" r:id="rId84"/>
    <hyperlink xmlns:r="http://schemas.openxmlformats.org/officeDocument/2006/relationships" ref="P84" location="'Reference'!A207" display="▸  CORU 4.5&#10;&#10;     Understand the importance of and be able to seek professional development, supervision, feedback and peer review opportunities in order to continuously improve practice" r:id="rId85"/>
    <hyperlink xmlns:r="http://schemas.openxmlformats.org/officeDocument/2006/relationships" ref="Q84" location="'Reference'!A214" display="▸  CORU 5.5&#10;&#10;     Be able to identify and understand the impact of governmental, organisational, community and societal structures, systems and culture on health and social care provision" r:id="rId86"/>
    <hyperlink xmlns:r="http://schemas.openxmlformats.org/officeDocument/2006/relationships" ref="R84" location="'Reference'!A217" display="▸  CORU 5.8&#10;&#10;     Know the basic principles of effective teaching and learning, mentoring and supervision" r:id="rId87"/>
    <hyperlink xmlns:r="http://schemas.openxmlformats.org/officeDocument/2006/relationships" ref="S84" location="'Reference'!A222" display="▸  CORU 5.13&#10;&#10;     Know the structures and systems of school, community and social settings in which educational, health and social care services are provided for children, young people and adult learners" r:id="rId88"/>
    <hyperlink xmlns:r="http://schemas.openxmlformats.org/officeDocument/2006/relationships" ref="T84" location="'Reference'!A229" display="▸  CORU 5.20&#10;&#10;     Know and communicate the role of educational psychologists in providing evidence-based psychological services across educational, health and social care settings, focusing on supporting the psychological and educational development of children, young people and adult learners through assessment, diagnosis, formulation, intervention, prevention, advocacy, consultation, training and research" r:id="rId89"/>
    <hyperlink xmlns:r="http://schemas.openxmlformats.org/officeDocument/2006/relationships" ref="U84" location="'Reference'!A244" display="▸  CORU 5.35&#10;&#10;     Identify and evaluate the characteristics of school organisation and culture in order to contribute to school development that enhances the participation and wellbeing of all learners" r:id="rId90"/>
    <hyperlink xmlns:r="http://schemas.openxmlformats.org/officeDocument/2006/relationships" ref="V84" location="'Reference'!A247" display="▸  CORU 5.38&#10;&#10;     Know and apply a range of consultation approaches at individual, group and organisational levels" r:id="rId91"/>
    <hyperlink xmlns:r="http://schemas.openxmlformats.org/officeDocument/2006/relationships" ref="W84" location="'Reference'!A248" display="▸  CORU 5.39&#10;&#10;     Work as part of a multi-disciplinary team in order to actively contribute to the integrated delivery of interventions at individual and group levels" r:id="rId92"/>
    <hyperlink xmlns:r="http://schemas.openxmlformats.org/officeDocument/2006/relationships" ref="X84" location="'Reference'!A249" display="▸  CORU 5.40&#10;&#10;     Work collaboratively with other professionals — including teachers, other school staff and multi-disciplinary teams — to build capacity among those responsible for the delivery of interventions" r:id="rId93"/>
    <hyperlink xmlns:r="http://schemas.openxmlformats.org/officeDocument/2006/relationships" ref="Y84" location="'Reference'!A250" display="▸  CORU 5.41&#10;&#10;     Be able to critically analyse, appraise and evaluate psychological and other relevant contemporary research to inform evidence-based practice" r:id="rId94"/>
    <hyperlink xmlns:r="http://schemas.openxmlformats.org/officeDocument/2006/relationships" ref="M85" location="'Reference'!A333" display="▸  PSI 3.1.8&#10;&#10;     Speak out if the policies, practices or regulations of the organisation within which they work seriously ignore or oppose any principle of this Code." r:id="rId95"/>
    <hyperlink xmlns:r="http://schemas.openxmlformats.org/officeDocument/2006/relationships" ref="N85" location="'Reference'!A365" display="▸  PSI 3.4.5&#10;&#10;     Contribute where appropriate to the co-ordination of client services to avoid duplication or working at cross purposes — maintaining adequate records and communicating with other providers." r:id="rId96"/>
    <hyperlink xmlns:r="http://schemas.openxmlformats.org/officeDocument/2006/relationships" ref="M97" location="'Reference'!A161" display="▸  CORU 1.13&#10;&#10;     Be aware of current data protection, freedom of information and other legislation relevant to the profession and be able to access new and emerging legislation" r:id="rId97"/>
    <hyperlink xmlns:r="http://schemas.openxmlformats.org/officeDocument/2006/relationships" ref="N97" location="'Reference'!A170" display="▸  CORU 2.1&#10;&#10;     Be able to communicate diagnosis/assessment and/or treatment/management options in a way that can be understood by the service user" r:id="rId98"/>
    <hyperlink xmlns:r="http://schemas.openxmlformats.org/officeDocument/2006/relationships" ref="O97" location="'Reference'!A171" display="▸  CORU 2.2&#10;&#10;     Be able to modify and adapt communication methods and styles, including verbal and non-verbal methods, to suit the individual service user, considering issues of language, age, culture, beliefs and health and/or social care needs" r:id="rId99"/>
    <hyperlink xmlns:r="http://schemas.openxmlformats.org/officeDocument/2006/relationships" ref="P97" location="'Reference'!A172" display="▸  CORU 2.3&#10;&#10;     Recognise service users as active participants in their health and social care and be able to support service users in communicating their needs, choices and concerns" r:id="rId100"/>
    <hyperlink xmlns:r="http://schemas.openxmlformats.org/officeDocument/2006/relationships" ref="Q97" location="'Reference'!A177" display="▸  CORU 2.8&#10;&#10;     Be able to produce clear, concise, accurate and objective documentation" r:id="rId101"/>
    <hyperlink xmlns:r="http://schemas.openxmlformats.org/officeDocument/2006/relationships" ref="R97" location="'Reference'!A179" display="▸  CORU 2.10&#10;&#10;     Be aware of and comply with local/national documentation standards including, for example, terminology and signature requirements" r:id="rId102"/>
    <hyperlink xmlns:r="http://schemas.openxmlformats.org/officeDocument/2006/relationships" ref="S97" location="'Reference'!A182" display="▸  CORU 2.13&#10;&#10;     Understand and be able to discuss the principles of effective conflict management" r:id="rId103"/>
    <hyperlink xmlns:r="http://schemas.openxmlformats.org/officeDocument/2006/relationships" ref="T97" location="'Reference'!A186" display="▸  CORU 2.17&#10;&#10;     Understand the role of relationships with professional colleagues and other workers in service delivery and the need to create professional relationships based on mutual respect and trust" r:id="rId104"/>
    <hyperlink xmlns:r="http://schemas.openxmlformats.org/officeDocument/2006/relationships" ref="U97" location="'Reference'!A189" display="▸  CORU 3.2&#10;&#10;     Be able to justify the selection of and implement appropriate assessment techniques and be able to undertake and record a thorough, sensitive and detailed assessment" r:id="rId105"/>
    <hyperlink xmlns:r="http://schemas.openxmlformats.org/officeDocument/2006/relationships" ref="V97" location="'Reference'!A222" display="▸  CORU 5.13&#10;&#10;     Know the structures and systems of school, community and social settings in which educational, health and social care services are provided for children, young people and adult learners" r:id="rId106"/>
    <hyperlink xmlns:r="http://schemas.openxmlformats.org/officeDocument/2006/relationships" ref="W97" location="'Reference'!A230" display="▸  CORU 5.21&#10;&#10;     Establish, maintain and conclude a professional relationship with a service user, safely and ethically, recognising and managing professional boundaries" r:id="rId107"/>
    <hyperlink xmlns:r="http://schemas.openxmlformats.org/officeDocument/2006/relationships" ref="X97" location="'Reference'!A234" display="▸  CORU 5.25&#10;&#10;     Select, evaluate and revise communication approaches to promote inclusive communication appropriate to the context of practice and the intended audience" r:id="rId108"/>
    <hyperlink xmlns:r="http://schemas.openxmlformats.org/officeDocument/2006/relationships" ref="Y97" location="'Reference'!A236" display="▸  CORU 5.27&#10;&#10;     Be able to produce clear, concise, accessible and accurate reports — devised in collaboration with service users, as appropriate — that are suitable for the intended audience and context of their use, in order to communicate and justify professional opinions made" r:id="rId109"/>
    <hyperlink xmlns:r="http://schemas.openxmlformats.org/officeDocument/2006/relationships" ref="Z97" location="'Reference'!A241" display="▸  CORU 5.32&#10;&#10;     Interpret, synthesise and critically evaluate assessment data, within relevant conceptual frameworks, to inform case formulation and psychological intervention planning" r:id="rId110"/>
    <hyperlink xmlns:r="http://schemas.openxmlformats.org/officeDocument/2006/relationships" ref="M98" location="'Reference'!A272" display="▸  PSI 1.2.8&#10;&#10;     Be acutely aware of the need for discretion in recording and communicating information, so as to prevent it being interpreted or used to the detriment of others: not recording information which could lead to misinterpretation; avoiding conjecture; clearly labelling opinion; and communicating in language the recipient can understand." r:id="rId111"/>
    <hyperlink xmlns:r="http://schemas.openxmlformats.org/officeDocument/2006/relationships" ref="N98" location="'Reference'!A297" display="▸  PSI 1.4.1&#10;&#10;     Seek as full and active participation as possible from others in decisions which affect them." r:id="rId112"/>
    <hyperlink xmlns:r="http://schemas.openxmlformats.org/officeDocument/2006/relationships" ref="O98" location="'Reference'!A311" display="▸  PSI 2.3.1&#10;&#10;     Be mindful, when making decisions based on psychological data and techniques, of the limitations of such data and techniques." r:id="rId113"/>
    <hyperlink xmlns:r="http://schemas.openxmlformats.org/officeDocument/2006/relationships" ref="P98" location="'Reference'!A383" display="▸  PSI 4.2.5&#10;&#10;     Take care in communicating their knowledge, findings and views to clearly differentiate facts, opinions, theories, hypotheses and ideas." r:id="rId114"/>
    <hyperlink xmlns:r="http://schemas.openxmlformats.org/officeDocument/2006/relationships" ref="Q98" location="'Reference'!A395" display="▸  PSI 4.3.1&#10;&#10;     Respect the right of clients and research participants to receive an appropriate explanation of the nature, purpose and results of investigations, assessments and research findings, in language they can understand." r:id="rId115"/>
    <hyperlink xmlns:r="http://schemas.openxmlformats.org/officeDocument/2006/relationships" ref="M109" location="'Reference'!A150" display="▸  CORU 1.2&#10;&#10;     Be able to identify the limits of their practice and know when to seek advice and additional expertise or refer to another professional" r:id="rId116"/>
    <hyperlink xmlns:r="http://schemas.openxmlformats.org/officeDocument/2006/relationships" ref="N109" location="'Reference'!A151" display="▸  CORU 1.3&#10;&#10;     Be able to act in the best interest of service users at all times with due regard to their will and preference" r:id="rId117"/>
    <hyperlink xmlns:r="http://schemas.openxmlformats.org/officeDocument/2006/relationships" ref="O109" location="'Reference'!A157" display="▸  CORU 1.9&#10;&#10;     Understand the role of policies and systems to protect the health, safety, welfare, equality and dignity of service users, staff and volunteers" r:id="rId118"/>
    <hyperlink xmlns:r="http://schemas.openxmlformats.org/officeDocument/2006/relationships" ref="P109" location="'Reference'!A160" display="▸  CORU 1.12&#10;&#10;     Understand and be able to apply the limits of the concept of confidentiality particularly in relation to child protection, vulnerable adults and elder abuse" r:id="rId119"/>
    <hyperlink xmlns:r="http://schemas.openxmlformats.org/officeDocument/2006/relationships" ref="Q109" location="'Reference'!A161" display="▸  CORU 1.13&#10;&#10;     Be aware of current data protection, freedom of information and other legislation relevant to the profession and be able to access new and emerging legislation" r:id="rId120"/>
    <hyperlink xmlns:r="http://schemas.openxmlformats.org/officeDocument/2006/relationships" ref="R109" location="'Reference'!A163" display="▸  CORU 1.15&#10;&#10;     Be able to gain informed consent to carry out assessments or provide treatment/interventions and document evidence that consent has been obtained" r:id="rId121"/>
    <hyperlink xmlns:r="http://schemas.openxmlformats.org/officeDocument/2006/relationships" ref="S109" location="'Reference'!A164" display="▸  CORU 1.16&#10;&#10;     Be aware of current legislation and guidelines related to informed consent for individuals with lack of capacity" r:id="rId122"/>
    <hyperlink xmlns:r="http://schemas.openxmlformats.org/officeDocument/2006/relationships" ref="T109" location="'Reference'!A166" display="▸  CORU 1.18&#10;&#10;     Be able to take responsibility for managing one's own workload as appropriate" r:id="rId123"/>
    <hyperlink xmlns:r="http://schemas.openxmlformats.org/officeDocument/2006/relationships" ref="U109" location="'Reference'!A167" display="▸  CORU 1.19&#10;&#10;     Understand the principles of professional decision-making and be able to make informed decisions within the context of competing demands including those relating to ethical conflicts and available resources" r:id="rId124"/>
    <hyperlink xmlns:r="http://schemas.openxmlformats.org/officeDocument/2006/relationships" ref="V109" location="'Reference'!A168" display="▸  CORU 1.20&#10;&#10;     Be aware of and be able to take responsibility for managing one's own health and wellbeing" r:id="rId125"/>
    <hyperlink xmlns:r="http://schemas.openxmlformats.org/officeDocument/2006/relationships" ref="W109" location="'Reference'!A171" display="▸  CORU 2.2&#10;&#10;     Be able to modify and adapt communication methods and styles, including verbal and non-verbal methods, to suit the individual service user, considering issues of language, age, culture, beliefs and health and/or social care needs" r:id="rId126"/>
    <hyperlink xmlns:r="http://schemas.openxmlformats.org/officeDocument/2006/relationships" ref="X109" location="'Reference'!A199" display="▸  CORU 3.12&#10;&#10;     Be able to carry out and document a risk analysis and implement effective risk management controls and strategies; be able to clearly communicate any identified risk, adverse events or near misses in line with current legislation/guidelines" r:id="rId127"/>
    <hyperlink xmlns:r="http://schemas.openxmlformats.org/officeDocument/2006/relationships" ref="Y109" location="'Reference'!A200" display="▸  CORU 3.13&#10;&#10;     Be able to comply with relevant and current health and safety legislation and guidelines" r:id="rId128"/>
    <hyperlink xmlns:r="http://schemas.openxmlformats.org/officeDocument/2006/relationships" ref="Z109" location="'Reference'!A203" display="▸  CORU 4.1&#10;&#10;     Be able to engage in and take responsibility for professional development" r:id="rId129"/>
    <hyperlink xmlns:r="http://schemas.openxmlformats.org/officeDocument/2006/relationships" ref="AA109" location="'Reference'!A254" display="▸  CORU 5.45&#10;&#10;     Be able to recognise personal emotional responses and the impact of trauma, as identified through professional/therapeutic practice and supervision, and use appropriate tools to develop effective self-care to maintain professional functioning" r:id="rId130"/>
    <hyperlink xmlns:r="http://schemas.openxmlformats.org/officeDocument/2006/relationships" ref="M110" location="'Reference'!A273" display="▸  PSI 1.2.9&#10;&#10;     Inform those to whom they offer services about legal limits on confidentiality where appropriate." r:id="rId131"/>
    <hyperlink xmlns:r="http://schemas.openxmlformats.org/officeDocument/2006/relationships" ref="N110" location="'Reference'!A280" display="▸  PSI 1.3.5&#10;&#10;     Ensure at least the following are understood: purpose and nature of the activity; mutual responsibilities; likely benefits and risks; alternatives; consequences of non-action; the option to refuse or withdraw at any time without prejudice; the period the consent applies to; and how to rescind consent." r:id="rId132"/>
    <hyperlink xmlns:r="http://schemas.openxmlformats.org/officeDocument/2006/relationships" ref="O110" location="'Reference'!A285" display="▸  PSI 1.3.10&#10;&#10;     Seek willing and adequately informed participation from any person of diminished capacity, and proceed without consent only if the activity is of direct benefit to that person." r:id="rId133"/>
    <hyperlink xmlns:r="http://schemas.openxmlformats.org/officeDocument/2006/relationships" ref="P110" location="'Reference'!A299" display="▸  PSI 1.4.3&#10;&#10;     Respect the right of individuals to discontinue participation or service at any time, and be responsive to non-verbal indications of a desire to discontinue." r:id="rId134"/>
    <hyperlink xmlns:r="http://schemas.openxmlformats.org/officeDocument/2006/relationships" ref="Q110" location="'Reference'!A306" display="▸  PSI 2.2.2&#10;&#10;     Recognise the boundaries of their competence, and do not exceed these." r:id="rId135"/>
    <hyperlink xmlns:r="http://schemas.openxmlformats.org/officeDocument/2006/relationships" ref="R110" location="'Reference'!A307" display="▸  PSI 2.2.3&#10;&#10;     Offer or carry out (without supervision) only those professional activities for which they have established their competence to practise to the benefit of others." r:id="rId136"/>
    <hyperlink xmlns:r="http://schemas.openxmlformats.org/officeDocument/2006/relationships" ref="S110" location="'Reference'!A323" display="▸  PSI 2.5.1&#10;&#10;     Refrain from practice when professional judgment or ability to benefit and not harm others is seriously impaired by a physical or psychological condition; and seek competent professional assistance to determine whether to limit, suspend or terminate professional activity." r:id="rId137"/>
    <hyperlink xmlns:r="http://schemas.openxmlformats.org/officeDocument/2006/relationships" ref="T110" location="'Reference'!A345" display="▸  PSI 3.3.6&#10;&#10;     Take all reasonable steps to ensure tests and assessment methods are only used by those qualified and trained to do so." r:id="rId138"/>
    <hyperlink xmlns:r="http://schemas.openxmlformats.org/officeDocument/2006/relationships" ref="U110" location="'Reference'!A363" display="▸  PSI 3.4.3&#10;&#10;     When referring a client, maintain support and responsibility for caring until contact has commenced with the agent to whom referral was made." r:id="rId139"/>
    <hyperlink xmlns:r="http://schemas.openxmlformats.org/officeDocument/2006/relationships" ref="V110" location="'Reference'!A377" display="▸  PSI 4.1.2&#10;&#10;     Seek emotional support and/or supervision from colleagues when feeling stressed or vulnerable due to professional dilemmas." r:id="rId140"/>
    <hyperlink xmlns:r="http://schemas.openxmlformats.org/officeDocument/2006/relationships" ref="M122" location="'Reference'!A205" display="▸  CORU 4.3&#10;&#10;     Be able to evaluate and reflect critically on own professional practice to identify learning and development needs; select appropriate learning activities to achieve professional development goals; and integrate new knowledge and skills into professional practice" r:id="rId141"/>
    <hyperlink xmlns:r="http://schemas.openxmlformats.org/officeDocument/2006/relationships" ref="N122" location="'Reference'!A207" display="▸  CORU 4.5&#10;&#10;     Understand the importance of and be able to seek professional development, supervision, feedback and peer review opportunities in order to continuously improve practice" r:id="rId142"/>
    <hyperlink xmlns:r="http://schemas.openxmlformats.org/officeDocument/2006/relationships" ref="O122" location="'Reference'!A217" display="▸  CORU 5.8&#10;&#10;     Know the basic principles of effective teaching and learning, mentoring and supervision" r:id="rId143"/>
    <hyperlink xmlns:r="http://schemas.openxmlformats.org/officeDocument/2006/relationships" ref="P122" location="'Reference'!A253" display="▸  CORU 5.44&#10;&#10;     Be able to critically reflect on the 'self' and the ongoing impact of one's own culture, values, experiences, beliefs and biases on their professional/therapeutic practice — utilising supervision to assist in the reflective process — and use such reflection to inform practice" r:id="rId144"/>
    <hyperlink xmlns:r="http://schemas.openxmlformats.org/officeDocument/2006/relationships" ref="Q122" location="'Reference'!A254" display="▸  CORU 5.45&#10;&#10;     Be able to recognise personal emotional responses and the impact of trauma, as identified through professional/therapeutic practice and supervision, and use appropriate tools to develop effective self-care to maintain professional functioning" r:id="rId145"/>
    <hyperlink xmlns:r="http://schemas.openxmlformats.org/officeDocument/2006/relationships" ref="M123" location="'Reference'!A348" display="▸  PSI 3.3.9&#10;&#10;     Act to minimise the impact of research activities on participants' personality or their mental or physical integrity." r:id="rId146"/>
    <hyperlink xmlns:r="http://schemas.openxmlformats.org/officeDocument/2006/relationships" ref="N123" location="'Reference'!A368" display="▸  PSI 3.5.2&#10;&#10;     Facilitate the professional and scientific development of those whose work they supervise by arranging appropriate work experience and offering constructive feedback." r:id="rId147"/>
    <hyperlink xmlns:r="http://schemas.openxmlformats.org/officeDocument/2006/relationships" ref="O123" location="'Reference'!A376" display="▸  PSI 4.1.1&#10;&#10;     Engage in self-care activities which help to avoid conditions (for example, burnout, addictions) which could result in impaired judgement and interfere with their ability to benefit and not harm others." r:id="rId148"/>
    <hyperlink xmlns:r="http://schemas.openxmlformats.org/officeDocument/2006/relationships" ref="P123" location="'Reference'!A377" display="▸  PSI 4.1.2&#10;&#10;     Seek emotional support and/or supervision from colleagues when feeling stressed or vulnerable due to professional dilemmas." r:id="rId149"/>
    <hyperlink xmlns:r="http://schemas.openxmlformats.org/officeDocument/2006/relationships" ref="M137" location="'Reference'!A195" display="▸  CORU 3.8&#10;&#10;     Be able to evaluate intervention plans using appropriate tools and recognised performance/outcome measures along with service user responses; revise the plans as necessary and where appropriate in conjunction with the service user" r:id="rId150"/>
    <hyperlink xmlns:r="http://schemas.openxmlformats.org/officeDocument/2006/relationships" ref="N137" location="'Reference'!A196" display="▸  CORU 3.9&#10;&#10;     Understand the need to monitor, evaluate and/or audit the quality of practice and be able to critically evaluate one's own practice against evidence-based standards and implement improvements based on the findings" r:id="rId151"/>
    <hyperlink xmlns:r="http://schemas.openxmlformats.org/officeDocument/2006/relationships" ref="O137" location="'Reference'!A212" display="▸  CORU 5.3&#10;&#10;     Know, understand and critically appraise the principles and applications of scientific enquiry, including the evaluation of treatment/intervention efficacy, the research process and evidence-informed practice" r:id="rId152"/>
    <hyperlink xmlns:r="http://schemas.openxmlformats.org/officeDocument/2006/relationships" ref="P137" location="'Reference'!A213" display="▸  CORU 5.4&#10;&#10;     Demonstrate skills in evidence-informed practice, including translation of theory, concepts and methods to clinical/professional practice" r:id="rId153"/>
    <hyperlink xmlns:r="http://schemas.openxmlformats.org/officeDocument/2006/relationships" ref="Q137" location="'Reference'!A250" display="▸  CORU 5.41&#10;&#10;     Be able to critically analyse, appraise and evaluate psychological and other relevant contemporary research to inform evidence-based practice" r:id="rId154"/>
    <hyperlink xmlns:r="http://schemas.openxmlformats.org/officeDocument/2006/relationships" ref="R137" location="'Reference'!A252" display="▸  CORU 5.43&#10;&#10;     Apply research ethics when planning, undertaking and reporting on research with service users and relevant others in the context of professional practice" r:id="rId155"/>
    <hyperlink xmlns:r="http://schemas.openxmlformats.org/officeDocument/2006/relationships" ref="M138" location="'Reference'!A312" display="▸  PSI 2.3.2&#10;&#10;     Direct their interventions towards clear objectives, and do not persist after the objectives have been met or if it is apparent they cannot be met." r:id="rId156"/>
    <hyperlink xmlns:r="http://schemas.openxmlformats.org/officeDocument/2006/relationships" ref="N138" location="'Reference'!A318" display="▸  PSI 2.4.1&#10;&#10;     Maintain and develop their professional competence." r:id="rId157"/>
    <hyperlink xmlns:r="http://schemas.openxmlformats.org/officeDocument/2006/relationships" ref="O138" location="'Reference'!A327" display="▸  PSI 3.1.2&#10;&#10;     Monitor and evaluate the effect of their professional activities, record their findings and, if appropriate, communicate new knowledge to others in the field." r:id="rId158"/>
    <hyperlink xmlns:r="http://schemas.openxmlformats.org/officeDocument/2006/relationships" ref="P138" location="'Reference'!A380" display="▸  PSI 4.2.2&#10;&#10;     Take due care to avoid misrepresentation, exaggeration, distortion or errors in reporting assessment results, research findings or service effectiveness, and act quickly to correct any such error." r:id="rId159"/>
    <hyperlink xmlns:r="http://schemas.openxmlformats.org/officeDocument/2006/relationships" ref="Q138" location="'Reference'!A384" display="▸  PSI 4.2.6&#10;&#10;     Not suppress disconfirming evidence of their findings and views, and acknowledge alternative hypotheses and explanations." r:id="rId160"/>
    <hyperlink xmlns:r="http://schemas.openxmlformats.org/officeDocument/2006/relationships" ref="E664" display="Burgess, A., Luke, C., Jackman, M., et al. (2024). Clinical utility and psychometric properties of tools for early detection of developmental concerns and disability in young children: A scoping review. Developmental Medicine &amp; Child Neurology, 67, 286–." r:id="rId161"/>
    <hyperlink xmlns:r="http://schemas.openxmlformats.org/officeDocument/2006/relationships" ref="E665" display="Velikonja, T., Edbrooke-Childs, J., Calderón, A., Sleed, M., Brown, A., &amp; Deighton, J. (2017). The psychometric properties of the Ages &amp; Stages Questionnaires for ages 2–2.5: a systematic review. Child: Care, Health and Development, 43(1)." r:id="rId162"/>
    <hyperlink xmlns:r="http://schemas.openxmlformats.org/officeDocument/2006/relationships" ref="E666" display="Tuerk, C., Saha, T., Bouchard, M., &amp; Booij, L. (2023). Computerized cognitive test batteries for children and adolescents: A scoping review. Archives of Clinical Neuropsychology." r:id="rId163"/>
    <hyperlink xmlns:r="http://schemas.openxmlformats.org/officeDocument/2006/relationships" ref="E667" display="Bliznashka, L., Hentschel, E., Ali, N. B., et al. (2025). Psychometric properties of early childhood development assessment tools in low- and middle-income countries: a systematic review. BMJ Open." r:id="rId164"/>
    <hyperlink xmlns:r="http://schemas.openxmlformats.org/officeDocument/2006/relationships" ref="E668" display="Myers, S. G., Solem, S., &amp; Wells, A. (2019). The Metacognitions Questionnaire and its derivatives in children and adolescents: A systematic review of psychometric properties. Frontiers in Psychology, 10, 1871." r:id="rId165"/>
    <hyperlink xmlns:r="http://schemas.openxmlformats.org/officeDocument/2006/relationships" ref="N677" display="Snowling, M. J., &amp; Hulme, C. (2011). Evidence-based interventions for reading and language difficulties. BJEP, 81(1).&#10;&#10;→ click to open" r:id="rId166"/>
    <hyperlink xmlns:r="http://schemas.openxmlformats.org/officeDocument/2006/relationships" ref="N684" display="Myers, S. G., Solem, S., &amp; Wells, A. (2019). Systematic review of psychometric properties in children and adolescents. Frontiers in Psychology, 10, 1871.&#10;&#10;→ click to open" r:id="rId167"/>
    <hyperlink xmlns:r="http://schemas.openxmlformats.org/officeDocument/2006/relationships" ref="N691" display="State Examinations Commission — current RACE guidance. Check the year.&#10;&#10;→ click to open" r:id="rId168"/>
    <hyperlink xmlns:r="http://schemas.openxmlformats.org/officeDocument/2006/relationships" ref="O691" display="Rosenblum, S., Weiss, P. L., &amp; Parush, S. (2003). Product and process evaluation of handwriting difficulties. Educational Psychology Review, 15(1).&#10;&#10;→ click to open" r:id="rId169"/>
    <hyperlink xmlns:r="http://schemas.openxmlformats.org/officeDocument/2006/relationships" ref="N698" display="Tassé, M. J., et al. (2012). The construct of adaptive behavior. American Journal on Intellectual and Developmental Disabilities, 117(4).&#10;&#10;→ click to open" r:id="rId170"/>
    <hyperlink xmlns:r="http://schemas.openxmlformats.org/officeDocument/2006/relationships" ref="O698" display="AAIDD — definition and classification of intellectual disability.&#10;&#10;→ click to open" r:id="rId171"/>
    <hyperlink xmlns:r="http://schemas.openxmlformats.org/officeDocument/2006/relationships" ref="M705" display="Wilson, B. N., et al. (2009). Psychometric properties of the revised DCD Questionnaire. Physical &amp; Occupational Therapy in Pediatrics, 29(2).&#10;&#10;→ click to open" r:id="rId172"/>
    <hyperlink xmlns:r="http://schemas.openxmlformats.org/officeDocument/2006/relationships" ref="N705" display="Blank, R., et al. (2019). International clinical practice recommendations on DCD. Developmental Medicine &amp; Child Neurology, 61(3).&#10;&#10;→ click to open" r:id="rId173"/>
    <hyperlink xmlns:r="http://schemas.openxmlformats.org/officeDocument/2006/relationships" ref="N712" display="Blank, R., et al. (2019). International clinical practice recommendations on DCD.&#10;&#10;→ click to open" r:id="rId174"/>
    <hyperlink xmlns:r="http://schemas.openxmlformats.org/officeDocument/2006/relationships" ref="O712" display="Burgess, A., et al. (2024). Clinical utility and psychometric properties of tools for early detection of developmental concerns. DMCN.&#10;&#10;→ click to open" r:id="rId175"/>
    <hyperlink xmlns:r="http://schemas.openxmlformats.org/officeDocument/2006/relationships" ref="F717" display="Parten, M. B. (1932). Social participation among pre-school children. Journal of Abnormal and Social Psychology, 27(3), 243–269." r:id="rId176"/>
    <hyperlink xmlns:r="http://schemas.openxmlformats.org/officeDocument/2006/relationships" ref="F721" display="Hintze, J. M. (2005). Psychometrics of direct observation. School Psychology Review, 34(4), 507–519." r:id="rId177"/>
    <hyperlink xmlns:r="http://schemas.openxmlformats.org/officeDocument/2006/relationships" ref="F722" display="Fantuzzo, J., Sutton-Smith, B., Coolahan, K., et al. (1995). Penn Interactive Peer Play Scale. Early Childhood Research Quarterly, 10(1)." r:id="rId178"/>
    <hyperlink xmlns:r="http://schemas.openxmlformats.org/officeDocument/2006/relationships" ref="F723" display="Burgess, A., et al. (2024). Clinical utility and psychometric properties of tools for early detection of developmental concerns. DMCN." r:id="rId179"/>
    <hyperlink xmlns:r="http://schemas.openxmlformats.org/officeDocument/2006/relationships" ref="F728" display="Kim, J. S. (2008). Examining the effectiveness of solution-focused brief therapy: A meta-analysis. Research on Social Work Practice, 18(2), 107–116." r:id="rId180"/>
    <hyperlink xmlns:r="http://schemas.openxmlformats.org/officeDocument/2006/relationships" ref="F729" display="Gingerich, W. J., &amp; Peterson, L. T. (2013). Effectiveness of solution-focused brief therapy: A systematic qualitative review of controlled outcome studies. Research on Social Work Practice, 23(3), 266–283." r:id="rId181"/>
    <hyperlink xmlns:r="http://schemas.openxmlformats.org/officeDocument/2006/relationships" ref="F730" display="Bond, C., Woods, K., Humphrey, N., Symes, W., &amp; Green, L. (2013). Practitioner review: The effectiveness of solution focused brief therapy with children and families. Journal of Child Psychology and Psychiatry, 54(7), 707–723." r:id="rId182"/>
    <hyperlink xmlns:r="http://schemas.openxmlformats.org/officeDocument/2006/relationships" ref="F734" display="Lord, C., Rutter, M., &amp; Le Couteur, A. (1994). Autism Diagnostic Interview–Revised. Journal of Autism and Developmental Disorders, 24(5), 659–685." r:id="rId183"/>
    <hyperlink xmlns:r="http://schemas.openxmlformats.org/officeDocument/2006/relationships" ref="F735" display="Majnemer, A., &amp; Rosenblatt, B. (1994). Reliability of parental recall of developmental milestones. Pediatric Neurology, 10(4), 304–308." r:id="rId184"/>
    <hyperlink xmlns:r="http://schemas.openxmlformats.org/officeDocument/2006/relationships" ref="F738" display="Bliznashka, L., et al. (2025). Psychometric properties of early childhood development assessment tools in LMICs. BMJ Open." r:id="rId185"/>
    <hyperlink xmlns:r="http://schemas.openxmlformats.org/officeDocument/2006/relationships" ref="F744" display="Kenny, L., Hattersley, C., Molins, B., Buckley, C., Povey, C., &amp; Pellicano, E. (2016). Which terms should be used to describe autism? Perspectives from the UK autism community. Autism, 20(4), 442–462." r:id="rId186"/>
    <hyperlink xmlns:r="http://schemas.openxmlformats.org/officeDocument/2006/relationships" ref="F745" display="Bury, S. M., Jellett, R., Spoor, J. R., &amp; Hedley, D. (2020). 'It defines who I am' or 'it's something I have': What language do autistic Australian adults prefer? Journal of Autism and Developmental Disorders." r:id="rId187"/>
    <hyperlink xmlns:r="http://schemas.openxmlformats.org/officeDocument/2006/relationships" ref="F746" display="Bury, S. M., et al. (2022). Understanding language preference: Autism knowledge, experience of stigma and autism identity. Autism." r:id="rId188"/>
    <hyperlink xmlns:r="http://schemas.openxmlformats.org/officeDocument/2006/relationships" ref="F747" display="Gillespie-Lynch, K., Kapp, S. K., Brooks, P. J., Pickens, J., &amp; Schwartzman, B. (2017). Whose expertise is it? Evidence for autistic adults as critical autism experts. Frontiers in Psychology, 8, 438." r:id="rId189"/>
    <hyperlink xmlns:r="http://schemas.openxmlformats.org/officeDocument/2006/relationships" ref="F748" display="Botha, M., Dibb, B., &amp; Frost, D. M. (2020). 'Autism is me': An investigation of how autistic individuals make sense of autism and stigma. Disability &amp; Society." r:id="rId190"/>
    <hyperlink xmlns:r="http://schemas.openxmlformats.org/officeDocument/2006/relationships" ref="F749" display="Jones, D. R., &amp; Sasson, N. J. (2023). A mixed method comparison of stigma toward autism and schizophrenia. Frontiers in Psychiatry, 14, 1263525." r:id="rId191"/>
    <hyperlink xmlns:r="http://schemas.openxmlformats.org/officeDocument/2006/relationships" ref="F750" display="Milton, D. E. M. (2012). On the ontological status of autism: The 'double empathy problem'. Disability &amp; Society, 27(6), 883–887." r:id="rId192"/>
    <hyperlink xmlns:r="http://schemas.openxmlformats.org/officeDocument/2006/relationships" ref="F751" display="Taylor, L. E., Swerdfeger, A. L., &amp; Eslick, G. D. (2014). Vaccines are not associated with autism: An evidence-based meta-analysis. Vaccine, 32(29)." r:id="rId193"/>
    <hyperlink xmlns:r="http://schemas.openxmlformats.org/officeDocument/2006/relationships" ref="F752" display="Fecteau, S.-M., et al. (2024). 'Not a trouble': Autism-related language preferences by French-Canadian adults. Neurodiversity." r:id="rId194"/>
    <hyperlink xmlns:r="http://schemas.openxmlformats.org/officeDocument/2006/relationships" ref="F755" display="Tassé, M. J., et al. (2012). The construct of adaptive behavior: Its conceptualization, measurement, and use. American Journal on Intellectual and Developmental Disabilities, 117(4), 291–303." r:id="rId195"/>
    <hyperlink xmlns:r="http://schemas.openxmlformats.org/officeDocument/2006/relationships" ref="F757" display="NCSE (Ireland) — policy advice and guidance on students with general learning disabilities." r:id="rId196"/>
    <hyperlink xmlns:r="http://schemas.openxmlformats.org/officeDocument/2006/relationships" ref="F758" display="NCCA — Level 1 and Level 2 Learning Programmes." r:id="rId197"/>
    <hyperlink xmlns:r="http://schemas.openxmlformats.org/officeDocument/2006/relationships" ref="F759" display="Burgess, A., et al. (2024). Clinical utility and psychometric properties of tools for early detection of developmental concerns. DMCN." r:id="rId198"/>
    <hyperlink xmlns:r="http://schemas.openxmlformats.org/officeDocument/2006/relationships" ref="F762" display="Snowling, M. J., &amp; Hulme, C. (2011). Evidence-based interventions for reading and language difficulties. British Journal of Educational Psychology, 81(1), 1–23." r:id="rId199"/>
    <hyperlink xmlns:r="http://schemas.openxmlformats.org/officeDocument/2006/relationships" ref="F763" display="Pennington, B. F. (2006). From single to multiple deficit models of developmental disorders. Cognition, 101(2), 385–413." r:id="rId200"/>
    <hyperlink xmlns:r="http://schemas.openxmlformats.org/officeDocument/2006/relationships" ref="F764" display="Ehri, L. C. (2005). Learning to read words: Theory, findings, and issues. Scientific Studies of Reading, 9(2), 167–188." r:id="rId201"/>
    <hyperlink xmlns:r="http://schemas.openxmlformats.org/officeDocument/2006/relationships" ref="F765" display="Snowling, M. J., &amp; Hulme, C. (2012). Annual research review: The nature and classification of reading disorders. JCPP, 53(5), 593–607." r:id="rId202"/>
    <hyperlink xmlns:r="http://schemas.openxmlformats.org/officeDocument/2006/relationships" ref="F766" display="EEF Teaching and Learning Toolkit — phonics strand." r:id="rId203"/>
    <hyperlink xmlns:r="http://schemas.openxmlformats.org/officeDocument/2006/relationships" ref="F769" display="Polanczyk, G., de Lima, M. S., Horta, B. L., Biederman, J., &amp; Rohde, L. A. (2007). The worldwide prevalence of ADHD: A systematic review and metaregression analysis. American Journal of Psychiatry, 164(6), 942–948." r:id="rId204"/>
    <hyperlink xmlns:r="http://schemas.openxmlformats.org/officeDocument/2006/relationships" ref="F770" display="Barkley, R. A. (1997). Behavioral inhibition, sustained attention, and executive functions. Psychological Bulletin, 121(1), 65–94." r:id="rId205"/>
    <hyperlink xmlns:r="http://schemas.openxmlformats.org/officeDocument/2006/relationships" ref="F771" display="Wolraich, M. L., Wilson, D. B., &amp; White, J. W. (1995). The effect of sugar on behavior or cognition in children: A meta-analysis. JAMA, 274(20), 1617–1621." r:id="rId206"/>
    <hyperlink xmlns:r="http://schemas.openxmlformats.org/officeDocument/2006/relationships" ref="F772" display="Willcutt, E. G. (2012). The prevalence of DSM-IV ADHD: A meta-analytic review. Neurotherapeutics, 9(3), 490–499." r:id="rId207"/>
    <hyperlink xmlns:r="http://schemas.openxmlformats.org/officeDocument/2006/relationships" ref="F773" display="Pennington, B. F. (2006). From single to multiple deficit models of developmental disorders. Cognition, 101(2), 385–413." r:id="rId208"/>
    <hyperlink xmlns:r="http://schemas.openxmlformats.org/officeDocument/2006/relationships" ref="F774" display="NICE (2018, updated). Attention deficit hyperactivity disorder: diagnosis and management. NG87." r:id="rId209"/>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8A5A00"/>
    <outlinePr summaryBelow="1" summaryRight="1"/>
    <pageSetUpPr fitToPage="0"/>
  </sheetPr>
  <dimension ref="A1:V187"/>
  <sheetViews>
    <sheetView showFormulas="0" showGridLines="1" showRowColHeaders="1" showZeros="1" rightToLeft="0" tabSelected="0" showOutlineSymbols="1" defaultGridColor="1"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baseColWidth="8" defaultColWidth="8.6796875" defaultRowHeight="15" zeroHeight="0" outlineLevelRow="0"/>
  <cols>
    <col width="8" customWidth="1" style="127" min="1" max="1"/>
    <col width="18" customWidth="1" style="127" min="2" max="2"/>
    <col width="20" customWidth="1" style="127" min="3" max="3"/>
    <col width="16" customWidth="1" style="127" min="4" max="4"/>
    <col width="34" customWidth="1" style="127" min="5" max="5"/>
    <col width="22" customWidth="1" style="127" min="6" max="6"/>
    <col width="30" customWidth="1" style="127" min="7" max="7"/>
    <col width="60" customWidth="1" style="127" min="8" max="22"/>
  </cols>
  <sheetData>
    <row r="1" ht="15" customHeight="1" s="128">
      <c r="A1" s="129" t="inlineStr">
        <is>
          <t>Level</t>
        </is>
      </c>
      <c r="B1" s="129" t="inlineStr">
        <is>
          <t>UCD competency</t>
        </is>
      </c>
      <c r="C1" s="129" t="inlineStr">
        <is>
          <t>Age band</t>
        </is>
      </c>
      <c r="D1" s="129" t="inlineStr">
        <is>
          <t>Type</t>
        </is>
      </c>
      <c r="E1" s="129" t="inlineStr">
        <is>
          <t>Name</t>
        </is>
      </c>
      <c r="F1" s="129" t="inlineStr">
        <is>
          <t>Code</t>
        </is>
      </c>
      <c r="G1" s="129" t="inlineStr">
        <is>
          <t>Applies at this band?</t>
        </is>
      </c>
      <c r="H1" s="140" t="inlineStr">
        <is>
          <t>1 · WHERE THIS SITS</t>
        </is>
      </c>
      <c r="I1" s="140" t="inlineStr">
        <is>
          <t>2 · WHAT IT IS</t>
        </is>
      </c>
      <c r="J1" s="140" t="inlineStr">
        <is>
          <t>3 · HOW COMMON, AND WHO GETS IT</t>
        </is>
      </c>
      <c r="K1" s="140" t="inlineStr">
        <is>
          <t>4 · THE PATHWAY AND THE TIMELINE</t>
        </is>
      </c>
      <c r="L1" s="140" t="inlineStr">
        <is>
          <t>5 · WHAT YOU SEE</t>
        </is>
      </c>
      <c r="M1" s="140" t="inlineStr">
        <is>
          <t>6 · RED FLAGS AND BOUNDARIES</t>
        </is>
      </c>
      <c r="N1" s="140" t="inlineStr">
        <is>
          <t>7 · WHAT ELSE COULD IT BE</t>
        </is>
      </c>
      <c r="O1" s="140" t="inlineStr">
        <is>
          <t>8 · ASSESS — tools valid at this band</t>
        </is>
      </c>
      <c r="P1" s="140" t="inlineStr">
        <is>
          <t>9 · DO</t>
        </is>
      </c>
      <c r="Q1" s="140" t="inlineStr">
        <is>
          <t>10 · EXPLAIN</t>
        </is>
      </c>
      <c r="R1" s="140" t="inlineStr">
        <is>
          <t>11 · THE CHILD’S VOICE, AND THE QUESTIONS</t>
        </is>
      </c>
      <c r="S1" s="140" t="inlineStr">
        <is>
          <t>12 · YOUR PRACTICE</t>
        </is>
      </c>
      <c r="T1" s="140" t="inlineStr">
        <is>
          <t>13 · WHAT TO DO NEXT</t>
        </is>
      </c>
      <c r="U1" s="140" t="inlineStr">
        <is>
          <t>14 · WHERE THE EVIDENCE GOES</t>
        </is>
      </c>
      <c r="V1" s="140" t="inlineStr">
        <is>
          <t>15 · CITATIONS</t>
        </is>
      </c>
    </row>
    <row r="2" ht="21.75" customHeight="1" s="128">
      <c r="A2" s="142" t="inlineStr">
        <is>
          <t>COMPETENCY</t>
        </is>
      </c>
      <c r="B2" s="142" t="inlineStr">
        <is>
          <t>1. Assessment</t>
        </is>
      </c>
      <c r="C2" s="142" t="n"/>
      <c r="D2" s="142" t="n"/>
      <c r="E2" s="142" t="inlineStr">
        <is>
          <t>4 conditions · 5 age bands</t>
        </is>
      </c>
      <c r="F2" s="142" t="n"/>
      <c r="G2" s="142" t="n"/>
      <c r="H2" s="142" t="n"/>
      <c r="I2" s="142" t="n"/>
      <c r="J2" s="142" t="n"/>
      <c r="K2" s="142" t="n"/>
      <c r="L2" s="142" t="n"/>
      <c r="M2" s="142" t="n"/>
      <c r="N2" s="142" t="n"/>
      <c r="O2" s="142" t="n"/>
      <c r="P2" s="142" t="n"/>
      <c r="Q2" s="142" t="n"/>
      <c r="R2" s="142" t="n"/>
      <c r="S2" s="142" t="n"/>
      <c r="T2" s="142" t="n"/>
      <c r="U2" s="142" t="n"/>
      <c r="V2" s="142" t="n"/>
    </row>
    <row r="3" ht="199.5" customHeight="1" s="128">
      <c r="A3" s="179" t="inlineStr">
        <is>
          <t>STANDARD</t>
        </is>
      </c>
      <c r="B3" s="179" t="inlineStr">
        <is>
          <t>1. Assessment</t>
        </is>
      </c>
      <c r="C3" s="179" t="n"/>
      <c r="D3" s="179" t="inlineStr">
        <is>
          <t>CORU</t>
        </is>
      </c>
      <c r="E3" s="179" t="inlineStr">
        <is>
          <t>7 CORU standards for this competency</t>
        </is>
      </c>
      <c r="F3" s="179" t="inlineStr">
        <is>
          <t>3.1 · 3.2 · 5.28 · 5.29 · 5.30 · 5.31 · 5.32</t>
        </is>
      </c>
      <c r="G3" s="179" t="n"/>
      <c r="H3" s="204" t="inlineStr">
        <is>
          <t>▸  CORU 3.1
     Be able to gather all appropriate background information relevant to the service user's health and social care needs
▸  CORU 3.2
     Be able to justify the selection of and implement appropriate assessment techniques and be able to undertake and record a thorough, sensitive and detailed assessment
▸  CORU 5.28
     Be able to critically evaluate the theory and application of a range of assessment methods used in educational psychology to identify psychological, educational and developmental needs at individual and group levels
▸  CORU 5.29
     Know and apply educational psychology theory and systemic, ecological and problem-solving frameworks related to assessment methods
▸  CORU 5.30
     Plan assessments, selecting appropriate assessment methods, critically evaluating and integrating the service user's need and perspective and social and cultural considerations as part of the planning process
▸  CORU 5.31
     Conduct a range of assessment methods safely and ethically, adapting and re-evaluating their application as appropriate
▸  CORU 5.32
     Interpret, synthesise and critically evaluate assessment data, within relevant conceptual frameworks, to inform case formulation and psychological intervention planning</t>
        </is>
      </c>
      <c r="I3" s="179" t="n"/>
      <c r="J3" s="179" t="n"/>
      <c r="K3" s="179" t="n"/>
      <c r="L3" s="179" t="n"/>
      <c r="M3" s="179" t="n"/>
      <c r="N3" s="179" t="n"/>
      <c r="O3" s="179" t="n"/>
      <c r="P3" s="179" t="n"/>
      <c r="Q3" s="179" t="n"/>
      <c r="R3" s="179" t="n"/>
      <c r="S3" s="179" t="n"/>
      <c r="T3" s="179" t="n"/>
      <c r="U3" s="179" t="n"/>
      <c r="V3" s="179" t="n"/>
    </row>
    <row r="4" ht="199.5" customHeight="1" s="128">
      <c r="A4" s="179" t="inlineStr">
        <is>
          <t>STANDARD</t>
        </is>
      </c>
      <c r="B4" s="179" t="inlineStr">
        <is>
          <t>1. Assessment</t>
        </is>
      </c>
      <c r="C4" s="179" t="n"/>
      <c r="D4" s="179" t="inlineStr">
        <is>
          <t>PSI</t>
        </is>
      </c>
      <c r="E4" s="179" t="inlineStr">
        <is>
          <t>4 PSI standards for this competency</t>
        </is>
      </c>
      <c r="F4" s="179" t="inlineStr">
        <is>
          <t>2.2.2 · 2.3.1 · 1.3.1 · 1.2.8</t>
        </is>
      </c>
      <c r="G4" s="179" t="n"/>
      <c r="H4" s="204" t="inlineStr">
        <is>
          <t>▸  PSI 2.2.2
     Recognise the boundaries of their competence, and do not exceed these.
▸  PSI 2.3.1
     Be mindful, when making decisions based on psychological data and techniques, of the limitations of such data and techniques.
▸  PSI 1.3.1
     View informed consent not just as the signing of a consent form, but as the outcome of a process of agreeing to work collaboratively — recognising that certain investigations and interventions may be compulsory under law.
▸  PSI 1.2.8
     Be acutely aware of the need for discretion in recording and communicating information, so as to prevent it being interpreted or used to the detriment of others: not recording information which could lead to misinterpretation; avoiding conjecture; clearly labelling opinion; and communicating in language the recipient can understand.</t>
        </is>
      </c>
      <c r="I4" s="179" t="n"/>
      <c r="J4" s="179" t="n"/>
      <c r="K4" s="179" t="n"/>
      <c r="L4" s="179" t="n"/>
      <c r="M4" s="179" t="n"/>
      <c r="N4" s="179" t="n"/>
      <c r="O4" s="179" t="n"/>
      <c r="P4" s="179" t="n"/>
      <c r="Q4" s="179" t="n"/>
      <c r="R4" s="179" t="n"/>
      <c r="S4" s="179" t="n"/>
      <c r="T4" s="179" t="n"/>
      <c r="U4" s="179" t="n"/>
      <c r="V4" s="179" t="n"/>
    </row>
    <row r="5" ht="19.5" customHeight="1" s="128">
      <c r="A5" s="147" t="inlineStr">
        <is>
          <t>AGE BAND</t>
        </is>
      </c>
      <c r="B5" s="147" t="inlineStr">
        <is>
          <t>1. Assessment</t>
        </is>
      </c>
      <c r="C5" s="147" t="inlineStr">
        <is>
          <t>Early Years / Pre-School (0–5 years)</t>
        </is>
      </c>
      <c r="D5" s="147" t="n"/>
      <c r="E5" s="147" t="inlineStr">
        <is>
          <t>Everything below is this age</t>
        </is>
      </c>
      <c r="F5" s="147" t="n"/>
      <c r="G5" s="147" t="n"/>
      <c r="H5" s="147" t="n"/>
      <c r="I5" s="147" t="n"/>
      <c r="J5" s="147" t="n"/>
      <c r="K5" s="147" t="n"/>
      <c r="L5" s="147" t="n"/>
      <c r="M5" s="147" t="n"/>
      <c r="N5" s="147" t="n"/>
      <c r="O5" s="147" t="n"/>
      <c r="P5" s="147" t="n"/>
      <c r="Q5" s="147" t="n"/>
      <c r="R5" s="147" t="n"/>
      <c r="S5" s="147" t="n"/>
      <c r="T5" s="147" t="n"/>
      <c r="U5" s="147" t="n"/>
      <c r="V5" s="147" t="n"/>
    </row>
    <row r="6" ht="408.75" customHeight="1" s="128">
      <c r="A6" s="205" t="inlineStr">
        <is>
          <t>CONDITION</t>
        </is>
      </c>
      <c r="B6" s="205" t="inlineStr">
        <is>
          <t>1. Assessment</t>
        </is>
      </c>
      <c r="C6" s="206" t="inlineStr">
        <is>
          <t>Early Years / Pre-School (0–5 years)</t>
        </is>
      </c>
      <c r="D6" s="205" t="inlineStr">
        <is>
          <t>DIAGNOSED</t>
        </is>
      </c>
      <c r="E6" s="206" t="inlineStr">
        <is>
          <t>Autism</t>
        </is>
      </c>
      <c r="F6" s="205" t="inlineStr">
        <is>
          <t>DSM-5-TR Autism Spectrum Disorder · ICD-11 6A02</t>
        </is>
      </c>
      <c r="G6" s="205" t="inlineStr">
        <is>
          <t>YES — peak referral window</t>
        </is>
      </c>
      <c r="H6" s="207" t="inlineStr">
        <is>
          <t>WHERE THIS SITS
▸  NEPS referral form category: 4. SOCIAL — and 1. LEARNING where language or cognition is implicated
▸  UCD competency: 1. Assessment
▸  CORU: 3.1 · 3.2 · 5.28 · 5.29 · 5.30 · 5.31 · 5.32
▸  PSI: 2.2.2 · 2.3.1 · 1.3.1 · 1.2.8
▸  Law and policy: Children First Act 2015 · EPSEN Act 2004 · Equal Status Acts 2000–2018 · GDPR</t>
        </is>
      </c>
      <c r="I6" s="207" t="inlineStr">
        <is>
          <t>WHAT IT IS, AND WHAT IT IS NOT
▸  A NEURODEVELOPMENTAL DIFFERENCE present from early development, defined by two domains: (a) persistent differences in social communication and social interaction, and (b) restricted, repetitive patterns of behaviour, interests or activities — which includes sensory differences (American Psychiatric Association, 2022, DSM-5-TR).
▸  DSM-5-TR specifies three support levels — requiring support, requiring substantial support, requiring very substantial support — rated separately for each of the two domains. A person can be level 1 for one and level 3 for the other.
▸  It is lifelong. It is not an illness, and it is not something a person recovers from or grows out of.
▸  Prevalence is commonly cited around 1 in 100 internationally, with higher rates in more recent screening studies. In Ireland, NCSE and Department of Education figures are the relevant local source.
▸  IMPORTANT FOR PRACTICE: it is DIMENSIONAL, not categorical in nature — autistic traits are distributed continuously in the population and the diagnostic line is a clinical judgement about impairment, not a biological boundary.
▸  NOT a result of parenting. The 'refrigerator mother' theory (Bettelheim, 1967) was wrong and caused enormous harm. Say so plainly if a parent raises it.
▸  NOT caused by vaccines. Wakefield et al. (1998) was retracted by The Lancet in 2010 and Wakefield was struck off. Taylor, Swerdfeger &amp; Eslick (2014) meta-analysed over 1.2 million children and found no association.
▸  NOT the same as intellectual disability. They co-occur but are separate. Many autistic people have average or above-average cognitive ability.
▸  NOT usually accompanied by savant skills. Jones &amp; Sasson (2023) found that non-autistic adults frequently believed savant syndrome to be a CORE feature of autism — it is rare, and this belief is a documented misconception.
▸  NOT a lack of empathy. This is one of the most damaging myths. Autistic people frequently report strong emotional empathy; the difference is in reading and signalling, and the 'double empathy problem' (Milton, 2012) shows the mismatch runs BOTH ways — non-autistic people are equally poor at reading autistic people.
▸  NOT more common in boys to the extent historically believed. Girls are under-identified because diagnostic criteria and instruments were developed on male samples and because masking is more common.
▸  NOT something that needs to be 'normalised'. Gillespie-Lynch et al. (2017) found that greater endorsement of the importance of normalising autistic people was associated with HEIGHTENED stigma.</t>
        </is>
      </c>
      <c r="J6" s="207" t="inlineStr">
        <is>
          <t>HOW COMMON AT THIS AGE
▸  OVERALL: commonly cited around 1 in 100 worldwide (Zeidan et al., 2022, meta-analysis of global prevalence). More recent screening-based studies report higher figures.
▸  IRELAND: the 2022 Census recorded autism for the first time. Department of Education and NCSE figures are the relevant local source for school-age numbers — check the current year rather than quoting from memory.
▸  EARLY YEARS 0–5: identification rates are lower because diagnosis before 3 is less stable, though reliable diagnosis from 24 months is achievable in specialist services.
▸  SEX RATIO: historically cited as 4:1 male to female. Loomes, Hill &amp; Mandy (2017) meta-analysed this and concluded the true ratio is closer to 3:1, with the difference explained by diagnostic bias — girls meeting criteria are disproportionately missed.
▸  AT OTHER AGES (for context): USA (CDC ADDM Network, 2023 report, 8-year-olds) · SCHOOL AGE 6–12 · ADOLESCENT 13–16 AND ADULTS</t>
        </is>
      </c>
      <c r="K6" s="207" t="inlineStr">
        <is>
          <t>THE PATHWAY AND THE TIMELINE
▸ TYPICAL AGE OF IDENTIFICATION, AND WHY THEN
   Commonly 3–6 in Ireland, though reliable diagnosis from 24 months is achievable. Social communication demands rise sharply at preschool and again at school entry, which is when differences become visible against peers. Girls and verbally able children are frequently identified much later — often adolescence or adulthood — because masking delays recognition rather than delaying onset.
▸ WHO DIAGNOSES IT
   Under 18 in Ireland: the Children's Disability Network Team (CDNT) under Progressing Disability Services, or CAMHS where mental health complexity dominates. Assessment of Need under the Disability Act 2005 is a separate statutory route with its own timelines. Over 18: adult diagnostic services, with significant regional variation.
▸ WHO COULD HAVE WRITTEN THE REPORT IN FRONT OF YOU
   CDNT multi-disciplinary report (psychologist, SLT, OT). Private psychologist or psychiatrist. CAMHS. An Assessment of Need report. A school's Student Support File is not a diagnostic document — check which you are holding.
▸ WHO YOU REFER TO
   CDNT for diagnostic assessment. SLT where language is implicated. OT for sensory or motor. CAMHS where mental health difficulty is present. AsIAm and Middletown for family and school resources.
▸ 'SHOULD WE HAVE COME SOONER?'
   Answer honestly and without implying fault. Typical: 'Not necessarily. Autism is usually recognised when social demands increase, and for a lot of children that's around school age. In girls especially it often isn't obvious earlier because they compensate so well. What matters now is what we put in place.' Where there has genuinely been a long wait, name it as a service issue: waiting lists, not something the parent missed.</t>
        </is>
      </c>
      <c r="L6" s="207" t="inlineStr">
        <is>
          <t>WHAT YOU SEE AT THIS AGE
▸  Play observation, ADOS-2 Toddler/Module 1 via CDNT, SCQ, developmental history. Diagnosis from 24 months is achievable in specialist services.
▸  EARLY YEARS 0–5: differences in joint attention, pointing to share, response to name, pretend play, and reaction to sensory input. Referral to CDNT. ADOS-2 Toddler/Module 1 via the team, SCQ, developmental history. Play observation does much of the work.
▸  SCHOOL AGE 6–12: social differences become more visible as peer relationships get more complex. Yard observation, SRS-2 parent and teacher, SCQ. Watch for anxiety appearing as a secondary presentation.
▸  ADOLESCENT 13–16: masking peaks, and mental health difficulties commonly emerge. SRS-2 including self-report. Under-identification in girls is at its most consequential here. A normal-range screen in a worried teacher's class does not close the question.
▸  YOUNG ADULT 17–26: adult diagnostic services, AQ-10 as a screen, DSA evidence for third level. The question shifts to accommodation and self-advocacy.
▸  SPECIAL SETTING: the question is usually fit and communication support, not identification.</t>
        </is>
      </c>
      <c r="M6" s="207" t="inlineStr">
        <is>
          <t>RED FLAGS AND BOUNDARIES
▸  RED FLAG — regression. Loss of previously acquired language or social skills at any age requires urgent medical referral, not a wait-and-see.
▸  RED FLAG — an autistic young person presenting with low mood, self-harm or suicidal thinking. Autistic people are at substantially elevated risk. Follow the risk protocol; do not attribute distress to autism and stop there.
▸  RED FLAG — an autistic child with a sudden behaviour change. Consider pain, illness, sensory change, or something that has happened. Communication difficulty means distress may present behaviourally.
▸  BOUNDARY — you do not diagnose. You describe the profile, say what it is consistent with, and refer. PSI 2.2.2 and 2.2.3.
▸  DIAGNOSTIC OVERSHADOWING — once a child has an autism diagnosis, everything gets attributed to it. Write down before you start what the diagnosis does NOT explain, and assess that.</t>
        </is>
      </c>
      <c r="N6" s="207" t="inlineStr">
        <is>
          <t>WHAT ELSE COULD IT BE, AND WHAT CO-OCCURS
▸  ADHD — co-occurs in roughly 28–44% of autistic people depending on the study. DSM-5 permitted dual diagnosis for the first time in 2013; before that it was prohibited, so older reports may under-record it. PRESENTS AS: attention difficulty that looks like disengagement, but is often sensory overload or processing delay. Assess both.
▸  INTELLECTUAL DISABILITY — around a third of autistic people, though estimates vary widely with sampling. PRESENTS AS: a flatter cognitive profile alongside social communication differences. Assess adaptive functioning separately.
▸  ANXIETY — very high. Meta-analytic estimates around 40% meeting criteria for at least one anxiety disorder (van Steensel et al., 2011). PRESENTS AS: rigidity, refusal, meltdown. Often misread as 'autistic behaviour' rather than treatable anxiety. THIS IS THE MOST COMMONLY MISSED CO-OCCURRENCE.
▸  DLD / LANGUAGE DISORDER — substantial overlap, and the two are hard to separate in young children. PRESENTS AS: apparent social difficulty that is actually comprehension failure.
▸  DCD — elevated. PRESENTS AS: handwriting difficulty and PE avoidance attributed to autism rather than assessed.
▸  EPILEPSY — elevated, particularly where intellectual disability co-occurs. Medical, not yours, but note it and refer.
▸  SLEEP DIFFICULTIES — very common and under-treated. Ask, because a child sleeping five hours will present very differently.
▸  DIAGNOSTIC OVERSHADOWING IS THE RISK THROUGHOUT. Write down before you start what the autism diagnosis does NOT explain, then assess that.</t>
        </is>
      </c>
      <c r="O6" s="207" t="inlineStr">
        <is>
          <t>TOOLS VALID AT THIS BAND
▸  ADOS-2 Toddler / Module 1 — AGE 12 months+
     MEASURES: Standardised observation of social affect and restricted/repetitive behaviour.
     CANNOT TELL YOU: It is not a diagnosis on its own. Requires training and is team-administered.
     TIME: 40–60 min
▸  SCQ (Social Communication Questionnaire) — AGE 4:0+, mental age 2+
     MEASURES: Parent-report screen for autism-related behaviours.
     CANNOT TELL YOU: Diagnosis. A negative screen does not rule out autism in a verbally able child.
     TIME: 10 min parent
▸  Preschool Language Scales-5 (PLS-5) — AGE birth–7:11
     MEASURES: Auditory comprehension and expressive communication.
     CANNOT TELL YOU: Whether a difficulty is a disorder or a difference — establish home language exposure first.
     TIME: 45–60 min
▸  Ages &amp; Stages Questionnaires (ASQ-3) — AGE 1–66 months
     MEASURES: Parent-completed developmental screen across five domains.
     CANNOT TELL YOU: It is a screen, not an assessment. Specificity is strong but evidence varies by language version and context (Velikonja et al., 2017).
     TIME: 10–15 min parent
▸  Schedule of Growing Skills II — AGE 0–5
     MEASURES: Developmental profile across nine skill areas.
     CANNOT TELL YOU: Cause. It tells you where a child is, not why.
     TIME: 20–30 min
▸  Vineland-3 — AGE birth–90
     MEASURES: Communication, daily living skills, socialisation, motor.
     CANNOT TELL YOU: Ability. Adaptive score and cognitive score answer different questions and often diverge.
     TIME: 20–60 min
▸  ABAS-3 — AGE birth–89
     MEASURES: Conceptual, social and practical adaptive domains.
     CANNOT TELL YOU: What the child can do in a structured one-to-one setting — it measures typical performance, not capacity.
     TIME: 15–20 min per rater
▸  SDQ (2–4 version) — AGE 2–4
     MEASURES: Parent and preschool-staff report on emotional, conduct, hyperactivity, peer and prosocial scales.
     CANNOT TELL YOU: Anything clinical. It is a screen and it is brief.
     TIME: 5–10 min
▸  Conners EC — AGE 2:0–6:0
     MEASURES: Early childhood behaviour, including attention and social functioning.
     CANNOT TELL YOU: ADHD. Diagnosis at this age is rare and is not yours to make.
     TIME: 10–20 min per rater
▸  WPPSI-IV UK — AGE 2:6–7:7
     MEASURES: Verbal comprehension, visual spatial, fluid reasoning, working memory, processing speed. Full Scale IQ from 4:0.
     CANNOT TELL YOU: Nothing about why a young child performed as they did. Index scatter is far less stable at this age than at school age — do not build a profile argument on it.
     TIME: 60–75 min
▸  Griffiths III — AGE 0–6
     MEASURES: Foundations of learning, language and communication, eye and hand co-ordination, personal-social-emotional, gross motor.
     CANNOT TELL YOU: Not a cognitive test in the IQ sense and not a diagnosis. Usually administered by the CDNT, not by NEPS.
     TIME: 60–90 min
▸  Bayley-4 — AGE 16 days–42 months
     MEASURES: Cognitive, language, motor, social-emotional, adaptive behaviour.
     CANNOT TELL YOU: Poor long-range prediction of later IQ. A low score at 18 months is a description of now, not a forecast.
     TIME: 30–90 min
▸  Leiter-3 — AGE 3:0–75:11
     MEASURES: Non-verbal cognitive ability with no spoken instruction required.
     CANNOT TELL YOU: Verbal reasoning, which for many children is the area of concern. Use alongside, not instead of.
     TIME: 45 min</t>
        </is>
      </c>
      <c r="P6" s="207" t="inlineStr">
        <is>
          <t>WHAT YOU DO, AND WHAT YOU WRITE
▸  ENVIRONMENT FIRST: predictability (visual timetable, forewarning of change), sensory audit of the room, a designated regulation space the child can access without asking permission.
▸  PROCESSING TIME: instruction, ten-second wait, then repeat in the SAME words. Rephrasing restarts processing. This is free and it is the highest-yield single adjustment.
▸  COMMUNICATION: reduce language load, pair verbal with visual, check comprehension by asking the child to say back rather than asking 'do you understand?'
▸  SOCIAL: structured social opportunity rather than unstructured. A lunchtime club with a shared activity beats 'encourage her to join in'.
▸  MASKING: if the child is compliant at school and dysregulated at home, treat that as a finding. Reduce demand at school rather than increasing it.
▸  ASSESS AND TREAT ANXIETY SEPARATELY. Do not fold it into the autism description.
▸  STAFF: whole-staff input on autism is usually less useful than a one-page profile for this child that everyone reads.
▸  CONTINUUM LEVEL: name it. School Support or School Support Plus depending on intensity and outside involvement.
▸  MEASURE: choose something sensitive — frequency of regulation-space use, participation counts, a brief anxiety measure — with a review date in the report.
▸  REFER: CDNT for diagnostic assessment; SLT where language is implicated; OT where sensory or motor; CAMHS where mental health difficulty is present.</t>
        </is>
      </c>
      <c r="Q6" s="207" t="inlineStr">
        <is>
          <t>EXPLAIN
▸  TO A PARENT
▸  OPEN WITH WHAT THEY ALREADY KNOW: 'What have you been told about autism so far?' Then correct gently rather than lecture.
▸  'Autism is a difference in how the brain develops and processes information. It affects two main things: how a person communicates and connects with others, and how they respond to routine, change and sensory information.'
▸  'It's not caused by anything you did. It's present from early on in development, and we're recognising it now rather than it having started now.'
▸  'It's a spectrum, but not a line from mild to severe. Think of it as a set of different dials — one child might find noise very hard and social situations fine; another the reverse.'
▸  'What it doesn't tell us is how she'll do. Autism doesn't determine intelligence, or whether she'll have friends, or what she'll be able to do as an adult. What predicts those is the support around her and whether people understand her.'
▸  IF THEY ARE UPSET: 'A diagnosis doesn't change who she is. She's exactly the same child she was yesterday. What changes is that people now have a better explanation for what she needs.'
▸  SIGNPOST: AsIAm, Middletown Centre for Autism, the local CDNT. Give a name, not a category.
▸  TO A TEACHER
▸  'Autism is a difference in social communication and in how sensory information and change are processed. It's developmental and lifelong.'
▸  'For this child, the practical implications are —' then be specific to the assessment rather than generic: processing time, predictability, the sensory environment, how instructions are given.
▸  'Behaviour that looks like defiance is very often a response to demand, to sensory load, or to not having understood what was asked. Before treating it as behaviour, check comprehension and check the environment.'
▸  'Masking matters. A child who holds it together all day and falls apart at home is not fine at school — she's spending all her resources on coping.'
▸  'Processing time is the single cheapest adjustment. Ask, wait ten seconds, then ask again in the same words rather than rephrasing. Rephrasing restarts the processing.'
▸  'Routine isn't rigidity for its own sake — it's how uncertainty is managed. Warn about change rather than removing routine.'
▸  TO THE CHILD
▸  PITCH TO AGE. For a younger child: 'Everybody's brain works in its own way. Your brain is really good at noticing things other people miss, and it likes to know what's happening next. Some brains find noisy places hard work. That's called being autistic.'
▸  For an older child or adolescent: 'Autistic means your brain processes information differently — often in more detail. It can mean social stuff takes more effort, and that noise, light or change can be harder than it is for other people. It's not an illness and there's nothing wrong with you.'
▸  ALWAYS INCLUDE STRENGTHS and make them specific to this child, not generic. 'You noticed that detail that nobody else did' beats 'autistic people are good at detail.'
▸  ASK WHAT THEY THINK IT MEANS before you explain. Children often arrive with a frightening idea from a sibling or the internet.
▸  AVOID deficit framing. Botha, Dibb &amp; Frost (2020) found autistic adults describe autism as value-neutral and experience society as attaching negative meaning to it. How you explain it to a child at 9 shapes how they carry it at 19.
▸  BE HONEST about the hard parts. Children know when something is being sold to them, and an explanation that is all positives loses credibility.
▸  ANALOGIES
▸  THE VOLUME DIAL (sensory): 'Most people have a volume dial for sound, light and touch that sits at about 5. Yours might sit at 9 for sound and 2 for touch. The classroom is the same room — you're getting a different amount of it.' Grounded in the sensory criterion now formally part of DSM-5-TR.
▸  THE DIFFERENT OPERATING SYSTEM: 'It's not a broken computer. It's a different operating system. Most of the software is written for the other one, so some things take extra work — but the machine itself is fine.' Useful with adolescents and with parents; avoids deficit framing.
▸  THE TWO-WAY TRANSLATION (double empathy): 'When two people speak different languages, we don't say one of them has a language problem. Milton (2012) makes the same point about autistic and non-autistic people misreading each other — the misunderstanding goes both ways.' Use with teachers; it shifts the burden off the child.
▸  THE PHONE BATTERY (masking): 'Holding it together in school all day is like running every app at once. You get home on 4% battery. The meltdown at home isn't because home is worse — it's because the battery ran out.' Very effective with parents who are told the child is 'fine at school'.
▸  CAUTION ON ANALOGIES: check with the person. Some autistic people find machine analogies dehumanising. Ask.
▸  LANGUAGE
▸  THERE IS NO SINGLE CORRECT TERM, and this matters. Kenny et al. (2016), surveying 3,470 UK autism community members, found 'autism' and 'on the autism spectrum' most endorsed overall, with 'autistic' strongly endorsed by autistic adults and much less so by professionals.
▸  Bury et al. (2020), with 198 autistic Australian adults, found 'autistic', 'person on the autism spectrum' and 'autistic person' rated most preferred and least offensive.
▸  Bury et al. (2022) found preference relates to identity and stigma: a stronger autism identity predicted preferring identity-first language, while internalised stigma predicted finding it more offensive.
▸  Fecteau et al. (2024), in a French-Canadian sample, found a clear split — professionals preferred medical-model terms, autistic people preferred identity-first.
▸  PRACTICE RULE: ask the person or family what they use, and use that. Where you cannot ask, identity-first ('autistic person') is the majority preference among autistic adults. Mirror the family's own language in the report.
▸  Avoid: 'suffers from', 'high/low functioning' (poor predictor of actual support needs), 'a bit on the spectrum'.</t>
        </is>
      </c>
      <c r="R6" s="207" t="inlineStr">
        <is>
          <t>THE CHILD’S VOICE, AND THE QUESTIONS
▸  TALKING MATS — symbol-based framework letting a child sort topics onto a visual scale. Good because it removes the demand for spoken answers and for eye contact simultaneously, which is often what makes interviews fail. Evidence base for people with communication difficulties. → https://www.talkingmats.com/
▸  BLOB TREE (Wilson &amp; Long) — figures on a tree; the child points to which one is them. Good because it is projective rather than direct, so it does not require the child to make a claim about themselves. You used this at Grange.
▸  'ALL ABOUT ME' / ONE-PAGE PROFILE — structured template covering what people like and admire about me, what's important to me, how best to support me. Good because it is strengths-first and becomes a usable document for staff. → https://www.helensandersonassociates.co.uk/person-centred-practice/one-page-profiles/
▸  PATH and MAPS (person-centred planning) — graphic facilitation for transition planning. Good for post-primary and school-leaving because it puts the young person's own future at the centre rather than the service's.
▸  AsIAm resources (Ireland) — autistic-led, Irish context, includes materials written for children about their own diagnosis. Good because autistic-led materials avoid the deficit framing that professional materials often carry. → https://asiam.ie/
▸  MIDDLETOWN CENTRE FOR AUTISM — Irish, free research bulletins and practical resources for schools. Good because it is Irish policy context and free. → https://www.middletownautism.com/
▸  COMIC STRIP CONVERSATIONS (Gray) — drawing out what people said and thought in an incident. Good because it externalises the social situation onto paper instead of asking the child to hold it in mind and talk about it at once.
▸  QUESTIONS YOU WILL BE ASKED
▸  Q: 'Is it my fault?' — A: 'No. Autism is a difference in how the brain develops, present from very early on. Nothing you did caused it and nothing you could have done would have prevented it.' (Bettelheim's 'refrigerator mother' theory is long discredited; say so if they raise it directly.)
▸  Q: 'Will he grow out of it?' — A: 'No, it's lifelong. What changes a great deal is how well he copes and how well the people around him understand him. Those are the things we can work on.'
▸  Q: 'Does this mean he has an intellectual disability?' — A: 'Not necessarily — they're separate things. They can occur together, and plenty of autistic people have average or above-average ability. From what I've seen, [specific to this child].'
▸  Q: 'Could it be the vaccines?' — A: 'No. That claim came from a 1998 paper that was retracted and its author struck off. A meta-analysis of over 1.2 million children found no link. I know it's still out there, and I understand why people ask.'
▸  Q: 'He makes eye contact and he has a friend, so it can't be autism?' — A: 'Those are two of the most common misunderstandings. Many autistic people make eye contact, sometimes because they've learned to, and many have friendships. The diagnosis is about the pattern across social communication and about repetitive behaviour and sensory differences, not about any single behaviour.'
▸  Q: 'She's fine at school though.' — A: 'That's really common and it's called masking. Holding it together all day takes everything she has, which is why it comes out at home. Being fine at school and struggling at home is a pattern, not a contradiction.'
▸  Q: 'Does she know?' / 'Should we tell her?' — A: 'That's your decision and I can help you think it through. What we do know is that children usually already sense they're different, and having a name for it tends to be a relief rather than a blow — particularly if it comes with an explanation of strengths as well.'
▸  Q: 'What can you actually do for us?' — A: 'I can't diagnose — that's the CDNT. What I can do is describe her profile, say what it's consistent with, make the referral, and put supports in place in school now rather than waiting.'</t>
        </is>
      </c>
      <c r="S6" s="207" t="inlineStr">
        <is>
          <t>YOUR PRACTICE
▸  SUPERVISION
▸  Bring the exact words you used to explain autism to the parent. Not the summary — the words. Ask your supervisor what they would have said differently.
▸  Ask: 'when a family's language and the research consensus differ, which do you follow?' There is a defensible answer either way and you need to hear it argued.
▸  Raise any moment you were asked something you could not answer. That is the highest-value supervision item in this whole area.
▸  Ask how your service handles the gap between an identified profile and the CDNT waiting list — what do you tell a family who will wait two years?
▸  Discuss diagnostic overshadowing on your actual cases: for each autistic child on your caseload, what has NOT been assessed because autism was already there?
▸  Ask to observe your supervisor giving an autism-related feedback session, and complete the Appendix 7 the same day.
▸  If you felt out of your depth, say so in those words. PSI 2.2.4 requires consulting when you are not competent to deal with what is in front of you.
▸  REFLECTION
▸  ON HOW YOU EXPLAINED IT — Did I use LANGUAGE-FIRST or SHARED LANGUAGE? Language-first means I arrived with my terminology and the family adapted to it. Shared language means I asked what they use and built from there. Kenny et al. (2016) found no community consensus on terms, so arriving with a fixed vocabulary is a decision, not a neutral act. Which did I do, and why?
▸  ON THE TEACHER CONVERSATION — Did I explain autism, or did I explain THIS CHILD? A general explanation is easier to give and far less useful. Did the teacher leave with something to do on Monday?
▸  ON REGISTER — Did I actually change register between the parent, the teacher and the child, or did I give the same explanation three times at different speeds? Changing register means changing what is included, not simplifying vocabulary.
▸  ON MY OWN ASSUMPTIONS — What did I assume about this family's understanding before I opened my mouth? Where did that come from? CORU 5.44 requires reflecting on how my own culture and beliefs shape practice.
▸  ON THE DEFICIT PULL — Count the sentences. How many described what the child cannot do versus what they can? Botha et al. (2020) found autistic people experience society as attaching negative meaning to a neutral difference. My report is part of that society.
▸  ON WHAT I AVOIDED — Was there a question I hoped would not be asked? What would I need to know to have welcomed it?
▸  WHAT GOOD LOOKS LIKE: 'The mother used 'has autism' throughout, so I mirrored that rather than switching to 'autistic', and noted in the file that the young person's own preference should be asked at the next review. I had been defaulting to identity-first because that is what I read, without asking.'
▸  WHAT POOR LOOKS LIKE: 'I explained autism to the parent and she seemed to understand.' — no evidence of checking, no reflection on register, nothing learned.</t>
        </is>
      </c>
      <c r="T6" s="207" t="inlineStr">
        <is>
          <t>WHAT TO DO NEXT
▸  Proceed to FORMULATION using a named framework — Monsen, Interactive Factors, COMOIRA or Carr.
▸  If a learning need may be driving the presentation, proceed to attainment assessment before concluding.
▸  If risk or safeguarding emerged, none of the above — follow the protocol and tell your supervisor the same day.
▸  If the referral question is not answered by what you found, go back and renegotiate it.</t>
        </is>
      </c>
      <c r="U6" s="207" t="inlineStr">
        <is>
          <t>WHERE THE EVIDENCE GOES
▸  Psychological report
▸  Appendix 5 entry tagged 1. Assessment
▸  Appendix 7 if observed
▸  Table 3 — Early Years / Pre-School
▸  Log sheet — tag the referral area and the competency</t>
        </is>
      </c>
      <c r="V6" s="207" t="inlineStr">
        <is>
          <t>CITATIONS
▸  American Psychiatric Association (2022). Diagnostic and Statistical Manual of Mental Disorders (5th ed., text rev.). DSM-5-TR.
▸  Kenny, L., Hattersley, C., Molins, B., Buckley, C., Povey, C., &amp; Pellicano, E. (2016). Which terms should be used to describe autism? Perspectives from the UK autism community. Autism, 20(4), 442–462.
▸  Bury, S. M., Jellett, R., Spoor, J. R., &amp; Hedley, D. (2020). 'It defines who I am' or 'it's something I have': What language do autistic Australian adults prefer? Journal of Autism and Developmental Disorders.
▸  Bury, S. M., et al. (2022). Understanding language preference: Autism knowledge, experience of stigma and autism identity. Autism.
▸  Gillespie-Lynch, K., Kapp, S. K., Brooks, P. J., Pickens, J., &amp; Schwartzman, B. (2017). Whose expertise is it? Evidence for autistic adults as critical autism experts. Frontiers in Psychology, 8, 438.
▸  Botha, M., Dibb, B., &amp; Frost, D. M. (2020). 'Autism is me': An investigation of how autistic individuals make sense of autism and stigma. Disability &amp; Society.
▸  Jones, D. R., &amp; Sasson, N. J. (2023). A mixed method comparison of stigma toward autism and schizophrenia. Frontiers in Psychiatry, 14, 1263525.
▸  Milton, D. E. M. (2012). On the ontological status of autism: The 'double empathy problem'. Disability &amp; Society, 27(6), 883–887.
▸  Taylor, L. E., Swerdfeger, A. L., &amp; Eslick, G. D. (2014). Vaccines are not associated with autism: An evidence-based meta-analysis. Vaccine, 32(29).
▸  Fecteau, S.-M., et al. (2024). 'Not a trouble': Autism-related language preferences by French-Canadian adults. Neurodiversity.</t>
        </is>
      </c>
    </row>
    <row r="7" ht="169.5" customHeight="1" s="128">
      <c r="A7" s="208" t="inlineStr">
        <is>
          <t>CO-OCCURRING</t>
        </is>
      </c>
      <c r="B7" s="208" t="inlineStr">
        <is>
          <t>1. Assessment</t>
        </is>
      </c>
      <c r="C7" s="171" t="inlineStr">
        <is>
          <t>Early Years / Pre-School (0–5 years)</t>
        </is>
      </c>
      <c r="D7" s="208" t="inlineStr">
        <is>
          <t>CO-OCCURS WITH AUTISM</t>
        </is>
      </c>
      <c r="E7" s="209" t="inlineStr">
        <is>
          <t>ADHD</t>
        </is>
      </c>
      <c r="F7" s="208" t="inlineStr">
        <is>
          <t>see its own entry</t>
        </is>
      </c>
      <c r="G7" s="208" t="inlineStr">
        <is>
          <t>YES — assess separately</t>
        </is>
      </c>
      <c r="H7" s="171" t="inlineStr">
        <is>
          <t>WHERE THIS SITS
▸  Sits under 1. Assessment, alongside Autism.
▸  NEPS category: 4. SOCIAL — and 1. LEARNING where language or cognition is implicated</t>
        </is>
      </c>
      <c r="I7" s="171" t="inlineStr">
        <is>
          <t>HOW OFTEN IT CO-OCCURS
▸  co-occurs in roughly 28–44% of autistic people depending on the study. DSM-5 permitted dual diagnosis for the first time in 2013; before that it was prohibited, so older reports may under-record it.</t>
        </is>
      </c>
      <c r="J7" s="171" t="inlineStr">
        <is>
          <t>HOW IT PRESENTS WHEN IT CO-OCCURS
▸  attention difficulty that looks like disengagement, but is often sensory overload or processing delay. Assess both.</t>
        </is>
      </c>
      <c r="K7" s="171" t="inlineStr">
        <is>
          <t>THE RISK
▸  Do not assume the primary diagnosis explains this.
▸  Write down before you start what the primary diagnosis does NOT explain, then assess that.
▸  Diagnostic overshadowing is the single most common error in co-occurring presentations.</t>
        </is>
      </c>
      <c r="L7" s="171" t="inlineStr">
        <is>
          <t>—</t>
        </is>
      </c>
      <c r="M7" s="171" t="inlineStr">
        <is>
          <t>—</t>
        </is>
      </c>
      <c r="N7" s="171" t="inlineStr">
        <is>
          <t>—</t>
        </is>
      </c>
      <c r="O7" s="171" t="inlineStr">
        <is>
          <t>ASSESS
▸  Assess this separately, with its own measures.
▸  Build the case for each condition independently rather than letting evidence for one carry the other.</t>
        </is>
      </c>
      <c r="P7" s="171" t="inlineStr">
        <is>
          <t>DO
▸  State in the report what would be needed to establish this second presentation.
▸  That is often a referral rather than a conclusion you can reach yourself.</t>
        </is>
      </c>
      <c r="Q7" s="171" t="inlineStr">
        <is>
          <t>—</t>
        </is>
      </c>
      <c r="R7" s="171" t="inlineStr">
        <is>
          <t>—</t>
        </is>
      </c>
      <c r="S7" s="171" t="inlineStr">
        <is>
          <t>YOUR PRACTICE
▸  Bring it to supervision: for each child on my caseload with this diagnosis, what has NOT been assessed because the diagnosis was already there?</t>
        </is>
      </c>
      <c r="T7" s="171" t="inlineStr">
        <is>
          <t>WHAT TO DO NEXT
▸  Assess separately, then refer if the threshold is met.</t>
        </is>
      </c>
      <c r="U7" s="171" t="inlineStr">
        <is>
          <t>WHERE THE EVIDENCE GOES
▸  Psychological report — state the co-occurrence and what it changes.</t>
        </is>
      </c>
      <c r="V7" s="171" t="inlineStr">
        <is>
          <t>—</t>
        </is>
      </c>
    </row>
    <row r="8" ht="169.5" customHeight="1" s="128">
      <c r="A8" s="208" t="inlineStr">
        <is>
          <t>CO-OCCURRING</t>
        </is>
      </c>
      <c r="B8" s="208" t="inlineStr">
        <is>
          <t>1. Assessment</t>
        </is>
      </c>
      <c r="C8" s="171" t="inlineStr">
        <is>
          <t>Early Years / Pre-School (0–5 years)</t>
        </is>
      </c>
      <c r="D8" s="208" t="inlineStr">
        <is>
          <t>CO-OCCURS WITH AUTISM</t>
        </is>
      </c>
      <c r="E8" s="209" t="inlineStr">
        <is>
          <t>INTELLECTUAL DISABILITY</t>
        </is>
      </c>
      <c r="F8" s="208" t="inlineStr">
        <is>
          <t>see its own entry</t>
        </is>
      </c>
      <c r="G8" s="208" t="inlineStr">
        <is>
          <t>YES — assess separately</t>
        </is>
      </c>
      <c r="H8" s="171" t="inlineStr">
        <is>
          <t>WHERE THIS SITS
▸  Sits under 1. Assessment, alongside Autism.
▸  NEPS category: 4. SOCIAL — and 1. LEARNING where language or cognition is implicated</t>
        </is>
      </c>
      <c r="I8" s="171" t="inlineStr">
        <is>
          <t>HOW OFTEN IT CO-OCCURS
▸  around a third of autistic people, though estimates vary widely with sampling.</t>
        </is>
      </c>
      <c r="J8" s="171" t="inlineStr">
        <is>
          <t>HOW IT PRESENTS WHEN IT CO-OCCURS
▸  a flatter cognitive profile alongside social communication differences. Assess adaptive functioning separately.</t>
        </is>
      </c>
      <c r="K8" s="171" t="inlineStr">
        <is>
          <t>THE RISK
▸  Do not assume the primary diagnosis explains this.
▸  Write down before you start what the primary diagnosis does NOT explain, then assess that.
▸  Diagnostic overshadowing is the single most common error in co-occurring presentations.</t>
        </is>
      </c>
      <c r="L8" s="171" t="inlineStr">
        <is>
          <t>—</t>
        </is>
      </c>
      <c r="M8" s="171" t="inlineStr">
        <is>
          <t>—</t>
        </is>
      </c>
      <c r="N8" s="171" t="inlineStr">
        <is>
          <t>—</t>
        </is>
      </c>
      <c r="O8" s="171" t="inlineStr">
        <is>
          <t>ASSESS
▸  Assess this separately, with its own measures.
▸  Build the case for each condition independently rather than letting evidence for one carry the other.</t>
        </is>
      </c>
      <c r="P8" s="171" t="inlineStr">
        <is>
          <t>DO
▸  State in the report what would be needed to establish this second presentation.
▸  That is often a referral rather than a conclusion you can reach yourself.</t>
        </is>
      </c>
      <c r="Q8" s="171" t="inlineStr">
        <is>
          <t>—</t>
        </is>
      </c>
      <c r="R8" s="171" t="inlineStr">
        <is>
          <t>—</t>
        </is>
      </c>
      <c r="S8" s="171" t="inlineStr">
        <is>
          <t>YOUR PRACTICE
▸  Bring it to supervision: for each child on my caseload with this diagnosis, what has NOT been assessed because the diagnosis was already there?</t>
        </is>
      </c>
      <c r="T8" s="171" t="inlineStr">
        <is>
          <t>WHAT TO DO NEXT
▸  Assess separately, then refer if the threshold is met.</t>
        </is>
      </c>
      <c r="U8" s="171" t="inlineStr">
        <is>
          <t>WHERE THE EVIDENCE GOES
▸  Psychological report — state the co-occurrence and what it changes.</t>
        </is>
      </c>
      <c r="V8" s="171" t="inlineStr">
        <is>
          <t>—</t>
        </is>
      </c>
    </row>
    <row r="9" ht="169.5" customHeight="1" s="128">
      <c r="A9" s="208" t="inlineStr">
        <is>
          <t>CO-OCCURRING</t>
        </is>
      </c>
      <c r="B9" s="208" t="inlineStr">
        <is>
          <t>1. Assessment</t>
        </is>
      </c>
      <c r="C9" s="171" t="inlineStr">
        <is>
          <t>Early Years / Pre-School (0–5 years)</t>
        </is>
      </c>
      <c r="D9" s="208" t="inlineStr">
        <is>
          <t>CO-OCCURS WITH AUTISM</t>
        </is>
      </c>
      <c r="E9" s="209" t="inlineStr">
        <is>
          <t>ANXIETY</t>
        </is>
      </c>
      <c r="F9" s="208" t="inlineStr">
        <is>
          <t>see its own entry</t>
        </is>
      </c>
      <c r="G9" s="208" t="inlineStr">
        <is>
          <t>YES — assess separately</t>
        </is>
      </c>
      <c r="H9" s="171" t="inlineStr">
        <is>
          <t>WHERE THIS SITS
▸  Sits under 1. Assessment, alongside Autism.
▸  NEPS category: 4. SOCIAL — and 1. LEARNING where language or cognition is implicated</t>
        </is>
      </c>
      <c r="I9" s="171" t="inlineStr">
        <is>
          <t>HOW OFTEN IT CO-OCCURS
▸  very high. Meta-analytic estimates around 40% meeting criteria for at least one anxiety disorder (van Steensel et al., 2011).</t>
        </is>
      </c>
      <c r="J9" s="171" t="inlineStr">
        <is>
          <t>HOW IT PRESENTS WHEN IT CO-OCCURS
▸  rigidity, refusal, meltdown. Often misread as 'autistic behaviour' rather than treatable anxiety. THIS IS THE MOST COMMONLY MISSED CO-OCCURRENCE.</t>
        </is>
      </c>
      <c r="K9" s="171" t="inlineStr">
        <is>
          <t>THE RISK
▸  Do not assume the primary diagnosis explains this.
▸  Write down before you start what the primary diagnosis does NOT explain, then assess that.
▸  Diagnostic overshadowing is the single most common error in co-occurring presentations.</t>
        </is>
      </c>
      <c r="L9" s="171" t="inlineStr">
        <is>
          <t>—</t>
        </is>
      </c>
      <c r="M9" s="171" t="inlineStr">
        <is>
          <t>—</t>
        </is>
      </c>
      <c r="N9" s="171" t="inlineStr">
        <is>
          <t>—</t>
        </is>
      </c>
      <c r="O9" s="171" t="inlineStr">
        <is>
          <t>ASSESS
▸  Assess this separately, with its own measures.
▸  Build the case for each condition independently rather than letting evidence for one carry the other.</t>
        </is>
      </c>
      <c r="P9" s="171" t="inlineStr">
        <is>
          <t>DO
▸  State in the report what would be needed to establish this second presentation.
▸  That is often a referral rather than a conclusion you can reach yourself.</t>
        </is>
      </c>
      <c r="Q9" s="171" t="inlineStr">
        <is>
          <t>—</t>
        </is>
      </c>
      <c r="R9" s="171" t="inlineStr">
        <is>
          <t>—</t>
        </is>
      </c>
      <c r="S9" s="171" t="inlineStr">
        <is>
          <t>YOUR PRACTICE
▸  Bring it to supervision: for each child on my caseload with this diagnosis, what has NOT been assessed because the diagnosis was already there?</t>
        </is>
      </c>
      <c r="T9" s="171" t="inlineStr">
        <is>
          <t>WHAT TO DO NEXT
▸  Assess separately, then refer if the threshold is met.</t>
        </is>
      </c>
      <c r="U9" s="171" t="inlineStr">
        <is>
          <t>WHERE THE EVIDENCE GOES
▸  Psychological report — state the co-occurrence and what it changes.</t>
        </is>
      </c>
      <c r="V9" s="171" t="inlineStr">
        <is>
          <t>—</t>
        </is>
      </c>
    </row>
    <row r="10" ht="169.5" customHeight="1" s="128">
      <c r="A10" s="208" t="inlineStr">
        <is>
          <t>CO-OCCURRING</t>
        </is>
      </c>
      <c r="B10" s="208" t="inlineStr">
        <is>
          <t>1. Assessment</t>
        </is>
      </c>
      <c r="C10" s="171" t="inlineStr">
        <is>
          <t>Early Years / Pre-School (0–5 years)</t>
        </is>
      </c>
      <c r="D10" s="208" t="inlineStr">
        <is>
          <t>CO-OCCURS WITH AUTISM</t>
        </is>
      </c>
      <c r="E10" s="209" t="inlineStr">
        <is>
          <t>DLD / LANGUAGE DISORDER</t>
        </is>
      </c>
      <c r="F10" s="208" t="inlineStr">
        <is>
          <t>see its own entry</t>
        </is>
      </c>
      <c r="G10" s="208" t="inlineStr">
        <is>
          <t>YES — assess separately</t>
        </is>
      </c>
      <c r="H10" s="171" t="inlineStr">
        <is>
          <t>WHERE THIS SITS
▸  Sits under 1. Assessment, alongside Autism.
▸  NEPS category: 4. SOCIAL — and 1. LEARNING where language or cognition is implicated</t>
        </is>
      </c>
      <c r="I10" s="171" t="inlineStr">
        <is>
          <t>HOW OFTEN IT CO-OCCURS
▸  substantial overlap, and the two are hard to separate in young children.</t>
        </is>
      </c>
      <c r="J10" s="171" t="inlineStr">
        <is>
          <t>HOW IT PRESENTS WHEN IT CO-OCCURS
▸  apparent social difficulty that is actually comprehension failure.</t>
        </is>
      </c>
      <c r="K10" s="171" t="inlineStr">
        <is>
          <t>THE RISK
▸  Do not assume the primary diagnosis explains this.
▸  Write down before you start what the primary diagnosis does NOT explain, then assess that.
▸  Diagnostic overshadowing is the single most common error in co-occurring presentations.</t>
        </is>
      </c>
      <c r="L10" s="171" t="inlineStr">
        <is>
          <t>—</t>
        </is>
      </c>
      <c r="M10" s="171" t="inlineStr">
        <is>
          <t>—</t>
        </is>
      </c>
      <c r="N10" s="171" t="inlineStr">
        <is>
          <t>—</t>
        </is>
      </c>
      <c r="O10" s="171" t="inlineStr">
        <is>
          <t>ASSESS
▸  Assess this separately, with its own measures.
▸  Build the case for each condition independently rather than letting evidence for one carry the other.</t>
        </is>
      </c>
      <c r="P10" s="171" t="inlineStr">
        <is>
          <t>DO
▸  State in the report what would be needed to establish this second presentation.
▸  That is often a referral rather than a conclusion you can reach yourself.</t>
        </is>
      </c>
      <c r="Q10" s="171" t="inlineStr">
        <is>
          <t>—</t>
        </is>
      </c>
      <c r="R10" s="171" t="inlineStr">
        <is>
          <t>—</t>
        </is>
      </c>
      <c r="S10" s="171" t="inlineStr">
        <is>
          <t>YOUR PRACTICE
▸  Bring it to supervision: for each child on my caseload with this diagnosis, what has NOT been assessed because the diagnosis was already there?</t>
        </is>
      </c>
      <c r="T10" s="171" t="inlineStr">
        <is>
          <t>WHAT TO DO NEXT
▸  Assess separately, then refer if the threshold is met.</t>
        </is>
      </c>
      <c r="U10" s="171" t="inlineStr">
        <is>
          <t>WHERE THE EVIDENCE GOES
▸  Psychological report — state the co-occurrence and what it changes.</t>
        </is>
      </c>
      <c r="V10" s="171" t="inlineStr">
        <is>
          <t>—</t>
        </is>
      </c>
    </row>
    <row r="11" ht="169.5" customHeight="1" s="128">
      <c r="A11" s="208" t="inlineStr">
        <is>
          <t>CO-OCCURRING</t>
        </is>
      </c>
      <c r="B11" s="208" t="inlineStr">
        <is>
          <t>1. Assessment</t>
        </is>
      </c>
      <c r="C11" s="171" t="inlineStr">
        <is>
          <t>Early Years / Pre-School (0–5 years)</t>
        </is>
      </c>
      <c r="D11" s="208" t="inlineStr">
        <is>
          <t>CO-OCCURS WITH AUTISM</t>
        </is>
      </c>
      <c r="E11" s="209" t="inlineStr">
        <is>
          <t>DCD</t>
        </is>
      </c>
      <c r="F11" s="208" t="inlineStr">
        <is>
          <t>see its own entry</t>
        </is>
      </c>
      <c r="G11" s="208" t="inlineStr">
        <is>
          <t>YES — assess separately</t>
        </is>
      </c>
      <c r="H11" s="171" t="inlineStr">
        <is>
          <t>WHERE THIS SITS
▸  Sits under 1. Assessment, alongside Autism.
▸  NEPS category: 4. SOCIAL — and 1. LEARNING where language or cognition is implicated</t>
        </is>
      </c>
      <c r="I11" s="171" t="inlineStr">
        <is>
          <t>HOW OFTEN IT CO-OCCURS
▸  elevated.</t>
        </is>
      </c>
      <c r="J11" s="171" t="inlineStr">
        <is>
          <t>HOW IT PRESENTS WHEN IT CO-OCCURS
▸  handwriting difficulty and PE avoidance attributed to autism rather than assessed.</t>
        </is>
      </c>
      <c r="K11" s="171" t="inlineStr">
        <is>
          <t>THE RISK
▸  Do not assume the primary diagnosis explains this.
▸  Write down before you start what the primary diagnosis does NOT explain, then assess that.
▸  Diagnostic overshadowing is the single most common error in co-occurring presentations.</t>
        </is>
      </c>
      <c r="L11" s="171" t="inlineStr">
        <is>
          <t>—</t>
        </is>
      </c>
      <c r="M11" s="171" t="inlineStr">
        <is>
          <t>—</t>
        </is>
      </c>
      <c r="N11" s="171" t="inlineStr">
        <is>
          <t>—</t>
        </is>
      </c>
      <c r="O11" s="171" t="inlineStr">
        <is>
          <t>ASSESS
▸  Assess this separately, with its own measures.
▸  Build the case for each condition independently rather than letting evidence for one carry the other.</t>
        </is>
      </c>
      <c r="P11" s="171" t="inlineStr">
        <is>
          <t>DO
▸  State in the report what would be needed to establish this second presentation.
▸  That is often a referral rather than a conclusion you can reach yourself.</t>
        </is>
      </c>
      <c r="Q11" s="171" t="inlineStr">
        <is>
          <t>—</t>
        </is>
      </c>
      <c r="R11" s="171" t="inlineStr">
        <is>
          <t>—</t>
        </is>
      </c>
      <c r="S11" s="171" t="inlineStr">
        <is>
          <t>YOUR PRACTICE
▸  Bring it to supervision: for each child on my caseload with this diagnosis, what has NOT been assessed because the diagnosis was already there?</t>
        </is>
      </c>
      <c r="T11" s="171" t="inlineStr">
        <is>
          <t>WHAT TO DO NEXT
▸  Assess separately, then refer if the threshold is met.</t>
        </is>
      </c>
      <c r="U11" s="171" t="inlineStr">
        <is>
          <t>WHERE THE EVIDENCE GOES
▸  Psychological report — state the co-occurrence and what it changes.</t>
        </is>
      </c>
      <c r="V11" s="171" t="inlineStr">
        <is>
          <t>—</t>
        </is>
      </c>
    </row>
    <row r="12" ht="169.5" customHeight="1" s="128">
      <c r="A12" s="208" t="inlineStr">
        <is>
          <t>CO-OCCURRING</t>
        </is>
      </c>
      <c r="B12" s="208" t="inlineStr">
        <is>
          <t>1. Assessment</t>
        </is>
      </c>
      <c r="C12" s="171" t="inlineStr">
        <is>
          <t>Early Years / Pre-School (0–5 years)</t>
        </is>
      </c>
      <c r="D12" s="208" t="inlineStr">
        <is>
          <t>CO-OCCURS WITH AUTISM</t>
        </is>
      </c>
      <c r="E12" s="209" t="inlineStr">
        <is>
          <t>EPILEPSY</t>
        </is>
      </c>
      <c r="F12" s="208" t="inlineStr">
        <is>
          <t>see its own entry</t>
        </is>
      </c>
      <c r="G12" s="208" t="inlineStr">
        <is>
          <t>YES — assess separately</t>
        </is>
      </c>
      <c r="H12" s="171" t="inlineStr">
        <is>
          <t>WHERE THIS SITS
▸  Sits under 1. Assessment, alongside Autism.
▸  NEPS category: 4. SOCIAL — and 1. LEARNING where language or cognition is implicated</t>
        </is>
      </c>
      <c r="I12" s="171" t="inlineStr">
        <is>
          <t>HOW OFTEN IT CO-OCCURS
▸  Rate not stated in source — check before quoting.</t>
        </is>
      </c>
      <c r="J12" s="171" t="inlineStr">
        <is>
          <t>HOW IT PRESENTS WHEN IT CO-OCCURS
▸  elevated, particularly where intellectual disability co-occurs. Medical, not yours, but note it and refer.</t>
        </is>
      </c>
      <c r="K12" s="171" t="inlineStr">
        <is>
          <t>THE RISK
▸  Do not assume the primary diagnosis explains this.
▸  Write down before you start what the primary diagnosis does NOT explain, then assess that.
▸  Diagnostic overshadowing is the single most common error in co-occurring presentations.</t>
        </is>
      </c>
      <c r="L12" s="171" t="inlineStr">
        <is>
          <t>—</t>
        </is>
      </c>
      <c r="M12" s="171" t="inlineStr">
        <is>
          <t>—</t>
        </is>
      </c>
      <c r="N12" s="171" t="inlineStr">
        <is>
          <t>—</t>
        </is>
      </c>
      <c r="O12" s="171" t="inlineStr">
        <is>
          <t>ASSESS
▸  Assess this separately, with its own measures.
▸  Build the case for each condition independently rather than letting evidence for one carry the other.</t>
        </is>
      </c>
      <c r="P12" s="171" t="inlineStr">
        <is>
          <t>DO
▸  State in the report what would be needed to establish this second presentation.
▸  That is often a referral rather than a conclusion you can reach yourself.</t>
        </is>
      </c>
      <c r="Q12" s="171" t="inlineStr">
        <is>
          <t>—</t>
        </is>
      </c>
      <c r="R12" s="171" t="inlineStr">
        <is>
          <t>—</t>
        </is>
      </c>
      <c r="S12" s="171" t="inlineStr">
        <is>
          <t>YOUR PRACTICE
▸  Bring it to supervision: for each child on my caseload with this diagnosis, what has NOT been assessed because the diagnosis was already there?</t>
        </is>
      </c>
      <c r="T12" s="171" t="inlineStr">
        <is>
          <t>WHAT TO DO NEXT
▸  Assess separately, then refer if the threshold is met.</t>
        </is>
      </c>
      <c r="U12" s="171" t="inlineStr">
        <is>
          <t>WHERE THE EVIDENCE GOES
▸  Psychological report — state the co-occurrence and what it changes.</t>
        </is>
      </c>
      <c r="V12" s="171" t="inlineStr">
        <is>
          <t>—</t>
        </is>
      </c>
    </row>
    <row r="13" ht="169.5" customHeight="1" s="128">
      <c r="A13" s="208" t="inlineStr">
        <is>
          <t>CO-OCCURRING</t>
        </is>
      </c>
      <c r="B13" s="208" t="inlineStr">
        <is>
          <t>1. Assessment</t>
        </is>
      </c>
      <c r="C13" s="171" t="inlineStr">
        <is>
          <t>Early Years / Pre-School (0–5 years)</t>
        </is>
      </c>
      <c r="D13" s="208" t="inlineStr">
        <is>
          <t>CO-OCCURS WITH AUTISM</t>
        </is>
      </c>
      <c r="E13" s="209" t="inlineStr">
        <is>
          <t>SLEEP DIFFICULTIES</t>
        </is>
      </c>
      <c r="F13" s="208" t="inlineStr">
        <is>
          <t>see its own entry</t>
        </is>
      </c>
      <c r="G13" s="208" t="inlineStr">
        <is>
          <t>YES — assess separately</t>
        </is>
      </c>
      <c r="H13" s="171" t="inlineStr">
        <is>
          <t>WHERE THIS SITS
▸  Sits under 1. Assessment, alongside Autism.
▸  NEPS category: 4. SOCIAL — and 1. LEARNING where language or cognition is implicated</t>
        </is>
      </c>
      <c r="I13" s="171" t="inlineStr">
        <is>
          <t>HOW OFTEN IT CO-OCCURS
▸  Rate not stated in source — check before quoting.</t>
        </is>
      </c>
      <c r="J13" s="171" t="inlineStr">
        <is>
          <t>HOW IT PRESENTS WHEN IT CO-OCCURS
▸  very common and under-treated. Ask, because a child sleeping five hours will present very differently.</t>
        </is>
      </c>
      <c r="K13" s="171" t="inlineStr">
        <is>
          <t>THE RISK
▸  Do not assume the primary diagnosis explains this.
▸  Write down before you start what the primary diagnosis does NOT explain, then assess that.
▸  Diagnostic overshadowing is the single most common error in co-occurring presentations.</t>
        </is>
      </c>
      <c r="L13" s="171" t="inlineStr">
        <is>
          <t>—</t>
        </is>
      </c>
      <c r="M13" s="171" t="inlineStr">
        <is>
          <t>—</t>
        </is>
      </c>
      <c r="N13" s="171" t="inlineStr">
        <is>
          <t>—</t>
        </is>
      </c>
      <c r="O13" s="171" t="inlineStr">
        <is>
          <t>ASSESS
▸  Assess this separately, with its own measures.
▸  Build the case for each condition independently rather than letting evidence for one carry the other.</t>
        </is>
      </c>
      <c r="P13" s="171" t="inlineStr">
        <is>
          <t>DO
▸  State in the report what would be needed to establish this second presentation.
▸  That is often a referral rather than a conclusion you can reach yourself.</t>
        </is>
      </c>
      <c r="Q13" s="171" t="inlineStr">
        <is>
          <t>—</t>
        </is>
      </c>
      <c r="R13" s="171" t="inlineStr">
        <is>
          <t>—</t>
        </is>
      </c>
      <c r="S13" s="171" t="inlineStr">
        <is>
          <t>YOUR PRACTICE
▸  Bring it to supervision: for each child on my caseload with this diagnosis, what has NOT been assessed because the diagnosis was already there?</t>
        </is>
      </c>
      <c r="T13" s="171" t="inlineStr">
        <is>
          <t>WHAT TO DO NEXT
▸  Assess separately, then refer if the threshold is met.</t>
        </is>
      </c>
      <c r="U13" s="171" t="inlineStr">
        <is>
          <t>WHERE THE EVIDENCE GOES
▸  Psychological report — state the co-occurrence and what it changes.</t>
        </is>
      </c>
      <c r="V13" s="171" t="inlineStr">
        <is>
          <t>—</t>
        </is>
      </c>
    </row>
    <row r="14" ht="408.75" customHeight="1" s="128">
      <c r="A14" s="210" t="inlineStr">
        <is>
          <t>PRESENTATION</t>
        </is>
      </c>
      <c r="B14" s="210" t="inlineStr">
        <is>
          <t>1. Assessment</t>
        </is>
      </c>
      <c r="C14" s="170" t="inlineStr">
        <is>
          <t>Early Years / Pre-School (0–5 years)</t>
        </is>
      </c>
      <c r="D14" s="210" t="inlineStr">
        <is>
          <t>SYMPTOM-ONLY</t>
        </is>
      </c>
      <c r="E14" s="211" t="inlineStr">
        <is>
          <t>Presentations related to Autism — no diagnosis</t>
        </is>
      </c>
      <c r="F14" s="210" t="inlineStr">
        <is>
          <t>No DSM code</t>
        </is>
      </c>
      <c r="G14" s="210" t="inlineStr">
        <is>
          <t>YES — these present at every band</t>
        </is>
      </c>
      <c r="H14" s="170" t="inlineStr">
        <is>
          <t>WHERE THIS SITS
▸  NEPS category: as above
▸  UCD competency: 1. Assessment
▸  CORU: 3.1 · 3.2 · 5.28 · 5.29 · 5.30 · 5.31 · 5.32
▸  PSI: 2.2.2 · 2.3.1 · 1.3.1 · 1.2.8</t>
        </is>
      </c>
      <c r="I14" s="170" t="inlineStr">
        <is>
          <t>THE PRESENTATIONS — no diagnosis needed, and most referrals look like this
▸  Social communication differences without diagnosis
▸  Masking and the cost of it
▸  Loneliness without observable difficulty
▸  Pathological Demand Avoidance (PDA) profile
▸  Sensory modulation differences
▸  Rigidity and routine that is not OCD</t>
        </is>
      </c>
      <c r="J14" s="170" t="inlineStr">
        <is>
          <t>HOW COMMON
▸  No prevalence figures exist for these — they are descriptions, not categories.
▸  They are more common than the diagnosis they sit beside.</t>
        </is>
      </c>
      <c r="K14" s="170" t="inlineStr">
        <is>
          <t>THE PATHWAY
▸  No diagnostic pathway. Nobody diagnoses these.
▸  You describe them, formulate around them, and recommend. That is the whole pathway.
▸  If a parent asks who diagnoses it: nobody. Say that plainly, and say it does not make the difficulty less real or less workable.</t>
        </is>
      </c>
      <c r="L14" s="170" t="inlineStr">
        <is>
          <t>WHAT YOU SEE
▸  These are what the referral form actually describes in Section 5.
▸  Look for the pattern across settings rather than a threshold.</t>
        </is>
      </c>
      <c r="M14" s="170" t="inlineStr">
        <is>
          <t>RED FLAGS
▸  Escalating distress, withdrawal or risk indicators — follow the protocol regardless of whether a diagnosis exists.
▸  Do not let the absence of a diagnosis delay a safeguarding response.</t>
        </is>
      </c>
      <c r="N14" s="170" t="inlineStr">
        <is>
          <t>WHAT ELSE COULD IT BE
▸  Each of these can be the visible edge of the diagnosed condition above.
▸  Each can also occur entirely on its own.
▸  Test the sequence: which came first?</t>
        </is>
      </c>
      <c r="O14" s="170" t="inlineStr">
        <is>
          <t>ASSESS
▸  Observation with a comparison peer.
▸  Teacher and parent interview.
▸  Pupil interview — their account is the evidence here.
▸  Rating scales describe perception, not the presentation itself.</t>
        </is>
      </c>
      <c r="P14" s="170" t="inlineStr">
        <is>
          <t>DO
▸  Name the presentation precisely rather than reaching for a label.
▸  Recommend at the level of the behaviour, not the hypothetical diagnosis.
▸  Specify what, who, how often, for how long, and how it will be measured.
▸  Name the Continuum of Support level.</t>
        </is>
      </c>
      <c r="Q14" s="170" t="inlineStr">
        <is>
          <t>EXPLAIN
▸  To a parent: “There isn’t a diagnosis for this, and it’s still real and still workable. Here’s what we do.”
▸  To a teacher: describe the behaviour in countable terms, not in trait terms.
▸  To the child: ask what helps, and use their words in the report.</t>
        </is>
      </c>
      <c r="R14" s="170" t="inlineStr">
        <is>
          <t>CHILD’S VOICE AND QUESTIONS
▸  Talking Mats · Blob Tree · scaling on a drawn ladder · sentence completion · day mapping.
▸  Q: “So there’s nothing wrong with him?” A: “There’s a real difficulty and it doesn’t have a label. Labels help get resources; they don’t make a difficulty more or less real.”
▸  Q: “Should we get him assessed privately?” A: give the honest position on what a diagnosis would and would not change here.</t>
        </is>
      </c>
      <c r="S14" s="170" t="inlineStr">
        <is>
          <t>YOUR PRACTICE
▸  Bring a case where you were pulled toward a label the data did not support.
▸  Reflect: did I describe, or did I reach? Whose language did I use?</t>
        </is>
      </c>
      <c r="T14" s="170" t="inlineStr">
        <is>
          <t>WHAT TO DO NEXT
▸  Proceed to formulation. These belong at the behavioural level of the Interactive Factors Framework.
▸  Test whether an unmet learning need is underneath before concluding anything.</t>
        </is>
      </c>
      <c r="U14" s="170" t="inlineStr">
        <is>
          <t>WHERE THE EVIDENCE GOES
▸  Psychological report
▸  Appendix 5 entry
▸  Log sheet</t>
        </is>
      </c>
      <c r="V14" s="170" t="inlineStr">
        <is>
          <t>CITATIONS
▸  Frederickson &amp; Cline (2009)
▸  Monsen &amp; Frederickson (2008)
▸  NEPS Continuum of Support</t>
        </is>
      </c>
    </row>
    <row r="15" ht="408.75" customHeight="1" s="128">
      <c r="A15" s="205" t="inlineStr">
        <is>
          <t>CONDITION</t>
        </is>
      </c>
      <c r="B15" s="205" t="inlineStr">
        <is>
          <t>1. Assessment</t>
        </is>
      </c>
      <c r="C15" s="206" t="inlineStr">
        <is>
          <t>Early Years / Pre-School (0–5 years)</t>
        </is>
      </c>
      <c r="D15" s="205" t="inlineStr">
        <is>
          <t>DIAGNOSED</t>
        </is>
      </c>
      <c r="E15" s="206" t="inlineStr">
        <is>
          <t>ADHD</t>
        </is>
      </c>
      <c r="F15" s="205" t="inlineStr">
        <is>
          <t>DSM-5-TR Attention-Deficit/Hyperactivity Disorder · ICD-11 6A05</t>
        </is>
      </c>
      <c r="G15" s="205" t="inlineStr">
        <is>
          <t>RARELY — not usually diagnosed</t>
        </is>
      </c>
      <c r="H15" s="207" t="inlineStr">
        <is>
          <t>WHERE THIS SITS
▸  NEPS referral form category: 1. LEARNING (1.1 Attention, concentration and work skills) — and 2. BEHAVIOUR
▸  UCD competency: 1. Assessment
▸  CORU: 3.1 · 3.2 · 5.28 · 5.29 · 5.30 · 5.31 · 5.32
▸  PSI: 2.2.2 · 2.3.1 · 1.3.1 · 1.2.8
▸  Law and policy: Children First Act 2015 · EPSEN Act 2004 · Equal Status Acts 2000–2018 · GDPR</t>
        </is>
      </c>
      <c r="I15" s="207" t="inlineStr">
        <is>
          <t>WHAT IT IS, AND WHAT IT IS NOT
▸  A neurodevelopmental condition defined by a persistent pattern of INATTENTION and/or HYPERACTIVITY-IMPULSIVITY that interferes with functioning or development (APA, 2022, DSM-5-TR).
▸  Three presentations: predominantly inattentive, predominantly hyperactive/impulsive, and combined. Presentation can change with age — hyperactivity typically reduces while inattention persists.
▸  Criteria require: several symptoms present before age 12; symptoms in TWO OR MORE settings; clear interference with functioning; and not better explained by another condition.
▸  The best-supported account is of EXECUTIVE FUNCTION and DELAY AVERSION difficulties, not of a deficit of attention per se — attention is often intense on high-interest tasks. Barkley (1997) frames it as a disorder of behavioural inhibition and self-regulation.
▸  It is DIMENSIONAL. Traits are continuously distributed; the diagnostic line is a judgement about impairment.
▸  Heritability is among the highest of any psychiatric condition, commonly estimated around 70–80%.
▸  NOT caused by sugar. Wolraich, Wilson &amp; White (1995) meta-analysed this and found no effect on behaviour or cognition. The belief persists strongly.
▸  NOT caused by screens, poor parenting or bad teaching. These can worsen presentation; they do not cause it.
▸  NOT an absence of attention. Hyperfocus on high-interest activity is characteristic and is routinely used as evidence AGAINST the diagnosis by teachers and family. It is not.
▸  NOT only hyperactive boys. The predominantly inattentive presentation is under-identified, particularly in girls, who are more often quiet, disorganised and internalising.
▸  NOT outgrown. Hyperactivity reduces; inattention and executive difficulty commonly persist into adulthood.
▸  NOT resolved by medication alone. Medication is effective for core symptoms in many people and does not teach skills, organise an environment, or repair self-concept.</t>
        </is>
      </c>
      <c r="J15" s="207" t="inlineStr">
        <is>
          <t>HOW COMMON AT THIS AGE
▸  OVERALL: worldwide pooled prevalence in children and adolescents around 5–7% (Polanczyk et al., 2007, 2014 meta-analyses). Adult prevalence around 2.5%.
▸  IRELAND: ADHD Ireland cites around 5% of children. Department of Education and HSE identification figures will be lower than prevalence.
▸  EARLY YEARS 0–5: diagnosis uncommon and less stable. Prevalence figures at this age should be treated cautiously.
▸  SEX RATIO: clinic samples historically 3:1 to 9:1 male. Community samples closer to 2:1 or lower, indicating substantial under-identification in girls — the same diagnostic bias pattern as autism.
▸  AT OTHER AGES (for context): SCHOOL AGE 6–12 · ADOLESCENT 13–16 · ADULT</t>
        </is>
      </c>
      <c r="K15" s="207" t="inlineStr">
        <is>
          <t>THE PATHWAY AND THE TIMELINE
▸ TYPICAL AGE OF IDENTIFICATION, AND WHY THEN
   Usually 6–12. Criteria require symptoms before age 12 and in two or more settings. Identification clusters when sustained independent seatwork begins, because that is the demand the difficulty is most visible against. The inattentive presentation is identified considerably later, and girls later again.
▸ WHO DIAGNOSES IT
   Ireland: CAMHS, or Primary Care Psychology / community paediatrics depending on complexity and region. Medication is prescribed by a psychiatrist or paediatrician, never by a psychologist. Private assessment is common because of waiting times.
▸ WHO COULD HAVE WRITTEN THE REPORT IN FRONT OF YOU
   CAMHS psychiatrist or psychologist. Community paediatrician. Private psychologist or psychiatrist. A school-completed Conners or SDQ is a screening instrument, not a diagnosis.
▸ WHO YOU REFER TO
   CAMHS or Primary Care depending on complexity. GP first in many areas. OT where motor or sensory. SLT where instruction-following is the issue.
▸ 'SHOULD WE HAVE COME SOONER?'
   'Most children are identified around this age, because it's when the demands make it visible. If she's the quiet, disorganised kind rather than the disruptive kind, that's the presentation most often missed — and that's about how the system notices, not about you.'</t>
        </is>
      </c>
      <c r="L15" s="207" t="inlineStr">
        <is>
          <t>WHAT YOU SEE AT THIS AGE
▸  Hard to distinguish from typical development. Conners EC, structured observation, developmental history. Frame as developmental, not diagnostic.
▸  EARLY YEARS 0–5: rarely diagnosed and hard to distinguish from typical development. Conners EC, structured observation, developmental history. Frame as developmental rather than diagnostic.
▸  SCHOOL AGE 6–12: the main identification window, usually when sustained seatwork demands begin. Conners-4 parent and teacher, BRIEF-2, TEA-Ch2, classroom observation with a comparison peer. Parent-teacher disagreement is common and is data.
▸  ADOLESCENT 13–16: hyperactivity declines; organisation, homework and time-management difficulties dominate. Self-report becomes essential — Conners-4 self-report, BRIEF-2 self-report. Risk-taking and substance use need asking about.
▸  YOUNG ADULT 17–26: adult services, DSA for third level, workplace adjustment. Many first identified here.
▸  SPECIAL SETTING: distinguish ADHD from work pitched above the pupil's level. Rule the second out first.</t>
        </is>
      </c>
      <c r="M15" s="207" t="inlineStr">
        <is>
          <t>RED FLAGS AND BOUNDARIES
▸  RED FLAG — an adolescent with ADHD and emerging substance use, self-harm or risk-taking. Elevated risk across all three. Follow the risk protocol.
▸  RED FLAG — a child on medication whose presentation has changed sharply. Could be dose, could be something else. Medical; refer, do not adjust anything.
▸  RED FLAG — sudden onset of attention difficulty in a previously settled child. ADHD is developmental and present before 12. Sudden onset suggests something else — sleep, illness, trauma, a life event.
▸  BOUNDARY — you do not diagnose ADHD and you do not advise on medication. PSI 2.2.2, 2.2.3.
▸  WATCH — inattention is the final common pathway of many things: hearing loss, anxiety, sleep deprivation, an unidentified learning difficulty, trauma. Rule those out before concluding.</t>
        </is>
      </c>
      <c r="N15" s="207" t="inlineStr">
        <is>
          <t>WHAT ELSE COULD IT BE, AND WHAT CO-OCCURS
▸  SPECIFIC LEARNING DIFFICULTY — 30–50% overlap. PRESENTS AS: inattention during literacy work specifically. ALWAYS assess attainment; escape from an unreadable task looks identical to inattention.
▸  AUTISM — 28–44%. PRESENTS AS: social difficulty plus attention difficulty. Dual diagnosis has been permitted since DSM-5 (2013); older records may not reflect it.
▸  ODD / CONDUCT DIFFICULTY — elevated, particularly where ADHD has gone unidentified and the child has accumulated years of correction. PRESENTS AS: defiance that is often a learned response to chronic failure.
▸  ANXIETY AND LOW MOOD — elevated, usually secondary. PRESENTS AS: avoidance and somatic complaints. Treat the ADHD and much reduces, but not all.
▸  DCD — elevated. PRESENTS AS: messy, slow written work attributed to carelessness.
▸  DLD — elevated. PRESENTS AS: not following instructions, which is comprehension rather than attention.
▸  SLEEP DIFFICULTY — very common and bidirectional. Always ask; a child sleeping six hours will screen positive on everything.</t>
        </is>
      </c>
      <c r="O15" s="207" t="inlineStr">
        <is>
          <t>TOOLS VALID AT THIS BAND
▸  SDQ (2–4 version) — AGE 2–4
     MEASURES: Parent and preschool-staff report on emotional, conduct, hyperactivity, peer and prosocial scales.
     CANNOT TELL YOU: Anything clinical. It is a screen and it is brief.
     TIME: 5–10 min
▸  Conners EC — AGE 2:0–6:0
     MEASURES: Early childhood behaviour, including attention and social functioning.
     CANNOT TELL YOU: ADHD. Diagnosis at this age is rare and is not yours to make.
     TIME: 10–20 min per rater
▸  WPPSI-IV UK — AGE 2:6–7:7
     MEASURES: Verbal comprehension, visual spatial, fluid reasoning, working memory, processing speed. Full Scale IQ from 4:0.
     CANNOT TELL YOU: Nothing about why a young child performed as they did. Index scatter is far less stable at this age than at school age — do not build a profile argument on it.
     TIME: 60–75 min
▸  Griffiths III — AGE 0–6
     MEASURES: Foundations of learning, language and communication, eye and hand co-ordination, personal-social-emotional, gross motor.
     CANNOT TELL YOU: Not a cognitive test in the IQ sense and not a diagnosis. Usually administered by the CDNT, not by NEPS.
     TIME: 60–90 min
▸  Bayley-4 — AGE 16 days–42 months
     MEASURES: Cognitive, language, motor, social-emotional, adaptive behaviour.
     CANNOT TELL YOU: Poor long-range prediction of later IQ. A low score at 18 months is a description of now, not a forecast.
     TIME: 30–90 min
▸  Leiter-3 — AGE 3:0–75:11
     MEASURES: Non-verbal cognitive ability with no spoken instruction required.
     CANNOT TELL YOU: Verbal reasoning, which for many children is the area of concern. Use alongside, not instead of.
     TIME: 45 min</t>
        </is>
      </c>
      <c r="P15" s="207" t="inlineStr">
        <is>
          <t>WHAT YOU DO, AND WHAT YOU WRITE
▸  EXTERNALISE THE EXECUTIVE FUNCTION. Visual task lists, checklists, timers, a written homework record. Do not expect internal organisation and then penalise its absence.
▸  ONE INSTRUCTION AT A TIME, or written down. Working memory is usually the bottleneck.
▸  CHUNK WORK with a visible finish line. 'Do five, then show me' beats 'do the page'.
▸  LEGITIMATE MOVEMENT built in — a job, an errand, a standing option. Movement suppressed re-emerges as disruption.
▸  PRIVATE CUES, not public correction. Agree a signal with the child in advance.
▸  SEATING and proximity to the teacher, away from high-traffic areas. Cheap and effective.
▸  ASSESS ATTAINMENT. Never treat inattention as the whole story until an unidentified learning difficulty is ruled out.
▸  SELF-MONITORING for older children — a simple tally the child keeps themselves. Evidence supports self-monitoring and it transfers ownership.
▸  HOMEWORK: negotiate volume rather than expecting the same as peers. A child taking three hours over thirty minutes' work is not learning.
▸  CONTINUUM LEVEL: School Support, or School Support Plus where outside services are involved.
▸  REFER: CAMHS or Primary Care for diagnostic assessment depending on complexity; OT where motor or sensory; SLT where instructions are the issue.
▸  DO NOT recommend diet change, omega supplements or screen elimination as treatments for core ADHD. The evidence does not support them and PSI 4.2.2 applies.</t>
        </is>
      </c>
      <c r="Q15" s="207" t="inlineStr">
        <is>
          <t>EXPLAIN
▸  TO A PARENT
▸  'ADHD is a difference in the brain's self-management system — starting things, stopping things, holding information in mind, and resisting distraction. It's not about not caring or not trying.'
▸  'The name is a bit misleading. It isn't a shortage of attention — it's difficulty DIRECTING attention to order. That's why he can spend three hours on something he loves and three minutes on homework.'
▸  'It's highly heritable. Very often a parent recognises a lot of it in themselves, and that's worth knowing rather than avoiding.'
▸  'It's not caused by sugar, screens or parenting. Those can make a hard day harder. They didn't cause this.'
▸  'What helps is structure that's external rather than expected of him — visual reminders, broken-down tasks, movement built in — plus, for some children, medication, which is a medical decision and not mine.'
▸  SIGNPOST: ADHD Ireland, and the CAMHS or Primary Care route for assessment.
▸  TO A TEACHER
▸  'The difficulty is executive function — starting, sustaining, switching and inhibiting. Think of it as a self-management difficulty rather than a listening problem.'
▸  'Hyperfocus is part of the picture, not evidence against it. Being able to concentrate on something interesting is normal for ADHD.'
▸  'Put the structure outside the child. Visual task lists, one instruction at a time, chunked work with a clear finish line, and a legitimate way to move.'
▸  'Proximity and private cues work better than public correction. Public correction costs the relationship and rarely changes the behaviour.'
▸  'Working memory is usually the bottleneck. Three-step instructions arrive as one step. Write them down or give them one at a time.'
▸  'Notice the inattentive presentation. The quiet, disorganised child who never causes trouble is the one most likely to be missed.'
▸  TO THE CHILD
▸  YOUNGER: 'Your brain is really good at noticing everything all at once. That's great for spotting things and it makes it hard when you only need to notice one thing. It also makes it tricky to get started and to stop.'
▸  OLDER: 'ADHD means the part of your brain that manages what you do next works differently. Starting things is harder, stopping is harder, and holding instructions in your head is harder. It's not about effort and it's not about being clever.'
▸  NAME THE HYPERFOCUS AS A STRENGTH, specifically: 'you spent an hour on that and got it exactly right — that's your brain doing what it does well.'
▸  ASK: 'What's the hardest part of the school day?' and 'when is it easiest?' The comparison is where the intervention comes from.
▸  BE CAREFUL WITH 'you just need to try harder' language, including your own. Children with ADHD have usually heard it for years and it is the fastest route to disengagement.
▸  ANALOGIES
▸  THE ORCHESTRA WITHOUT A CONDUCTOR: 'All the instruments are there and they're good ones. What's missing is the conductor deciding who plays when.' Barkley's inhibition account in plain terms; works well with parents and older children.
▸  THE BROWSER WITH FORTY TABS: 'Everything's open at once and something's playing music and you can't find which tab.' Good with adolescents — it is recognisable rather than pathologising.
▸  THE RAIN AND THE UMBRELLA (medication): 'Medication doesn't teach him to organise. It holds the umbrella so he can learn while it's raining.' Good for parents deciding about medication.
▸  THE INTEREST-POWERED ENGINE: 'Most engines run on petrol. This one runs on interest and urgency. When there's neither, it won't start — no matter how hard you push it.' Explains hyperfocus and homework in one image.
▸  LANGUAGE
▸  'ADHD' is the accepted term and is used by advocacy organisations including ADHD Ireland.
▸  Community preference is mixed on person-first versus identity-first; 'person with ADHD' and 'ADHDer' are both in use. Ask.
▸  Avoid: 'suffers from ADHD', 'hyper', 'ADD' (no longer a diagnostic term — it was folded into ADHD in DSM-IV).
▸  Avoid describing children as 'naughty', 'defiant' or 'lazy' in reports. These are interpretations, and PSI 1.2.8 requires labelling opinion clearly.</t>
        </is>
      </c>
      <c r="R15" s="207" t="inlineStr">
        <is>
          <t>THE CHILD’S VOICE, AND THE QUESTIONS
▸  'MY THOUGHTS ABOUT SCHOOL' (NEPS) — Irish, free, in schools already. Good because staff recognise it and it surfaces the school-day map. → https://www.gov.ie/en/publication/52ee2-neps-resources-and-publications/
▸  DAY MAPPING — the child marks a timeline of a typical day green/amber/red. Good because it locates the difficulty in time and setting rather than in the child, and generates precise targets.
▸  SCALING ON A LADDER — good because it gives a follow-up question ('what puts you at a 4?') that produces exceptions.
▸  ADHD IRELAND young people's materials — Irish context, written for young people. Good because self-understanding predicts self-advocacy in adolescence. → https://adhdireland.ie/
▸  STRENGTHS CARD SORT — the child sorts strengths cards into 'like me' / 'not like me'. Good because children with ADHD have usually accumulated years of negative feedback and direct questions about strengths produce nothing.
▸  QUESTIONS YOU WILL BE ASKED
▸  Q: 'But he can play video games for hours — so how can he have attention problems?' — A: 'That's hyperfocus and it's part of the picture rather than evidence against it. The difficulty is directing attention to order, not having none. High-interest activity supplies the direction for him.'
▸  Q: 'Is it the sugar?' — A: 'No. That's been tested properly — a meta-analysis found no effect of sugar on behaviour or cognition. It's one of the most persistent beliefs about ADHD and it isn't supported.'
▸  Q: 'Is it my parenting?' — A: 'No. It's highly heritable and present from early development. Parenting affects how hard the days are; it didn't cause this.'
▸  Q: 'Will he need medication?' — A: 'That's a medical decision and not mine to make. What I can say is that medication helps core symptoms for many children and doesn't teach organisation or repair confidence — so it's usually one part rather than the answer.'
▸  Q: 'Will he grow out of it?' — A: 'The hyperactivity usually reduces. The organisation and attention side often continues into adulthood. Most people find strategies that work.'
▸  Q: 'The teacher says he's fine when he wants to be.' — A: 'I'd want to look at when those times are, because that usually tells us exactly what he needs. If he's fine in short, structured, interesting tasks, that's the design brief rather than proof he could do it all along.'
▸  Q: 'She's quiet and does her work, so it can't be ADHD?' — A: 'The inattentive presentation looks like that — quiet, disorganised, drifting rather than disruptive. It's the one most often missed, especially in girls.'
▸  Q: 'Isn't ADHD over-diagnosed?' — A: 'It's both, in different places. Under-identified in girls and in the inattentive presentation, and there are concerns about identification in other groups. What matters here is whether this child meets criteria and is impaired, which is what the assessment looks at.'</t>
        </is>
      </c>
      <c r="S15" s="207" t="inlineStr">
        <is>
          <t>YOUR PRACTICE
▸  SUPERVISION
▸  Bring a case where parent and teacher ratings diverged sharply and ask how your supervisor reads that.
▸  Ask about the local referral route and threshold — CAMHS versus Primary Care — and what actually gets accepted.
▸  Raise any case where you suspect an unidentified learning difficulty underneath the attention referral. This is the most common formulation error in ADHD work.
▸  Discuss what you say to a parent asking about medication, word for word.
▸  Ask how your service handles a school that is treating ADHD as a behaviour problem.
▸  Bring the quiet inattentive child you nearly missed. There will be one.
▸  REFLECTION
▸  ON HOW I EXPLAINED IT — Did I explain ADHD, or did I explain what this child needs on Monday? Did the teacher leave with something specific?
▸  ON LANGUAGE — Did I use the family's terms or mine? Did I check whether the young person prefers 'has ADHD' or 'is ADHD'?
▸  ON THE HYPERFOCUS CONVERSATION — When someone said 'he can concentrate when he wants to', did I correct it clearly, or let it stand because contradicting felt awkward?
▸  ON MY OWN LANGUAGE IN THE REPORT — did I write 'refuses', 'won't', 'chooses not to'? Those are interpretations, and they follow a child for years.
▸  ON RULING OUT — did I assess attainment, ask about hearing, ask about sleep, before concluding attention? If not, my formulation is a hypothesis presented as a finding.
▸  ON THE INATTENTIVE CHILD — am I identifying the quiet ones, or only the ones the school is finding difficult?
▸  WHAT GOOD LOOKS LIKE: 'I had framed my feedback around attention, and the teacher pushed back that he concentrates fine in art. Rather than defending, I asked what art looks like — short tasks, movement, immediate feedback, high interest. That became the recommendation. My first framing would have produced an argument.'
▸  WHAT POOR LOOKS LIKE: 'Consistent with ADHD; referral recommended.' — no ruling out, no recommendations the school can act on, nothing learned.</t>
        </is>
      </c>
      <c r="T15" s="207" t="inlineStr">
        <is>
          <t>WHAT TO DO NEXT
▸  Proceed to FORMULATION using a named framework — Monsen, Interactive Factors, COMOIRA or Carr.
▸  If a learning need may be driving the presentation, proceed to attainment assessment before concluding.
▸  If risk or safeguarding emerged, none of the above — follow the protocol and tell your supervisor the same day.
▸  If the referral question is not answered by what you found, go back and renegotiate it.</t>
        </is>
      </c>
      <c r="U15" s="207" t="inlineStr">
        <is>
          <t>WHERE THE EVIDENCE GOES
▸  Psychological report
▸  Appendix 5 entry tagged 1. Assessment
▸  Appendix 7 if observed
▸  Table 3 — Early Years / Pre-School
▸  Log sheet — tag the referral area and the competency</t>
        </is>
      </c>
      <c r="V15" s="207" t="inlineStr">
        <is>
          <t>CITATIONS
▸  American Psychiatric Association (2022). DSM-5-TR — Attention-Deficit/Hyperactivity Disorder.
▸  Polanczyk, G., de Lima, M. S., Horta, B. L., Biederman, J., &amp; Rohde, L. A. (2007). The worldwide prevalence of ADHD: A systematic review and metaregression analysis. American Journal of Psychiatry, 164(6), 942–948.
▸  Barkley, R. A. (1997). Behavioral inhibition, sustained attention, and executive functions. Psychological Bulletin, 121(1), 65–94.
▸  Wolraich, M. L., Wilson, D. B., &amp; White, J. W. (1995). The effect of sugar on behavior or cognition in children: A meta-analysis. JAMA, 274(20), 1617–1621.
▸  Willcutt, E. G. (2012). The prevalence of DSM-IV ADHD: A meta-analytic review. Neurotherapeutics, 9(3), 490–499.
▸  Pennington, B. F. (2006). From single to multiple deficit models of developmental disorders. Cognition, 101(2), 385–413.
▸  NICE (2018, updated). Attention deficit hyperactivity disorder: diagnosis and management. NG87.</t>
        </is>
      </c>
    </row>
    <row r="16" ht="169.5" customHeight="1" s="128">
      <c r="A16" s="208" t="inlineStr">
        <is>
          <t>CO-OCCURRING</t>
        </is>
      </c>
      <c r="B16" s="208" t="inlineStr">
        <is>
          <t>1. Assessment</t>
        </is>
      </c>
      <c r="C16" s="171" t="inlineStr">
        <is>
          <t>Early Years / Pre-School (0–5 years)</t>
        </is>
      </c>
      <c r="D16" s="208" t="inlineStr">
        <is>
          <t>CO-OCCURS WITH ADHD</t>
        </is>
      </c>
      <c r="E16" s="209" t="inlineStr">
        <is>
          <t>SPECIFIC LEARNING DIFFICULTY</t>
        </is>
      </c>
      <c r="F16" s="208" t="inlineStr">
        <is>
          <t>see its own entry</t>
        </is>
      </c>
      <c r="G16" s="208" t="inlineStr">
        <is>
          <t>YES — assess separately</t>
        </is>
      </c>
      <c r="H16" s="171" t="inlineStr">
        <is>
          <t>WHERE THIS SITS
▸  Sits under 1. Assessment, alongside ADHD.
▸  NEPS category: 1. LEARNING (1.1 Attention, concentration and work skills) — and 2. BEHAVIOUR</t>
        </is>
      </c>
      <c r="I16" s="171" t="inlineStr">
        <is>
          <t>HOW OFTEN IT CO-OCCURS
▸  30–50% overlap.</t>
        </is>
      </c>
      <c r="J16" s="171" t="inlineStr">
        <is>
          <t>HOW IT PRESENTS WHEN IT CO-OCCURS
▸  inattention during literacy work specifically. ALWAYS assess attainment; escape from an unreadable task looks identical to inattention.</t>
        </is>
      </c>
      <c r="K16" s="171" t="inlineStr">
        <is>
          <t>THE RISK
▸  Do not assume the primary diagnosis explains this.
▸  Write down before you start what the primary diagnosis does NOT explain, then assess that.
▸  Diagnostic overshadowing is the single most common error in co-occurring presentations.</t>
        </is>
      </c>
      <c r="L16" s="171" t="inlineStr">
        <is>
          <t>—</t>
        </is>
      </c>
      <c r="M16" s="171" t="inlineStr">
        <is>
          <t>—</t>
        </is>
      </c>
      <c r="N16" s="171" t="inlineStr">
        <is>
          <t>—</t>
        </is>
      </c>
      <c r="O16" s="171" t="inlineStr">
        <is>
          <t>ASSESS
▸  Assess this separately, with its own measures.
▸  Build the case for each condition independently rather than letting evidence for one carry the other.</t>
        </is>
      </c>
      <c r="P16" s="171" t="inlineStr">
        <is>
          <t>DO
▸  State in the report what would be needed to establish this second presentation.
▸  That is often a referral rather than a conclusion you can reach yourself.</t>
        </is>
      </c>
      <c r="Q16" s="171" t="inlineStr">
        <is>
          <t>—</t>
        </is>
      </c>
      <c r="R16" s="171" t="inlineStr">
        <is>
          <t>—</t>
        </is>
      </c>
      <c r="S16" s="171" t="inlineStr">
        <is>
          <t>YOUR PRACTICE
▸  Bring it to supervision: for each child on my caseload with this diagnosis, what has NOT been assessed because the diagnosis was already there?</t>
        </is>
      </c>
      <c r="T16" s="171" t="inlineStr">
        <is>
          <t>WHAT TO DO NEXT
▸  Assess separately, then refer if the threshold is met.</t>
        </is>
      </c>
      <c r="U16" s="171" t="inlineStr">
        <is>
          <t>WHERE THE EVIDENCE GOES
▸  Psychological report — state the co-occurrence and what it changes.</t>
        </is>
      </c>
      <c r="V16" s="171" t="inlineStr">
        <is>
          <t>—</t>
        </is>
      </c>
    </row>
    <row r="17" ht="169.5" customHeight="1" s="128">
      <c r="A17" s="208" t="inlineStr">
        <is>
          <t>CO-OCCURRING</t>
        </is>
      </c>
      <c r="B17" s="208" t="inlineStr">
        <is>
          <t>1. Assessment</t>
        </is>
      </c>
      <c r="C17" s="171" t="inlineStr">
        <is>
          <t>Early Years / Pre-School (0–5 years)</t>
        </is>
      </c>
      <c r="D17" s="208" t="inlineStr">
        <is>
          <t>CO-OCCURS WITH ADHD</t>
        </is>
      </c>
      <c r="E17" s="209" t="inlineStr">
        <is>
          <t>AUTISM</t>
        </is>
      </c>
      <c r="F17" s="208" t="inlineStr">
        <is>
          <t>see its own entry</t>
        </is>
      </c>
      <c r="G17" s="208" t="inlineStr">
        <is>
          <t>YES — assess separately</t>
        </is>
      </c>
      <c r="H17" s="171" t="inlineStr">
        <is>
          <t>WHERE THIS SITS
▸  Sits under 1. Assessment, alongside ADHD.
▸  NEPS category: 1. LEARNING (1.1 Attention, concentration and work skills) — and 2. BEHAVIOUR</t>
        </is>
      </c>
      <c r="I17" s="171" t="inlineStr">
        <is>
          <t>HOW OFTEN IT CO-OCCURS
▸  28–44%.</t>
        </is>
      </c>
      <c r="J17" s="171" t="inlineStr">
        <is>
          <t>HOW IT PRESENTS WHEN IT CO-OCCURS
▸  social difficulty plus attention difficulty. Dual diagnosis has been permitted since DSM-5 (2013); older records may not reflect it.</t>
        </is>
      </c>
      <c r="K17" s="171" t="inlineStr">
        <is>
          <t>THE RISK
▸  Do not assume the primary diagnosis explains this.
▸  Write down before you start what the primary diagnosis does NOT explain, then assess that.
▸  Diagnostic overshadowing is the single most common error in co-occurring presentations.</t>
        </is>
      </c>
      <c r="L17" s="171" t="inlineStr">
        <is>
          <t>—</t>
        </is>
      </c>
      <c r="M17" s="171" t="inlineStr">
        <is>
          <t>—</t>
        </is>
      </c>
      <c r="N17" s="171" t="inlineStr">
        <is>
          <t>—</t>
        </is>
      </c>
      <c r="O17" s="171" t="inlineStr">
        <is>
          <t>ASSESS
▸  Assess this separately, with its own measures.
▸  Build the case for each condition independently rather than letting evidence for one carry the other.</t>
        </is>
      </c>
      <c r="P17" s="171" t="inlineStr">
        <is>
          <t>DO
▸  State in the report what would be needed to establish this second presentation.
▸  That is often a referral rather than a conclusion you can reach yourself.</t>
        </is>
      </c>
      <c r="Q17" s="171" t="inlineStr">
        <is>
          <t>—</t>
        </is>
      </c>
      <c r="R17" s="171" t="inlineStr">
        <is>
          <t>—</t>
        </is>
      </c>
      <c r="S17" s="171" t="inlineStr">
        <is>
          <t>YOUR PRACTICE
▸  Bring it to supervision: for each child on my caseload with this diagnosis, what has NOT been assessed because the diagnosis was already there?</t>
        </is>
      </c>
      <c r="T17" s="171" t="inlineStr">
        <is>
          <t>WHAT TO DO NEXT
▸  Assess separately, then refer if the threshold is met.</t>
        </is>
      </c>
      <c r="U17" s="171" t="inlineStr">
        <is>
          <t>WHERE THE EVIDENCE GOES
▸  Psychological report — state the co-occurrence and what it changes.</t>
        </is>
      </c>
      <c r="V17" s="171" t="inlineStr">
        <is>
          <t>—</t>
        </is>
      </c>
    </row>
    <row r="18" ht="169.5" customHeight="1" s="128">
      <c r="A18" s="208" t="inlineStr">
        <is>
          <t>CO-OCCURRING</t>
        </is>
      </c>
      <c r="B18" s="208" t="inlineStr">
        <is>
          <t>1. Assessment</t>
        </is>
      </c>
      <c r="C18" s="171" t="inlineStr">
        <is>
          <t>Early Years / Pre-School (0–5 years)</t>
        </is>
      </c>
      <c r="D18" s="208" t="inlineStr">
        <is>
          <t>CO-OCCURS WITH ADHD</t>
        </is>
      </c>
      <c r="E18" s="209" t="inlineStr">
        <is>
          <t>ODD / CONDUCT DIFFICULTY</t>
        </is>
      </c>
      <c r="F18" s="208" t="inlineStr">
        <is>
          <t>see its own entry</t>
        </is>
      </c>
      <c r="G18" s="208" t="inlineStr">
        <is>
          <t>YES — assess separately</t>
        </is>
      </c>
      <c r="H18" s="171" t="inlineStr">
        <is>
          <t>WHERE THIS SITS
▸  Sits under 1. Assessment, alongside ADHD.
▸  NEPS category: 1. LEARNING (1.1 Attention, concentration and work skills) — and 2. BEHAVIOUR</t>
        </is>
      </c>
      <c r="I18" s="171" t="inlineStr">
        <is>
          <t>HOW OFTEN IT CO-OCCURS
▸  elevated, particularly where ADHD has gone unidentified and the child has accumulated years of correction.</t>
        </is>
      </c>
      <c r="J18" s="171" t="inlineStr">
        <is>
          <t>HOW IT PRESENTS WHEN IT CO-OCCURS
▸  defiance that is often a learned response to chronic failure.</t>
        </is>
      </c>
      <c r="K18" s="171" t="inlineStr">
        <is>
          <t>THE RISK
▸  Do not assume the primary diagnosis explains this.
▸  Write down before you start what the primary diagnosis does NOT explain, then assess that.
▸  Diagnostic overshadowing is the single most common error in co-occurring presentations.</t>
        </is>
      </c>
      <c r="L18" s="171" t="inlineStr">
        <is>
          <t>—</t>
        </is>
      </c>
      <c r="M18" s="171" t="inlineStr">
        <is>
          <t>—</t>
        </is>
      </c>
      <c r="N18" s="171" t="inlineStr">
        <is>
          <t>—</t>
        </is>
      </c>
      <c r="O18" s="171" t="inlineStr">
        <is>
          <t>ASSESS
▸  Assess this separately, with its own measures.
▸  Build the case for each condition independently rather than letting evidence for one carry the other.</t>
        </is>
      </c>
      <c r="P18" s="171" t="inlineStr">
        <is>
          <t>DO
▸  State in the report what would be needed to establish this second presentation.
▸  That is often a referral rather than a conclusion you can reach yourself.</t>
        </is>
      </c>
      <c r="Q18" s="171" t="inlineStr">
        <is>
          <t>—</t>
        </is>
      </c>
      <c r="R18" s="171" t="inlineStr">
        <is>
          <t>—</t>
        </is>
      </c>
      <c r="S18" s="171" t="inlineStr">
        <is>
          <t>YOUR PRACTICE
▸  Bring it to supervision: for each child on my caseload with this diagnosis, what has NOT been assessed because the diagnosis was already there?</t>
        </is>
      </c>
      <c r="T18" s="171" t="inlineStr">
        <is>
          <t>WHAT TO DO NEXT
▸  Assess separately, then refer if the threshold is met.</t>
        </is>
      </c>
      <c r="U18" s="171" t="inlineStr">
        <is>
          <t>WHERE THE EVIDENCE GOES
▸  Psychological report — state the co-occurrence and what it changes.</t>
        </is>
      </c>
      <c r="V18" s="171" t="inlineStr">
        <is>
          <t>—</t>
        </is>
      </c>
    </row>
    <row r="19" ht="169.5" customHeight="1" s="128">
      <c r="A19" s="208" t="inlineStr">
        <is>
          <t>CO-OCCURRING</t>
        </is>
      </c>
      <c r="B19" s="208" t="inlineStr">
        <is>
          <t>1. Assessment</t>
        </is>
      </c>
      <c r="C19" s="171" t="inlineStr">
        <is>
          <t>Early Years / Pre-School (0–5 years)</t>
        </is>
      </c>
      <c r="D19" s="208" t="inlineStr">
        <is>
          <t>CO-OCCURS WITH ADHD</t>
        </is>
      </c>
      <c r="E19" s="209" t="inlineStr">
        <is>
          <t>ANXIETY AND LOW MOOD</t>
        </is>
      </c>
      <c r="F19" s="208" t="inlineStr">
        <is>
          <t>see its own entry</t>
        </is>
      </c>
      <c r="G19" s="208" t="inlineStr">
        <is>
          <t>YES — assess separately</t>
        </is>
      </c>
      <c r="H19" s="171" t="inlineStr">
        <is>
          <t>WHERE THIS SITS
▸  Sits under 1. Assessment, alongside ADHD.
▸  NEPS category: 1. LEARNING (1.1 Attention, concentration and work skills) — and 2. BEHAVIOUR</t>
        </is>
      </c>
      <c r="I19" s="171" t="inlineStr">
        <is>
          <t>HOW OFTEN IT CO-OCCURS
▸  elevated, usually secondary.</t>
        </is>
      </c>
      <c r="J19" s="171" t="inlineStr">
        <is>
          <t>HOW IT PRESENTS WHEN IT CO-OCCURS
▸  avoidance and somatic complaints. Treat the ADHD and much reduces, but not all.</t>
        </is>
      </c>
      <c r="K19" s="171" t="inlineStr">
        <is>
          <t>THE RISK
▸  Do not assume the primary diagnosis explains this.
▸  Write down before you start what the primary diagnosis does NOT explain, then assess that.
▸  Diagnostic overshadowing is the single most common error in co-occurring presentations.</t>
        </is>
      </c>
      <c r="L19" s="171" t="inlineStr">
        <is>
          <t>—</t>
        </is>
      </c>
      <c r="M19" s="171" t="inlineStr">
        <is>
          <t>—</t>
        </is>
      </c>
      <c r="N19" s="171" t="inlineStr">
        <is>
          <t>—</t>
        </is>
      </c>
      <c r="O19" s="171" t="inlineStr">
        <is>
          <t>ASSESS
▸  Assess this separately, with its own measures.
▸  Build the case for each condition independently rather than letting evidence for one carry the other.</t>
        </is>
      </c>
      <c r="P19" s="171" t="inlineStr">
        <is>
          <t>DO
▸  State in the report what would be needed to establish this second presentation.
▸  That is often a referral rather than a conclusion you can reach yourself.</t>
        </is>
      </c>
      <c r="Q19" s="171" t="inlineStr">
        <is>
          <t>—</t>
        </is>
      </c>
      <c r="R19" s="171" t="inlineStr">
        <is>
          <t>—</t>
        </is>
      </c>
      <c r="S19" s="171" t="inlineStr">
        <is>
          <t>YOUR PRACTICE
▸  Bring it to supervision: for each child on my caseload with this diagnosis, what has NOT been assessed because the diagnosis was already there?</t>
        </is>
      </c>
      <c r="T19" s="171" t="inlineStr">
        <is>
          <t>WHAT TO DO NEXT
▸  Assess separately, then refer if the threshold is met.</t>
        </is>
      </c>
      <c r="U19" s="171" t="inlineStr">
        <is>
          <t>WHERE THE EVIDENCE GOES
▸  Psychological report — state the co-occurrence and what it changes.</t>
        </is>
      </c>
      <c r="V19" s="171" t="inlineStr">
        <is>
          <t>—</t>
        </is>
      </c>
    </row>
    <row r="20" ht="169.5" customHeight="1" s="128">
      <c r="A20" s="208" t="inlineStr">
        <is>
          <t>CO-OCCURRING</t>
        </is>
      </c>
      <c r="B20" s="208" t="inlineStr">
        <is>
          <t>1. Assessment</t>
        </is>
      </c>
      <c r="C20" s="171" t="inlineStr">
        <is>
          <t>Early Years / Pre-School (0–5 years)</t>
        </is>
      </c>
      <c r="D20" s="208" t="inlineStr">
        <is>
          <t>CO-OCCURS WITH ADHD</t>
        </is>
      </c>
      <c r="E20" s="209" t="inlineStr">
        <is>
          <t>DCD</t>
        </is>
      </c>
      <c r="F20" s="208" t="inlineStr">
        <is>
          <t>see its own entry</t>
        </is>
      </c>
      <c r="G20" s="208" t="inlineStr">
        <is>
          <t>YES — assess separately</t>
        </is>
      </c>
      <c r="H20" s="171" t="inlineStr">
        <is>
          <t>WHERE THIS SITS
▸  Sits under 1. Assessment, alongside ADHD.
▸  NEPS category: 1. LEARNING (1.1 Attention, concentration and work skills) — and 2. BEHAVIOUR</t>
        </is>
      </c>
      <c r="I20" s="171" t="inlineStr">
        <is>
          <t>HOW OFTEN IT CO-OCCURS
▸  elevated.</t>
        </is>
      </c>
      <c r="J20" s="171" t="inlineStr">
        <is>
          <t>HOW IT PRESENTS WHEN IT CO-OCCURS
▸  messy, slow written work attributed to carelessness.</t>
        </is>
      </c>
      <c r="K20" s="171" t="inlineStr">
        <is>
          <t>THE RISK
▸  Do not assume the primary diagnosis explains this.
▸  Write down before you start what the primary diagnosis does NOT explain, then assess that.
▸  Diagnostic overshadowing is the single most common error in co-occurring presentations.</t>
        </is>
      </c>
      <c r="L20" s="171" t="inlineStr">
        <is>
          <t>—</t>
        </is>
      </c>
      <c r="M20" s="171" t="inlineStr">
        <is>
          <t>—</t>
        </is>
      </c>
      <c r="N20" s="171" t="inlineStr">
        <is>
          <t>—</t>
        </is>
      </c>
      <c r="O20" s="171" t="inlineStr">
        <is>
          <t>ASSESS
▸  Assess this separately, with its own measures.
▸  Build the case for each condition independently rather than letting evidence for one carry the other.</t>
        </is>
      </c>
      <c r="P20" s="171" t="inlineStr">
        <is>
          <t>DO
▸  State in the report what would be needed to establish this second presentation.
▸  That is often a referral rather than a conclusion you can reach yourself.</t>
        </is>
      </c>
      <c r="Q20" s="171" t="inlineStr">
        <is>
          <t>—</t>
        </is>
      </c>
      <c r="R20" s="171" t="inlineStr">
        <is>
          <t>—</t>
        </is>
      </c>
      <c r="S20" s="171" t="inlineStr">
        <is>
          <t>YOUR PRACTICE
▸  Bring it to supervision: for each child on my caseload with this diagnosis, what has NOT been assessed because the diagnosis was already there?</t>
        </is>
      </c>
      <c r="T20" s="171" t="inlineStr">
        <is>
          <t>WHAT TO DO NEXT
▸  Assess separately, then refer if the threshold is met.</t>
        </is>
      </c>
      <c r="U20" s="171" t="inlineStr">
        <is>
          <t>WHERE THE EVIDENCE GOES
▸  Psychological report — state the co-occurrence and what it changes.</t>
        </is>
      </c>
      <c r="V20" s="171" t="inlineStr">
        <is>
          <t>—</t>
        </is>
      </c>
    </row>
    <row r="21" ht="169.5" customHeight="1" s="128">
      <c r="A21" s="208" t="inlineStr">
        <is>
          <t>CO-OCCURRING</t>
        </is>
      </c>
      <c r="B21" s="208" t="inlineStr">
        <is>
          <t>1. Assessment</t>
        </is>
      </c>
      <c r="C21" s="171" t="inlineStr">
        <is>
          <t>Early Years / Pre-School (0–5 years)</t>
        </is>
      </c>
      <c r="D21" s="208" t="inlineStr">
        <is>
          <t>CO-OCCURS WITH ADHD</t>
        </is>
      </c>
      <c r="E21" s="209" t="inlineStr">
        <is>
          <t>DLD</t>
        </is>
      </c>
      <c r="F21" s="208" t="inlineStr">
        <is>
          <t>see its own entry</t>
        </is>
      </c>
      <c r="G21" s="208" t="inlineStr">
        <is>
          <t>YES — assess separately</t>
        </is>
      </c>
      <c r="H21" s="171" t="inlineStr">
        <is>
          <t>WHERE THIS SITS
▸  Sits under 1. Assessment, alongside ADHD.
▸  NEPS category: 1. LEARNING (1.1 Attention, concentration and work skills) — and 2. BEHAVIOUR</t>
        </is>
      </c>
      <c r="I21" s="171" t="inlineStr">
        <is>
          <t>HOW OFTEN IT CO-OCCURS
▸  elevated.</t>
        </is>
      </c>
      <c r="J21" s="171" t="inlineStr">
        <is>
          <t>HOW IT PRESENTS WHEN IT CO-OCCURS
▸  not following instructions, which is comprehension rather than attention.</t>
        </is>
      </c>
      <c r="K21" s="171" t="inlineStr">
        <is>
          <t>THE RISK
▸  Do not assume the primary diagnosis explains this.
▸  Write down before you start what the primary diagnosis does NOT explain, then assess that.
▸  Diagnostic overshadowing is the single most common error in co-occurring presentations.</t>
        </is>
      </c>
      <c r="L21" s="171" t="inlineStr">
        <is>
          <t>—</t>
        </is>
      </c>
      <c r="M21" s="171" t="inlineStr">
        <is>
          <t>—</t>
        </is>
      </c>
      <c r="N21" s="171" t="inlineStr">
        <is>
          <t>—</t>
        </is>
      </c>
      <c r="O21" s="171" t="inlineStr">
        <is>
          <t>ASSESS
▸  Assess this separately, with its own measures.
▸  Build the case for each condition independently rather than letting evidence for one carry the other.</t>
        </is>
      </c>
      <c r="P21" s="171" t="inlineStr">
        <is>
          <t>DO
▸  State in the report what would be needed to establish this second presentation.
▸  That is often a referral rather than a conclusion you can reach yourself.</t>
        </is>
      </c>
      <c r="Q21" s="171" t="inlineStr">
        <is>
          <t>—</t>
        </is>
      </c>
      <c r="R21" s="171" t="inlineStr">
        <is>
          <t>—</t>
        </is>
      </c>
      <c r="S21" s="171" t="inlineStr">
        <is>
          <t>YOUR PRACTICE
▸  Bring it to supervision: for each child on my caseload with this diagnosis, what has NOT been assessed because the diagnosis was already there?</t>
        </is>
      </c>
      <c r="T21" s="171" t="inlineStr">
        <is>
          <t>WHAT TO DO NEXT
▸  Assess separately, then refer if the threshold is met.</t>
        </is>
      </c>
      <c r="U21" s="171" t="inlineStr">
        <is>
          <t>WHERE THE EVIDENCE GOES
▸  Psychological report — state the co-occurrence and what it changes.</t>
        </is>
      </c>
      <c r="V21" s="171" t="inlineStr">
        <is>
          <t>—</t>
        </is>
      </c>
    </row>
    <row r="22" ht="169.5" customHeight="1" s="128">
      <c r="A22" s="208" t="inlineStr">
        <is>
          <t>CO-OCCURRING</t>
        </is>
      </c>
      <c r="B22" s="208" t="inlineStr">
        <is>
          <t>1. Assessment</t>
        </is>
      </c>
      <c r="C22" s="171" t="inlineStr">
        <is>
          <t>Early Years / Pre-School (0–5 years)</t>
        </is>
      </c>
      <c r="D22" s="208" t="inlineStr">
        <is>
          <t>CO-OCCURS WITH ADHD</t>
        </is>
      </c>
      <c r="E22" s="209" t="inlineStr">
        <is>
          <t>SLEEP DIFFICULTY</t>
        </is>
      </c>
      <c r="F22" s="208" t="inlineStr">
        <is>
          <t>see its own entry</t>
        </is>
      </c>
      <c r="G22" s="208" t="inlineStr">
        <is>
          <t>YES — assess separately</t>
        </is>
      </c>
      <c r="H22" s="171" t="inlineStr">
        <is>
          <t>WHERE THIS SITS
▸  Sits under 1. Assessment, alongside ADHD.
▸  NEPS category: 1. LEARNING (1.1 Attention, concentration and work skills) — and 2. BEHAVIOUR</t>
        </is>
      </c>
      <c r="I22" s="171" t="inlineStr">
        <is>
          <t>HOW OFTEN IT CO-OCCURS
▸  Rate not stated in source — check before quoting.</t>
        </is>
      </c>
      <c r="J22" s="171" t="inlineStr">
        <is>
          <t>HOW IT PRESENTS WHEN IT CO-OCCURS
▸  very common and bidirectional. Always ask; a child sleeping six hours will screen positive on everything.</t>
        </is>
      </c>
      <c r="K22" s="171" t="inlineStr">
        <is>
          <t>THE RISK
▸  Do not assume the primary diagnosis explains this.
▸  Write down before you start what the primary diagnosis does NOT explain, then assess that.
▸  Diagnostic overshadowing is the single most common error in co-occurring presentations.</t>
        </is>
      </c>
      <c r="L22" s="171" t="inlineStr">
        <is>
          <t>—</t>
        </is>
      </c>
      <c r="M22" s="171" t="inlineStr">
        <is>
          <t>—</t>
        </is>
      </c>
      <c r="N22" s="171" t="inlineStr">
        <is>
          <t>—</t>
        </is>
      </c>
      <c r="O22" s="171" t="inlineStr">
        <is>
          <t>ASSESS
▸  Assess this separately, with its own measures.
▸  Build the case for each condition independently rather than letting evidence for one carry the other.</t>
        </is>
      </c>
      <c r="P22" s="171" t="inlineStr">
        <is>
          <t>DO
▸  State in the report what would be needed to establish this second presentation.
▸  That is often a referral rather than a conclusion you can reach yourself.</t>
        </is>
      </c>
      <c r="Q22" s="171" t="inlineStr">
        <is>
          <t>—</t>
        </is>
      </c>
      <c r="R22" s="171" t="inlineStr">
        <is>
          <t>—</t>
        </is>
      </c>
      <c r="S22" s="171" t="inlineStr">
        <is>
          <t>YOUR PRACTICE
▸  Bring it to supervision: for each child on my caseload with this diagnosis, what has NOT been assessed because the diagnosis was already there?</t>
        </is>
      </c>
      <c r="T22" s="171" t="inlineStr">
        <is>
          <t>WHAT TO DO NEXT
▸  Assess separately, then refer if the threshold is met.</t>
        </is>
      </c>
      <c r="U22" s="171" t="inlineStr">
        <is>
          <t>WHERE THE EVIDENCE GOES
▸  Psychological report — state the co-occurrence and what it changes.</t>
        </is>
      </c>
      <c r="V22" s="171" t="inlineStr">
        <is>
          <t>—</t>
        </is>
      </c>
    </row>
    <row r="23" ht="408.75" customHeight="1" s="128">
      <c r="A23" s="210" t="inlineStr">
        <is>
          <t>PRESENTATION</t>
        </is>
      </c>
      <c r="B23" s="210" t="inlineStr">
        <is>
          <t>1. Assessment</t>
        </is>
      </c>
      <c r="C23" s="170" t="inlineStr">
        <is>
          <t>Early Years / Pre-School (0–5 years)</t>
        </is>
      </c>
      <c r="D23" s="210" t="inlineStr">
        <is>
          <t>SYMPTOM-ONLY</t>
        </is>
      </c>
      <c r="E23" s="211" t="inlineStr">
        <is>
          <t>Presentations related to ADHD — no diagnosis</t>
        </is>
      </c>
      <c r="F23" s="210" t="inlineStr">
        <is>
          <t>No DSM code</t>
        </is>
      </c>
      <c r="G23" s="210" t="inlineStr">
        <is>
          <t>YES — these present at every band</t>
        </is>
      </c>
      <c r="H23" s="170" t="inlineStr">
        <is>
          <t>WHERE THIS SITS
▸  NEPS category: as above
▸  UCD competency: 1. Assessment
▸  CORU: 3.1 · 3.2 · 5.28 · 5.29 · 5.30 · 5.31 · 5.32
▸  PSI: 2.2.2 · 2.3.1 · 1.3.1 · 1.2.8</t>
        </is>
      </c>
      <c r="I23" s="170" t="inlineStr">
        <is>
          <t>THE PRESENTATIONS — no diagnosis needed, and most referrals look like this
▸  Working memory difficulty
▸  Inhibition difficulty
▸  Task initiation difficulty
▸  Motivation and engagement with work
▸  Work rate and pace of output
▸  Organisation of materials, books and equipment
▸  Homework completion and follow-through
▸  Fatigue, sleep and time-of-day effects on attention</t>
        </is>
      </c>
      <c r="J23" s="170" t="inlineStr">
        <is>
          <t>HOW COMMON
▸  No prevalence figures exist for these — they are descriptions, not categories.
▸  They are more common than the diagnosis they sit beside.</t>
        </is>
      </c>
      <c r="K23" s="170" t="inlineStr">
        <is>
          <t>THE PATHWAY
▸  No diagnostic pathway. Nobody diagnoses these.
▸  You describe them, formulate around them, and recommend. That is the whole pathway.
▸  If a parent asks who diagnoses it: nobody. Say that plainly, and say it does not make the difficulty less real or less workable.</t>
        </is>
      </c>
      <c r="L23" s="170" t="inlineStr">
        <is>
          <t>WHAT YOU SEE
▸  These are what the referral form actually describes in Section 5.
▸  Look for the pattern across settings rather than a threshold.</t>
        </is>
      </c>
      <c r="M23" s="170" t="inlineStr">
        <is>
          <t>RED FLAGS
▸  Escalating distress, withdrawal or risk indicators — follow the protocol regardless of whether a diagnosis exists.
▸  Do not let the absence of a diagnosis delay a safeguarding response.</t>
        </is>
      </c>
      <c r="N23" s="170" t="inlineStr">
        <is>
          <t>WHAT ELSE COULD IT BE
▸  Each of these can be the visible edge of the diagnosed condition above.
▸  Each can also occur entirely on its own.
▸  Test the sequence: which came first?</t>
        </is>
      </c>
      <c r="O23" s="170" t="inlineStr">
        <is>
          <t>ASSESS
▸  Observation with a comparison peer.
▸  Teacher and parent interview.
▸  Pupil interview — their account is the evidence here.
▸  Rating scales describe perception, not the presentation itself.</t>
        </is>
      </c>
      <c r="P23" s="170" t="inlineStr">
        <is>
          <t>DO
▸  Name the presentation precisely rather than reaching for a label.
▸  Recommend at the level of the behaviour, not the hypothetical diagnosis.
▸  Specify what, who, how often, for how long, and how it will be measured.
▸  Name the Continuum of Support level.</t>
        </is>
      </c>
      <c r="Q23" s="170" t="inlineStr">
        <is>
          <t>EXPLAIN
▸  To a parent: “There isn’t a diagnosis for this, and it’s still real and still workable. Here’s what we do.”
▸  To a teacher: describe the behaviour in countable terms, not in trait terms.
▸  To the child: ask what helps, and use their words in the report.</t>
        </is>
      </c>
      <c r="R23" s="170" t="inlineStr">
        <is>
          <t>CHILD’S VOICE AND QUESTIONS
▸  Talking Mats · Blob Tree · scaling on a drawn ladder · sentence completion · day mapping.
▸  Q: “So there’s nothing wrong with him?” A: “There’s a real difficulty and it doesn’t have a label. Labels help get resources; they don’t make a difficulty more or less real.”
▸  Q: “Should we get him assessed privately?” A: give the honest position on what a diagnosis would and would not change here.</t>
        </is>
      </c>
      <c r="S23" s="170" t="inlineStr">
        <is>
          <t>YOUR PRACTICE
▸  Bring a case where you were pulled toward a label the data did not support.
▸  Reflect: did I describe, or did I reach? Whose language did I use?</t>
        </is>
      </c>
      <c r="T23" s="170" t="inlineStr">
        <is>
          <t>WHAT TO DO NEXT
▸  Proceed to formulation. These belong at the behavioural level of the Interactive Factors Framework.
▸  Test whether an unmet learning need is underneath before concluding anything.</t>
        </is>
      </c>
      <c r="U23" s="170" t="inlineStr">
        <is>
          <t>WHERE THE EVIDENCE GOES
▸  Psychological report
▸  Appendix 5 entry
▸  Log sheet</t>
        </is>
      </c>
      <c r="V23" s="170" t="inlineStr">
        <is>
          <t>CITATIONS
▸  Frederickson &amp; Cline (2009)
▸  Monsen &amp; Frederickson (2008)
▸  NEPS Continuum of Support</t>
        </is>
      </c>
    </row>
    <row r="24" ht="408.75" customHeight="1" s="128">
      <c r="A24" s="205" t="inlineStr">
        <is>
          <t>CONDITION</t>
        </is>
      </c>
      <c r="B24" s="205" t="inlineStr">
        <is>
          <t>1. Assessment</t>
        </is>
      </c>
      <c r="C24" s="206" t="inlineStr">
        <is>
          <t>Early Years / Pre-School (0–5 years)</t>
        </is>
      </c>
      <c r="D24" s="205" t="inlineStr">
        <is>
          <t>DIAGNOSED</t>
        </is>
      </c>
      <c r="E24" s="206" t="inlineStr">
        <is>
          <t>General Learning Disability (GLD) / Intellectual Disability</t>
        </is>
      </c>
      <c r="F24" s="205" t="inlineStr">
        <is>
          <t>DSM-5-TR Intellectual Developmental Disorder · ICD-11 6A00 · Irish education: mild / moderate / severe-profound GLD</t>
        </is>
      </c>
      <c r="G24" s="205" t="inlineStr">
        <is>
          <t>YES — as Global Developmental Delay</t>
        </is>
      </c>
      <c r="H24" s="207" t="inlineStr">
        <is>
          <t>WHERE THIS SITS
▸  NEPS referral form category: 1. LEARNING (1.3 Comprehension and general ability)
▸  UCD competency: 1. Assessment
▸  CORU: 3.1 · 3.2 · 5.28 · 5.29 · 5.30 · 5.31 · 5.32
▸  PSI: 2.2.2 · 2.3.1 · 1.3.1 · 1.2.8
▸  Law and policy: Children First Act 2015 · EPSEN Act 2004 · Equal Status Acts 2000–2018 · GDPR</t>
        </is>
      </c>
      <c r="I24" s="207" t="inlineStr">
        <is>
          <t>WHAT IT IS, AND WHAT IT IS NOT
▸  Defined by THREE criteria, all of which must be met (APA, 2022): (a) deficits in intellectual functioning confirmed by clinical assessment and standardised testing; (b) deficits in ADAPTIVE functioning across conceptual, social and practical domains; (c) onset during the developmental period.
▸  CRITICAL POINT: DSM-5 moved severity from IQ score to ADAPTIVE FUNCTIONING. Severity is determined by adaptive functioning, not by IQ. Many practitioners have not updated this.
▸  Irish education uses mild (approx. IQ 50–70), moderate (35–49), severe/profound (below 35) GLD as categories for resource allocation. These bands are administrative, not diagnostic.
▸  Borderline intellectual functioning (roughly 70–79) is NOT intellectual disability, has no category, and often receives no resource — while having substantial educational impact. It is a DSM-5-TR V-code.
▸  Onset in the developmental period is essential. An acquired difficulty after a brain injury is a different diagnosis.
▸  NOT the same as a specific learning difficulty. Dyslexia is a SPECIFIC difficulty against an otherwise typical profile; GLD is a GENERAL difficulty across domains. Parents and teachers confuse these constantly.
▸  NOT fixed and unchangeable. Adaptive functioning improves with teaching and support; that is the whole point of measuring it separately.
▸  NOT determined by an IQ number alone. Diagnosing on IQ without adaptive assessment is incorrect under current criteria.
▸  NOT a predictor of quality of life, relationships or employment. Support and opportunity predict those.
▸  NOT 'mental handicap', 'retardation' or any historical term. Do not use them, including when quoting older reports without flagging it.</t>
        </is>
      </c>
      <c r="J24" s="207" t="inlineStr">
        <is>
          <t>HOW COMMON AT THIS AGE
▸  OVERALL: around 1% of the population internationally (Maulik et al., 2011, meta-analysis), with mild ID accounting for the large majority.
▸  IRELAND: the National Intellectual Disability Database (NIDD), run by the Health Research Board, is the authoritative Irish source. Check the current annual report.
▸  EARLY YEARS 0–5: usually presents as global developmental delay; formal ID diagnosis is often deferred because profiles are unstable below 5.
▸  SOCIOECONOMIC GRADIENT: mild ID is strongly associated with socioeconomic disadvantage, which is a reason for caution about attribution and for assessing opportunity as well as ability.
▸  AT OTHER AGES (for context): MILD GLD is the largest group by far and the most likely to be identified late, because the profile is less visibly distinct in early years. · MODERATE, SEVERE AND PROFOUND are usually identified in the early years, often through the CDNT rather than through school. · SCHOOL AGE 6–12 · ADOLESCENT AND ADULT</t>
        </is>
      </c>
      <c r="K24" s="207" t="inlineStr">
        <is>
          <t>THE PATHWAY AND THE TIMELINE
▸ TYPICAL AGE OF IDENTIFICATION, AND WHY THEN
   Moderate to profound: usually identified in the first three years, often through the Public Health Nurse or paediatrics, because developmental milestones are visibly delayed. Mild GLD: typically 6–9, because the profile is not visibly distinct until curriculum demands outpace the child. Under 5 the term used is Global Developmental Delay, because cognitive profiles are unstable and a formal ID diagnosis would be unreliable.
▸ WHO DIAGNOSES IT
   CDNT, or clinical psychology within disability services. Requires both a cognitive assessment and an adaptive assessment — neither alone is sufficient under current criteria. An educational psychologist identifies the educational profile and its implications; the diagnosis sits with the clinical team.
▸ WHO COULD HAVE WRITTEN THE REPORT IN FRONT OF YOU
   CDNT psychologist. Paediatrician. Assessment of Need report. An older NEPS report identifying 'general learning disability' for resource purposes — which is an educational categorisation, not a clinical diagnosis. Know which you are reading.
▸ WHO YOU REFER TO
   CDNT for diagnosis and adaptive support. SLT for communication. OT for motor and self-care. SENO for placement and resource. Adult disability services from 16 for transition.
▸ 'SHOULD WE HAVE COME SOONER?'
   For mild GLD: 'No. It usually isn't visible until the work gets harder than she can manage, and that's around now. Coming earlier wouldn't have shown anything different.' For moderate or above identified late: that is unusual and worth exploring gently — but frame it as a gap in the system, and check what was actually done rather than assuming.</t>
        </is>
      </c>
      <c r="L24" s="207" t="inlineStr">
        <is>
          <t>WHAT YOU SEE AT THIS AGE
▸  Formal ID diagnosis usually deferred below 5 because profiles are unstable. Griffiths III or Bayley-4 via CDNT, plus Vineland-3 or ABAS-3.
▸  EARLY YEARS 0–5: identified through developmental delay. Griffiths III or Bayley-4 via CDNT, Vineland-3 or ABAS-3. Diagnosis is often deferred — 'global developmental delay' is used under 5 because profiles are unstable.
▸  SCHOOL AGE 6–12: WISC-V plus an adaptive measure plus attainment. Both criteria must be assessed. Use GAI where index scatter exceeds 23 points.
▸  ADOLESCENT 13–16: the question shifts to curriculum route (L1LP/L2LP) and to transition. Adaptive assessment becomes more important than cognitive.
▸  YOUNG ADULT 17–26: WAIS-IV and ABAS-3 adult form for adult service eligibility. Functional and vocational focus.
▸  SPECIAL SETTING: adaptive profile against the setting curriculum is usually more informative than any IQ.</t>
        </is>
      </c>
      <c r="M24" s="207" t="inlineStr">
        <is>
          <t>RED FLAGS AND BOUNDARIES
▸  RED FLAG — regression or loss of skills. Urgent medical referral.
▸  RED FLAG — safeguarding. Children and adults with intellectual disability are at substantially elevated risk of abuse and are less likely to be believed. Take any concern seriously and follow the protocol immediately.
▸  RED FLAG — a large gap between cognitive and adaptive scores. Consider opportunity, over-support, or an underestimating cognitive assessment. Do not average them.
▸  BOUNDARY — diagnosis sits with the CDNT or clinical services. You assess and describe; you do not diagnose.
▸  DIAGNOSTIC OVERSHADOWING — mental health difficulties in people with intellectual disability are routinely missed because distress is read as part of the disability.</t>
        </is>
      </c>
      <c r="N24" s="207" t="inlineStr">
        <is>
          <t>WHAT ELSE COULD IT BE, AND WHAT CO-OCCURS
▸  MENTAL HEALTH DIFFICULTY — substantially elevated across all conditions. PRESENTS AS: behaviour change. Diagnostic overshadowing is severe here; distress is read as part of the disability and goes untreated. This is the single most important co-occurrence to hold in mind.
▸  AUTISM — around a third of people with ID. PRESENTS AS: social communication differences on top of the learning profile. Assess separately.
▸  ADHD — elevated. PRESENTS AS: attention difficulty that may simply be work pitched above the child's level. Rule that out first.
▸  EPILEPSY — strongly elevated, particularly at moderate to profound levels. Medical; note and refer.
▸  COMMUNICATION DIFFICULTY — very common and often the real barrier. SLT involvement is usually more useful than more cognitive assessment.
▸  PHYSICAL AND SENSORY IMPAIRMENT — elevated, particularly in genetic syndromes. Always check vision and hearing before attributing anything to cognition.
▸  SPECIFIC LEARNING DIFFICULTY — can co-occur. A child with GLD whose reading is far below even their own cognitive level has something additional going on.
▸  SLEEP AND FEEDING DIFFICULTIES — common, under-asked-about, and they change the whole presentation.</t>
        </is>
      </c>
      <c r="O24" s="207" t="inlineStr">
        <is>
          <t>TOOLS VALID AT THIS BAND
▸  WPPSI-IV UK — AGE 2:6–7:7
     MEASURES: Verbal comprehension, visual spatial, fluid reasoning, working memory, processing speed. Full Scale IQ from 4:0.
     CANNOT TELL YOU: Nothing about why a young child performed as they did. Index scatter is far less stable at this age than at school age — do not build a profile argument on it.
     TIME: 60–75 min
▸  Griffiths III — AGE 0–6
     MEASURES: Foundations of learning, language and communication, eye and hand co-ordination, personal-social-emotional, gross motor.
     CANNOT TELL YOU: Not a cognitive test in the IQ sense and not a diagnosis. Usually administered by the CDNT, not by NEPS.
     TIME: 60–90 min
▸  Bayley-4 — AGE 16 days–42 months
     MEASURES: Cognitive, language, motor, social-emotional, adaptive behaviour.
     CANNOT TELL YOU: Poor long-range prediction of later IQ. A low score at 18 months is a description of now, not a forecast.
     TIME: 30–90 min
▸  Leiter-3 — AGE 3:0–75:11
     MEASURES: Non-verbal cognitive ability with no spoken instruction required.
     CANNOT TELL YOU: Verbal reasoning, which for many children is the area of concern. Use alongside, not instead of.
     TIME: 45 min
▸  Vineland-3 — AGE birth–90
     MEASURES: Communication, daily living skills, socialisation, motor.
     CANNOT TELL YOU: Ability. Adaptive score and cognitive score answer different questions and often diverge.
     TIME: 20–60 min
▸  ABAS-3 — AGE birth–89
     MEASURES: Conceptual, social and practical adaptive domains.
     CANNOT TELL YOU: What the child can do in a structured one-to-one setting — it measures typical performance, not capacity.
     TIME: 15–20 min per rater
▸  Preschool Language Scales-5 (PLS-5) — AGE birth–7:11
     MEASURES: Auditory comprehension and expressive communication.
     CANNOT TELL YOU: Whether a difficulty is a disorder or a difference — establish home language exposure first.
     TIME: 45–60 min
▸  Ages &amp; Stages Questionnaires (ASQ-3) — AGE 1–66 months
     MEASURES: Parent-completed developmental screen across five domains.
     CANNOT TELL YOU: It is a screen, not an assessment. Specificity is strong but evidence varies by language version and context (Velikonja et al., 2017).
     TIME: 10–15 min parent
▸  Schedule of Growing Skills II — AGE 0–5
     MEASURES: Developmental profile across nine skill areas.
     CANNOT TELL YOU: Cause. It tells you where a child is, not why.
     TIME: 20–30 min</t>
        </is>
      </c>
      <c r="P24" s="207" t="inlineStr">
        <is>
          <t>WHAT YOU DO, AND WHAT YOU WRITE
▸  PITCH THE CURRICULUM TO THE CHILD, NOT THE CLASS. This is the recommendation that matters most and the one schools find hardest. Say the level explicitly.
▸  TEACH TO MASTERY with more repetition, in more contexts, over a longer period, before moving on.
▸  PLAN FOR GENERALISATION EXPLICITLY. Something learned in the SET room will not transfer to the classroom unless it is taught there too.
▸  CONCRETE BEFORE PICTORIAL BEFORE ABSTRACT, and do not rush the concrete stage.
▸  ADAPTIVE SKILLS ARE CURRICULUM. Dressing, money, time, safety, travel. For post-primary, this is more important than academic content.
▸  REDUCE LANGUAGE LOAD in instructions; check comprehension by asking for a demonstration rather than a yes.
▸  CURRICULUM ROUTE at post-primary: consider L1LP or L2LP and raise it early, not in sixth year.
▸  TRANSITION PLANNING from at least 14. Adult services have different thresholds and long lead times.
▸  WATCH FOR OVER-SUPPORT. An SNA doing the task is not the child learning the task. Build fading into the plan.
▸  CONTINUUM LEVEL: usually School Support Plus with outside involvement. Name it and justify it.
▸  REFER: CDNT for diagnosis and adaptive support; SLT for communication; OT where motor or self-care; SENO for placement and resource.</t>
        </is>
      </c>
      <c r="Q24" s="207" t="inlineStr">
        <is>
          <t>EXPLAIN
▸  TO A PARENT
▸  'A general learning disability means learning is harder across most areas, not just one. It affects how quickly new things are learned and how much repetition and support is needed.'
▸  'It's about two things together: how she reasons and problem-solves, and how she manages everyday things — dressing, money, keeping safe, getting along with others. We look at both, because the everyday side is what actually matters day to day.'
▸  'It's been there from early on. We're identifying it now; it hasn't started now.'
▸  'It doesn't tell us what she'll be able to do. It tells us how she learns best and how much support she needs while she's learning. Those are different questions.'
▸  IF THEY ASK ABOUT THE FUTURE: be honest and specific. 'I can tell you what the next two years should look like. I can't tell you about twenty years, and anyone who does is guessing.'
▸  SIGNPOST: the CDNT, Inclusion Ireland, Down Syndrome Ireland where relevant, and the SENO for placement questions.
▸  TO A TEACHER
▸  'Learning is slower across the board rather than in one area, so differentiation needs to be about level and pace, not just about extra time.'
▸  'Start from the adaptive profile as much as the cognitive one. If she can't yet follow a three-step instruction, that's the ceiling for how instructions should be given, regardless of the topic.'
▸  'More repetition, in more contexts, with more concrete materials, and longer before moving on. The curriculum level has to match where she is, not where the class is.'
▸  'Generalisation is the key difficulty. Something learned in one setting often doesn't transfer. Plan to teach it again in the place it's needed.'
▸  'Check for the L1LP and L2LP options at post-primary — the curriculum route matters more than the hours.'
▸  TO THE CHILD
▸  'Everyone learns at their own speed. You learn best when things are broken into smaller steps and when you get to practise lots of times. That's just how your brain works best.'
▸  Focus on HOW they learn, not on a label or a level. Children rarely benefit from being told an IQ band.
▸  'What are you good at?' first. Then 'what's the trickiest bit of school?' Then 'what helps when it's tricky?'
▸  Be honest if asked directly: 'Some things take you longer than other people, and that's true. It doesn't say anything about how good you are at being you.'
▸  Check what they have overheard. Children often know the word 'disability' has been used and have no idea what it means.
▸  ANALOGIES
▸  THE ROAD, NOT THE DESTINATION: 'Everyone's travelling the same road. Some people are in a faster car. It doesn't change where the road goes — it changes how many stops you make.' Good with parents; avoids implying a ceiling.
▸  BUILDING WITH SMALLER BRICKS: 'If most people build with big blocks, she's building with smaller ones. She'll build the same wall — it takes more bricks and more time, and it's just as solid.' Good for explaining repetition to teachers.
▸  THE TORCH VERSUS THE FLOODLIGHT (specific vs general): 'A specific learning difficulty is like one light being out in a room. A general learning disability is the whole room being dimmer.' Useful for the confusion parents most often have.
▸  CAUTION: avoid any analogy implying a fixed limit. Adaptive functioning is modifiable and the analogy should not say otherwise.
▸  LANGUAGE
▸  In Ireland, 'general learning disability' is the education term; 'intellectual disability' is the health and diagnostic term. You will meet both. Use the one the setting uses and define it once.
▸  Inclusion Ireland and self-advocacy organisations favour 'person with an intellectual disability' — person-first is the majority preference in this community, which is the opposite of the autism position. Do not generalise across conditions.
▸  Never: 'mental handicap', 'retardation', 'low-functioning', 'mentally disabled'.
▸  Avoid stating an IQ number in a report where a description would do the same work. Numbers get repeated out of context for years.</t>
        </is>
      </c>
      <c r="R24" s="207" t="inlineStr">
        <is>
          <t>THE CHILD’S VOICE, AND THE QUESTIONS
▸  TALKING MATS — strong evidence base specifically with people with intellectual disability. Good because it reduces the language demand of being consulted. → https://www.talkingmats.com/
▸  ONE-PAGE PROFILE — strengths-first, transfers with the child between settings. Good because staff actually read one page.
▸  PATH / MAPS — person-centred transition planning, graphic. Good for school leavers because it starts from the young person's preferred future.
▸  PHOTO-ELICITATION — the young person photographs what matters to them and talks from the photos. Good because it removes the need to generate content verbally on the spot.
▸  INCLUSION IRELAND easy-read materials — Irish, self-advocacy led. Good because easy-read is a genuine accessibility standard, not a simplification. → https://inclusionireland.ie/
▸  PREFERENCE ASSESSMENT (structured choice-making) — systematic presentation of options to establish what the person actually prefers. Good where verbal report is not available; it is the ethical alternative to assuming.
▸  QUESTIONS YOU WILL BE ASKED
▸  Q: 'What's her IQ?' — A: 'I can tell you the range, but I'd rather tell you what it means, because the number on its own is easy to misread. What it tells us is [describe]. What matters more day to day is how she manages everyday tasks, and that's the other half of the assessment.'
▸  Q: 'Will she catch up?' — A: 'She'll keep learning and keep making progress. The gap with her peers is likely to stay, and that's what the word 'disability' is describing. What changes is how much she can do independently, and that does improve a lot with the right teaching.'
▸  Q: 'Is this the same as dyslexia?' — A: 'No. Dyslexia is a specific difficulty — one area that's much harder than everything else. This is more general, affecting learning across most areas. Different profile, different supports.'
▸  Q: 'Will she go to a normal school?' — A: 'Most children with a general learning disability are in mainstream, and plenty are in special classes or special schools. It's a question of which setting can give her what she needs, not a question of category. I can walk you through what each looks like.'
▸  Q: 'Will she be able to live independently / get a job?' — A: 'Honestly, I can't tell you that from an assessment at eight. What I can tell you is what she needs over the next two years, and that the adaptive skills we work on now are exactly the ones that matter for that question later.'
▸  Q: 'Did I cause this?' — A: 'No. It's present from early development. There are lots of causes and in many cases we never identify one.'
▸  Q: 'The school says she's fine.' — A: 'She may well be coping, and coping and learning aren't the same thing. What I'm looking at is whether the work she's given is at the level she can actually access.'</t>
        </is>
      </c>
      <c r="S24" s="207" t="inlineStr">
        <is>
          <t>YOUR PRACTICE
▸  SUPERVISION
▸  Bring the report and ask: does this read as a description of a person or of a score?
▸  Ask how your supervisor answers the 'what will she be able to do?' question, in their actual words.
▸  Raise the gap between the education categories (mild/moderate/severe) and the diagnostic criteria, and how your service handles it.
▸  Discuss borderline intellectual functioning — children who fall between the categories and receive nothing. What does your service do?
▸  Ask about placement conversations specifically: how do you frame special class or special school as a question of fit rather than of category?
▸  Bring any case where the cognitive and adaptive profiles diverged sharply and ask how to write that.
▸  REFLECTION
▸  ON LANGUAGE — Did I check which term this family uses before I used one? Education says 'general learning disability', health says 'intellectual disability', and self-advocacy organisations favour person-first. Which did I use and did I decide or default?
▸  ON THE NUMBER — Did I state an IQ score where a description would have done the same work? Numbers get repeated out of context for years. Was it necessary?
▸  ON ADAPTIVE FUNCTIONING — Did I give it equal weight to the cognitive assessment, or did I treat it as the supporting document? Current criteria determine severity by adaptive functioning, not IQ. Did my report reflect that?
▸  ON THE FUTURE QUESTION — When the parent asked what this means for adulthood, what did I actually say? Did I stay within what is knowable, or did I reassure beyond the evidence?
▸  ON THE TEACHER CONVERSATION — Did I explain the difference between general and specific learning difficulty clearly enough that they could explain it to someone else? That confusion is the most common one in schools.
▸  ON MY OWN ASSUMPTIONS about what this child's life will be like. Name them. They shape what you recommend.
▸  WHAT GOOD LOOKS LIKE: 'I realised afterwards that I had described her almost entirely through the cognitive assessment, and the adaptive profile — which is where her actual strengths were — got two lines. I have rewritten the summary to lead with what she can do independently.'
▸  WHAT POOR LOOKS LIKE: 'The assessment confirmed a mild general learning disability and recommendations were made.' — no reflection, no register, nothing about how it was received.</t>
        </is>
      </c>
      <c r="T24" s="207" t="inlineStr">
        <is>
          <t>WHAT TO DO NEXT
▸  Proceed to FORMULATION using a named framework — Monsen, Interactive Factors, COMOIRA or Carr.
▸  If a learning need may be driving the presentation, proceed to attainment assessment before concluding.
▸  If risk or safeguarding emerged, none of the above — follow the protocol and tell your supervisor the same day.
▸  If the referral question is not answered by what you found, go back and renegotiate it.</t>
        </is>
      </c>
      <c r="U24" s="207" t="inlineStr">
        <is>
          <t>WHERE THE EVIDENCE GOES
▸  Psychological report
▸  Appendix 5 entry tagged 1. Assessment
▸  Appendix 7 if observed
▸  Table 3 — Early Years / Pre-School
▸  Log sheet — tag the referral area and the competency</t>
        </is>
      </c>
      <c r="V24" s="207" t="inlineStr">
        <is>
          <t>CITATIONS
▸  American Psychiatric Association (2022). DSM-5-TR — Intellectual Developmental Disorder.
▸  Tassé, M. J., et al. (2012). The construct of adaptive behavior: Its conceptualization, measurement, and use. American Journal on Intellectual and Developmental Disabilities, 117(4), 291–303.
▸  Schalock, R. L., et al. (2021). Intellectual Disability: Definition, Diagnosis, Classification, and Systems of Supports (12th ed.). AAIDD.
▸  NCSE (Ireland) — policy advice and guidance on students with general learning disabilities.
▸  NCCA — Level 1 and Level 2 Learning Programmes.
▸  Burgess, A., et al. (2024). Clinical utility and psychometric properties of tools for early detection of developmental concerns. DMCN.</t>
        </is>
      </c>
    </row>
    <row r="25" ht="169.5" customHeight="1" s="128">
      <c r="A25" s="208" t="inlineStr">
        <is>
          <t>CO-OCCURRING</t>
        </is>
      </c>
      <c r="B25" s="208" t="inlineStr">
        <is>
          <t>1. Assessment</t>
        </is>
      </c>
      <c r="C25" s="171" t="inlineStr">
        <is>
          <t>Early Years / Pre-School (0–5 years)</t>
        </is>
      </c>
      <c r="D25" s="208" t="inlineStr">
        <is>
          <t>CO-OCCURS WITH GENERAL LEARNING DISABILITY (GLD)</t>
        </is>
      </c>
      <c r="E25" s="209" t="inlineStr">
        <is>
          <t>MENTAL HEALTH DIFFICULTY</t>
        </is>
      </c>
      <c r="F25" s="208" t="inlineStr">
        <is>
          <t>see its own entry</t>
        </is>
      </c>
      <c r="G25" s="208" t="inlineStr">
        <is>
          <t>YES — assess separately</t>
        </is>
      </c>
      <c r="H25" s="171" t="inlineStr">
        <is>
          <t>WHERE THIS SITS
▸  Sits under 1. Assessment, alongside General Learning Disability (GLD).
▸  NEPS category: 1. LEARNING (1.3 Comprehension and general ability)</t>
        </is>
      </c>
      <c r="I25" s="171" t="inlineStr">
        <is>
          <t>HOW OFTEN IT CO-OCCURS
▸  substantially elevated across all conditions.</t>
        </is>
      </c>
      <c r="J25" s="171" t="inlineStr">
        <is>
          <t>HOW IT PRESENTS WHEN IT CO-OCCURS
▸  behaviour change. Diagnostic overshadowing is severe here; distress is read as part of the disability and goes untreated. This is the single most important co-occurrence to hold in mind.</t>
        </is>
      </c>
      <c r="K25" s="171" t="inlineStr">
        <is>
          <t>THE RISK
▸  Do not assume the primary diagnosis explains this.
▸  Write down before you start what the primary diagnosis does NOT explain, then assess that.
▸  Diagnostic overshadowing is the single most common error in co-occurring presentations.</t>
        </is>
      </c>
      <c r="L25" s="171" t="inlineStr">
        <is>
          <t>—</t>
        </is>
      </c>
      <c r="M25" s="171" t="inlineStr">
        <is>
          <t>—</t>
        </is>
      </c>
      <c r="N25" s="171" t="inlineStr">
        <is>
          <t>—</t>
        </is>
      </c>
      <c r="O25" s="171" t="inlineStr">
        <is>
          <t>ASSESS
▸  Assess this separately, with its own measures.
▸  Build the case for each condition independently rather than letting evidence for one carry the other.</t>
        </is>
      </c>
      <c r="P25" s="171" t="inlineStr">
        <is>
          <t>DO
▸  State in the report what would be needed to establish this second presentation.
▸  That is often a referral rather than a conclusion you can reach yourself.</t>
        </is>
      </c>
      <c r="Q25" s="171" t="inlineStr">
        <is>
          <t>—</t>
        </is>
      </c>
      <c r="R25" s="171" t="inlineStr">
        <is>
          <t>—</t>
        </is>
      </c>
      <c r="S25" s="171" t="inlineStr">
        <is>
          <t>YOUR PRACTICE
▸  Bring it to supervision: for each child on my caseload with this diagnosis, what has NOT been assessed because the diagnosis was already there?</t>
        </is>
      </c>
      <c r="T25" s="171" t="inlineStr">
        <is>
          <t>WHAT TO DO NEXT
▸  Assess separately, then refer if the threshold is met.</t>
        </is>
      </c>
      <c r="U25" s="171" t="inlineStr">
        <is>
          <t>WHERE THE EVIDENCE GOES
▸  Psychological report — state the co-occurrence and what it changes.</t>
        </is>
      </c>
      <c r="V25" s="171" t="inlineStr">
        <is>
          <t>—</t>
        </is>
      </c>
    </row>
    <row r="26" ht="169.5" customHeight="1" s="128">
      <c r="A26" s="208" t="inlineStr">
        <is>
          <t>CO-OCCURRING</t>
        </is>
      </c>
      <c r="B26" s="208" t="inlineStr">
        <is>
          <t>1. Assessment</t>
        </is>
      </c>
      <c r="C26" s="171" t="inlineStr">
        <is>
          <t>Early Years / Pre-School (0–5 years)</t>
        </is>
      </c>
      <c r="D26" s="208" t="inlineStr">
        <is>
          <t>CO-OCCURS WITH GENERAL LEARNING DISABILITY (GLD)</t>
        </is>
      </c>
      <c r="E26" s="209" t="inlineStr">
        <is>
          <t>AUTISM</t>
        </is>
      </c>
      <c r="F26" s="208" t="inlineStr">
        <is>
          <t>see its own entry</t>
        </is>
      </c>
      <c r="G26" s="208" t="inlineStr">
        <is>
          <t>YES — assess separately</t>
        </is>
      </c>
      <c r="H26" s="171" t="inlineStr">
        <is>
          <t>WHERE THIS SITS
▸  Sits under 1. Assessment, alongside General Learning Disability (GLD).
▸  NEPS category: 1. LEARNING (1.3 Comprehension and general ability)</t>
        </is>
      </c>
      <c r="I26" s="171" t="inlineStr">
        <is>
          <t>HOW OFTEN IT CO-OCCURS
▸  around a third of people with ID.</t>
        </is>
      </c>
      <c r="J26" s="171" t="inlineStr">
        <is>
          <t>HOW IT PRESENTS WHEN IT CO-OCCURS
▸  social communication differences on top of the learning profile. Assess separately.</t>
        </is>
      </c>
      <c r="K26" s="171" t="inlineStr">
        <is>
          <t>THE RISK
▸  Do not assume the primary diagnosis explains this.
▸  Write down before you start what the primary diagnosis does NOT explain, then assess that.
▸  Diagnostic overshadowing is the single most common error in co-occurring presentations.</t>
        </is>
      </c>
      <c r="L26" s="171" t="inlineStr">
        <is>
          <t>—</t>
        </is>
      </c>
      <c r="M26" s="171" t="inlineStr">
        <is>
          <t>—</t>
        </is>
      </c>
      <c r="N26" s="171" t="inlineStr">
        <is>
          <t>—</t>
        </is>
      </c>
      <c r="O26" s="171" t="inlineStr">
        <is>
          <t>ASSESS
▸  Assess this separately, with its own measures.
▸  Build the case for each condition independently rather than letting evidence for one carry the other.</t>
        </is>
      </c>
      <c r="P26" s="171" t="inlineStr">
        <is>
          <t>DO
▸  State in the report what would be needed to establish this second presentation.
▸  That is often a referral rather than a conclusion you can reach yourself.</t>
        </is>
      </c>
      <c r="Q26" s="171" t="inlineStr">
        <is>
          <t>—</t>
        </is>
      </c>
      <c r="R26" s="171" t="inlineStr">
        <is>
          <t>—</t>
        </is>
      </c>
      <c r="S26" s="171" t="inlineStr">
        <is>
          <t>YOUR PRACTICE
▸  Bring it to supervision: for each child on my caseload with this diagnosis, what has NOT been assessed because the diagnosis was already there?</t>
        </is>
      </c>
      <c r="T26" s="171" t="inlineStr">
        <is>
          <t>WHAT TO DO NEXT
▸  Assess separately, then refer if the threshold is met.</t>
        </is>
      </c>
      <c r="U26" s="171" t="inlineStr">
        <is>
          <t>WHERE THE EVIDENCE GOES
▸  Psychological report — state the co-occurrence and what it changes.</t>
        </is>
      </c>
      <c r="V26" s="171" t="inlineStr">
        <is>
          <t>—</t>
        </is>
      </c>
    </row>
    <row r="27" ht="169.5" customHeight="1" s="128">
      <c r="A27" s="208" t="inlineStr">
        <is>
          <t>CO-OCCURRING</t>
        </is>
      </c>
      <c r="B27" s="208" t="inlineStr">
        <is>
          <t>1. Assessment</t>
        </is>
      </c>
      <c r="C27" s="171" t="inlineStr">
        <is>
          <t>Early Years / Pre-School (0–5 years)</t>
        </is>
      </c>
      <c r="D27" s="208" t="inlineStr">
        <is>
          <t>CO-OCCURS WITH GENERAL LEARNING DISABILITY (GLD)</t>
        </is>
      </c>
      <c r="E27" s="209" t="inlineStr">
        <is>
          <t>ADHD</t>
        </is>
      </c>
      <c r="F27" s="208" t="inlineStr">
        <is>
          <t>see its own entry</t>
        </is>
      </c>
      <c r="G27" s="208" t="inlineStr">
        <is>
          <t>YES — assess separately</t>
        </is>
      </c>
      <c r="H27" s="171" t="inlineStr">
        <is>
          <t>WHERE THIS SITS
▸  Sits under 1. Assessment, alongside General Learning Disability (GLD).
▸  NEPS category: 1. LEARNING (1.3 Comprehension and general ability)</t>
        </is>
      </c>
      <c r="I27" s="171" t="inlineStr">
        <is>
          <t>HOW OFTEN IT CO-OCCURS
▸  elevated.</t>
        </is>
      </c>
      <c r="J27" s="171" t="inlineStr">
        <is>
          <t>HOW IT PRESENTS WHEN IT CO-OCCURS
▸  attention difficulty that may simply be work pitched above the child's level. Rule that out first.</t>
        </is>
      </c>
      <c r="K27" s="171" t="inlineStr">
        <is>
          <t>THE RISK
▸  Do not assume the primary diagnosis explains this.
▸  Write down before you start what the primary diagnosis does NOT explain, then assess that.
▸  Diagnostic overshadowing is the single most common error in co-occurring presentations.</t>
        </is>
      </c>
      <c r="L27" s="171" t="inlineStr">
        <is>
          <t>—</t>
        </is>
      </c>
      <c r="M27" s="171" t="inlineStr">
        <is>
          <t>—</t>
        </is>
      </c>
      <c r="N27" s="171" t="inlineStr">
        <is>
          <t>—</t>
        </is>
      </c>
      <c r="O27" s="171" t="inlineStr">
        <is>
          <t>ASSESS
▸  Assess this separately, with its own measures.
▸  Build the case for each condition independently rather than letting evidence for one carry the other.</t>
        </is>
      </c>
      <c r="P27" s="171" t="inlineStr">
        <is>
          <t>DO
▸  State in the report what would be needed to establish this second presentation.
▸  That is often a referral rather than a conclusion you can reach yourself.</t>
        </is>
      </c>
      <c r="Q27" s="171" t="inlineStr">
        <is>
          <t>—</t>
        </is>
      </c>
      <c r="R27" s="171" t="inlineStr">
        <is>
          <t>—</t>
        </is>
      </c>
      <c r="S27" s="171" t="inlineStr">
        <is>
          <t>YOUR PRACTICE
▸  Bring it to supervision: for each child on my caseload with this diagnosis, what has NOT been assessed because the diagnosis was already there?</t>
        </is>
      </c>
      <c r="T27" s="171" t="inlineStr">
        <is>
          <t>WHAT TO DO NEXT
▸  Assess separately, then refer if the threshold is met.</t>
        </is>
      </c>
      <c r="U27" s="171" t="inlineStr">
        <is>
          <t>WHERE THE EVIDENCE GOES
▸  Psychological report — state the co-occurrence and what it changes.</t>
        </is>
      </c>
      <c r="V27" s="171" t="inlineStr">
        <is>
          <t>—</t>
        </is>
      </c>
    </row>
    <row r="28" ht="169.5" customHeight="1" s="128">
      <c r="A28" s="208" t="inlineStr">
        <is>
          <t>CO-OCCURRING</t>
        </is>
      </c>
      <c r="B28" s="208" t="inlineStr">
        <is>
          <t>1. Assessment</t>
        </is>
      </c>
      <c r="C28" s="171" t="inlineStr">
        <is>
          <t>Early Years / Pre-School (0–5 years)</t>
        </is>
      </c>
      <c r="D28" s="208" t="inlineStr">
        <is>
          <t>CO-OCCURS WITH GENERAL LEARNING DISABILITY (GLD)</t>
        </is>
      </c>
      <c r="E28" s="209" t="inlineStr">
        <is>
          <t>EPILEPSY</t>
        </is>
      </c>
      <c r="F28" s="208" t="inlineStr">
        <is>
          <t>see its own entry</t>
        </is>
      </c>
      <c r="G28" s="208" t="inlineStr">
        <is>
          <t>YES — assess separately</t>
        </is>
      </c>
      <c r="H28" s="171" t="inlineStr">
        <is>
          <t>WHERE THIS SITS
▸  Sits under 1. Assessment, alongside General Learning Disability (GLD).
▸  NEPS category: 1. LEARNING (1.3 Comprehension and general ability)</t>
        </is>
      </c>
      <c r="I28" s="171" t="inlineStr">
        <is>
          <t>HOW OFTEN IT CO-OCCURS
▸  Rate not stated in source — check before quoting.</t>
        </is>
      </c>
      <c r="J28" s="171" t="inlineStr">
        <is>
          <t>HOW IT PRESENTS WHEN IT CO-OCCURS
▸  strongly elevated, particularly at moderate to profound levels. Medical; note and refer.</t>
        </is>
      </c>
      <c r="K28" s="171" t="inlineStr">
        <is>
          <t>THE RISK
▸  Do not assume the primary diagnosis explains this.
▸  Write down before you start what the primary diagnosis does NOT explain, then assess that.
▸  Diagnostic overshadowing is the single most common error in co-occurring presentations.</t>
        </is>
      </c>
      <c r="L28" s="171" t="inlineStr">
        <is>
          <t>—</t>
        </is>
      </c>
      <c r="M28" s="171" t="inlineStr">
        <is>
          <t>—</t>
        </is>
      </c>
      <c r="N28" s="171" t="inlineStr">
        <is>
          <t>—</t>
        </is>
      </c>
      <c r="O28" s="171" t="inlineStr">
        <is>
          <t>ASSESS
▸  Assess this separately, with its own measures.
▸  Build the case for each condition independently rather than letting evidence for one carry the other.</t>
        </is>
      </c>
      <c r="P28" s="171" t="inlineStr">
        <is>
          <t>DO
▸  State in the report what would be needed to establish this second presentation.
▸  That is often a referral rather than a conclusion you can reach yourself.</t>
        </is>
      </c>
      <c r="Q28" s="171" t="inlineStr">
        <is>
          <t>—</t>
        </is>
      </c>
      <c r="R28" s="171" t="inlineStr">
        <is>
          <t>—</t>
        </is>
      </c>
      <c r="S28" s="171" t="inlineStr">
        <is>
          <t>YOUR PRACTICE
▸  Bring it to supervision: for each child on my caseload with this diagnosis, what has NOT been assessed because the diagnosis was already there?</t>
        </is>
      </c>
      <c r="T28" s="171" t="inlineStr">
        <is>
          <t>WHAT TO DO NEXT
▸  Assess separately, then refer if the threshold is met.</t>
        </is>
      </c>
      <c r="U28" s="171" t="inlineStr">
        <is>
          <t>WHERE THE EVIDENCE GOES
▸  Psychological report — state the co-occurrence and what it changes.</t>
        </is>
      </c>
      <c r="V28" s="171" t="inlineStr">
        <is>
          <t>—</t>
        </is>
      </c>
    </row>
    <row r="29" ht="169.5" customHeight="1" s="128">
      <c r="A29" s="208" t="inlineStr">
        <is>
          <t>CO-OCCURRING</t>
        </is>
      </c>
      <c r="B29" s="208" t="inlineStr">
        <is>
          <t>1. Assessment</t>
        </is>
      </c>
      <c r="C29" s="171" t="inlineStr">
        <is>
          <t>Early Years / Pre-School (0–5 years)</t>
        </is>
      </c>
      <c r="D29" s="208" t="inlineStr">
        <is>
          <t>CO-OCCURS WITH GENERAL LEARNING DISABILITY (GLD)</t>
        </is>
      </c>
      <c r="E29" s="209" t="inlineStr">
        <is>
          <t>COMMUNICATION DIFFICULTY</t>
        </is>
      </c>
      <c r="F29" s="208" t="inlineStr">
        <is>
          <t>see its own entry</t>
        </is>
      </c>
      <c r="G29" s="208" t="inlineStr">
        <is>
          <t>YES — assess separately</t>
        </is>
      </c>
      <c r="H29" s="171" t="inlineStr">
        <is>
          <t>WHERE THIS SITS
▸  Sits under 1. Assessment, alongside General Learning Disability (GLD).
▸  NEPS category: 1. LEARNING (1.3 Comprehension and general ability)</t>
        </is>
      </c>
      <c r="I29" s="171" t="inlineStr">
        <is>
          <t>HOW OFTEN IT CO-OCCURS
▸  Rate not stated in source — check before quoting.</t>
        </is>
      </c>
      <c r="J29" s="171" t="inlineStr">
        <is>
          <t>HOW IT PRESENTS WHEN IT CO-OCCURS
▸  very common and often the real barrier. SLT involvement is usually more useful than more cognitive assessment.</t>
        </is>
      </c>
      <c r="K29" s="171" t="inlineStr">
        <is>
          <t>THE RISK
▸  Do not assume the primary diagnosis explains this.
▸  Write down before you start what the primary diagnosis does NOT explain, then assess that.
▸  Diagnostic overshadowing is the single most common error in co-occurring presentations.</t>
        </is>
      </c>
      <c r="L29" s="171" t="inlineStr">
        <is>
          <t>—</t>
        </is>
      </c>
      <c r="M29" s="171" t="inlineStr">
        <is>
          <t>—</t>
        </is>
      </c>
      <c r="N29" s="171" t="inlineStr">
        <is>
          <t>—</t>
        </is>
      </c>
      <c r="O29" s="171" t="inlineStr">
        <is>
          <t>ASSESS
▸  Assess this separately, with its own measures.
▸  Build the case for each condition independently rather than letting evidence for one carry the other.</t>
        </is>
      </c>
      <c r="P29" s="171" t="inlineStr">
        <is>
          <t>DO
▸  State in the report what would be needed to establish this second presentation.
▸  That is often a referral rather than a conclusion you can reach yourself.</t>
        </is>
      </c>
      <c r="Q29" s="171" t="inlineStr">
        <is>
          <t>—</t>
        </is>
      </c>
      <c r="R29" s="171" t="inlineStr">
        <is>
          <t>—</t>
        </is>
      </c>
      <c r="S29" s="171" t="inlineStr">
        <is>
          <t>YOUR PRACTICE
▸  Bring it to supervision: for each child on my caseload with this diagnosis, what has NOT been assessed because the diagnosis was already there?</t>
        </is>
      </c>
      <c r="T29" s="171" t="inlineStr">
        <is>
          <t>WHAT TO DO NEXT
▸  Assess separately, then refer if the threshold is met.</t>
        </is>
      </c>
      <c r="U29" s="171" t="inlineStr">
        <is>
          <t>WHERE THE EVIDENCE GOES
▸  Psychological report — state the co-occurrence and what it changes.</t>
        </is>
      </c>
      <c r="V29" s="171" t="inlineStr">
        <is>
          <t>—</t>
        </is>
      </c>
    </row>
    <row r="30" ht="169.5" customHeight="1" s="128">
      <c r="A30" s="208" t="inlineStr">
        <is>
          <t>CO-OCCURRING</t>
        </is>
      </c>
      <c r="B30" s="208" t="inlineStr">
        <is>
          <t>1. Assessment</t>
        </is>
      </c>
      <c r="C30" s="171" t="inlineStr">
        <is>
          <t>Early Years / Pre-School (0–5 years)</t>
        </is>
      </c>
      <c r="D30" s="208" t="inlineStr">
        <is>
          <t>CO-OCCURS WITH GENERAL LEARNING DISABILITY (GLD)</t>
        </is>
      </c>
      <c r="E30" s="209" t="inlineStr">
        <is>
          <t>PHYSICAL AND SENSORY IMPAIRMENT</t>
        </is>
      </c>
      <c r="F30" s="208" t="inlineStr">
        <is>
          <t>see its own entry</t>
        </is>
      </c>
      <c r="G30" s="208" t="inlineStr">
        <is>
          <t>YES — assess separately</t>
        </is>
      </c>
      <c r="H30" s="171" t="inlineStr">
        <is>
          <t>WHERE THIS SITS
▸  Sits under 1. Assessment, alongside General Learning Disability (GLD).
▸  NEPS category: 1. LEARNING (1.3 Comprehension and general ability)</t>
        </is>
      </c>
      <c r="I30" s="171" t="inlineStr">
        <is>
          <t>HOW OFTEN IT CO-OCCURS
▸  Rate not stated in source — check before quoting.</t>
        </is>
      </c>
      <c r="J30" s="171" t="inlineStr">
        <is>
          <t>HOW IT PRESENTS WHEN IT CO-OCCURS
▸  elevated, particularly in genetic syndromes. Always check vision and hearing before attributing anything to cognition.</t>
        </is>
      </c>
      <c r="K30" s="171" t="inlineStr">
        <is>
          <t>THE RISK
▸  Do not assume the primary diagnosis explains this.
▸  Write down before you start what the primary diagnosis does NOT explain, then assess that.
▸  Diagnostic overshadowing is the single most common error in co-occurring presentations.</t>
        </is>
      </c>
      <c r="L30" s="171" t="inlineStr">
        <is>
          <t>—</t>
        </is>
      </c>
      <c r="M30" s="171" t="inlineStr">
        <is>
          <t>—</t>
        </is>
      </c>
      <c r="N30" s="171" t="inlineStr">
        <is>
          <t>—</t>
        </is>
      </c>
      <c r="O30" s="171" t="inlineStr">
        <is>
          <t>ASSESS
▸  Assess this separately, with its own measures.
▸  Build the case for each condition independently rather than letting evidence for one carry the other.</t>
        </is>
      </c>
      <c r="P30" s="171" t="inlineStr">
        <is>
          <t>DO
▸  State in the report what would be needed to establish this second presentation.
▸  That is often a referral rather than a conclusion you can reach yourself.</t>
        </is>
      </c>
      <c r="Q30" s="171" t="inlineStr">
        <is>
          <t>—</t>
        </is>
      </c>
      <c r="R30" s="171" t="inlineStr">
        <is>
          <t>—</t>
        </is>
      </c>
      <c r="S30" s="171" t="inlineStr">
        <is>
          <t>YOUR PRACTICE
▸  Bring it to supervision: for each child on my caseload with this diagnosis, what has NOT been assessed because the diagnosis was already there?</t>
        </is>
      </c>
      <c r="T30" s="171" t="inlineStr">
        <is>
          <t>WHAT TO DO NEXT
▸  Assess separately, then refer if the threshold is met.</t>
        </is>
      </c>
      <c r="U30" s="171" t="inlineStr">
        <is>
          <t>WHERE THE EVIDENCE GOES
▸  Psychological report — state the co-occurrence and what it changes.</t>
        </is>
      </c>
      <c r="V30" s="171" t="inlineStr">
        <is>
          <t>—</t>
        </is>
      </c>
    </row>
    <row r="31" ht="169.5" customHeight="1" s="128">
      <c r="A31" s="208" t="inlineStr">
        <is>
          <t>CO-OCCURRING</t>
        </is>
      </c>
      <c r="B31" s="208" t="inlineStr">
        <is>
          <t>1. Assessment</t>
        </is>
      </c>
      <c r="C31" s="171" t="inlineStr">
        <is>
          <t>Early Years / Pre-School (0–5 years)</t>
        </is>
      </c>
      <c r="D31" s="208" t="inlineStr">
        <is>
          <t>CO-OCCURS WITH GENERAL LEARNING DISABILITY (GLD)</t>
        </is>
      </c>
      <c r="E31" s="209" t="inlineStr">
        <is>
          <t>SPECIFIC LEARNING DIFFICULTY</t>
        </is>
      </c>
      <c r="F31" s="208" t="inlineStr">
        <is>
          <t>see its own entry</t>
        </is>
      </c>
      <c r="G31" s="208" t="inlineStr">
        <is>
          <t>YES — assess separately</t>
        </is>
      </c>
      <c r="H31" s="171" t="inlineStr">
        <is>
          <t>WHERE THIS SITS
▸  Sits under 1. Assessment, alongside General Learning Disability (GLD).
▸  NEPS category: 1. LEARNING (1.3 Comprehension and general ability)</t>
        </is>
      </c>
      <c r="I31" s="171" t="inlineStr">
        <is>
          <t>HOW OFTEN IT CO-OCCURS
▸  Rate not stated in source — check before quoting.</t>
        </is>
      </c>
      <c r="J31" s="171" t="inlineStr">
        <is>
          <t>HOW IT PRESENTS WHEN IT CO-OCCURS
▸  can co-occur. A child with GLD whose reading is far below even their own cognitive level has something additional going on.</t>
        </is>
      </c>
      <c r="K31" s="171" t="inlineStr">
        <is>
          <t>THE RISK
▸  Do not assume the primary diagnosis explains this.
▸  Write down before you start what the primary diagnosis does NOT explain, then assess that.
▸  Diagnostic overshadowing is the single most common error in co-occurring presentations.</t>
        </is>
      </c>
      <c r="L31" s="171" t="inlineStr">
        <is>
          <t>—</t>
        </is>
      </c>
      <c r="M31" s="171" t="inlineStr">
        <is>
          <t>—</t>
        </is>
      </c>
      <c r="N31" s="171" t="inlineStr">
        <is>
          <t>—</t>
        </is>
      </c>
      <c r="O31" s="171" t="inlineStr">
        <is>
          <t>ASSESS
▸  Assess this separately, with its own measures.
▸  Build the case for each condition independently rather than letting evidence for one carry the other.</t>
        </is>
      </c>
      <c r="P31" s="171" t="inlineStr">
        <is>
          <t>DO
▸  State in the report what would be needed to establish this second presentation.
▸  That is often a referral rather than a conclusion you can reach yourself.</t>
        </is>
      </c>
      <c r="Q31" s="171" t="inlineStr">
        <is>
          <t>—</t>
        </is>
      </c>
      <c r="R31" s="171" t="inlineStr">
        <is>
          <t>—</t>
        </is>
      </c>
      <c r="S31" s="171" t="inlineStr">
        <is>
          <t>YOUR PRACTICE
▸  Bring it to supervision: for each child on my caseload with this diagnosis, what has NOT been assessed because the diagnosis was already there?</t>
        </is>
      </c>
      <c r="T31" s="171" t="inlineStr">
        <is>
          <t>WHAT TO DO NEXT
▸  Assess separately, then refer if the threshold is met.</t>
        </is>
      </c>
      <c r="U31" s="171" t="inlineStr">
        <is>
          <t>WHERE THE EVIDENCE GOES
▸  Psychological report — state the co-occurrence and what it changes.</t>
        </is>
      </c>
      <c r="V31" s="171" t="inlineStr">
        <is>
          <t>—</t>
        </is>
      </c>
    </row>
    <row r="32" ht="169.5" customHeight="1" s="128">
      <c r="A32" s="208" t="inlineStr">
        <is>
          <t>CO-OCCURRING</t>
        </is>
      </c>
      <c r="B32" s="208" t="inlineStr">
        <is>
          <t>1. Assessment</t>
        </is>
      </c>
      <c r="C32" s="171" t="inlineStr">
        <is>
          <t>Early Years / Pre-School (0–5 years)</t>
        </is>
      </c>
      <c r="D32" s="208" t="inlineStr">
        <is>
          <t>CO-OCCURS WITH GENERAL LEARNING DISABILITY (GLD)</t>
        </is>
      </c>
      <c r="E32" s="209" t="inlineStr">
        <is>
          <t>SLEEP AND FEEDING DIFFICULTIES</t>
        </is>
      </c>
      <c r="F32" s="208" t="inlineStr">
        <is>
          <t>see its own entry</t>
        </is>
      </c>
      <c r="G32" s="208" t="inlineStr">
        <is>
          <t>YES — assess separately</t>
        </is>
      </c>
      <c r="H32" s="171" t="inlineStr">
        <is>
          <t>WHERE THIS SITS
▸  Sits under 1. Assessment, alongside General Learning Disability (GLD).
▸  NEPS category: 1. LEARNING (1.3 Comprehension and general ability)</t>
        </is>
      </c>
      <c r="I32" s="171" t="inlineStr">
        <is>
          <t>HOW OFTEN IT CO-OCCURS
▸  Rate not stated in source — check before quoting.</t>
        </is>
      </c>
      <c r="J32" s="171" t="inlineStr">
        <is>
          <t>HOW IT PRESENTS WHEN IT CO-OCCURS
▸  common, under-asked-about, and they change the whole presentation.</t>
        </is>
      </c>
      <c r="K32" s="171" t="inlineStr">
        <is>
          <t>THE RISK
▸  Do not assume the primary diagnosis explains this.
▸  Write down before you start what the primary diagnosis does NOT explain, then assess that.
▸  Diagnostic overshadowing is the single most common error in co-occurring presentations.</t>
        </is>
      </c>
      <c r="L32" s="171" t="inlineStr">
        <is>
          <t>—</t>
        </is>
      </c>
      <c r="M32" s="171" t="inlineStr">
        <is>
          <t>—</t>
        </is>
      </c>
      <c r="N32" s="171" t="inlineStr">
        <is>
          <t>—</t>
        </is>
      </c>
      <c r="O32" s="171" t="inlineStr">
        <is>
          <t>ASSESS
▸  Assess this separately, with its own measures.
▸  Build the case for each condition independently rather than letting evidence for one carry the other.</t>
        </is>
      </c>
      <c r="P32" s="171" t="inlineStr">
        <is>
          <t>DO
▸  State in the report what would be needed to establish this second presentation.
▸  That is often a referral rather than a conclusion you can reach yourself.</t>
        </is>
      </c>
      <c r="Q32" s="171" t="inlineStr">
        <is>
          <t>—</t>
        </is>
      </c>
      <c r="R32" s="171" t="inlineStr">
        <is>
          <t>—</t>
        </is>
      </c>
      <c r="S32" s="171" t="inlineStr">
        <is>
          <t>YOUR PRACTICE
▸  Bring it to supervision: for each child on my caseload with this diagnosis, what has NOT been assessed because the diagnosis was already there?</t>
        </is>
      </c>
      <c r="T32" s="171" t="inlineStr">
        <is>
          <t>WHAT TO DO NEXT
▸  Assess separately, then refer if the threshold is met.</t>
        </is>
      </c>
      <c r="U32" s="171" t="inlineStr">
        <is>
          <t>WHERE THE EVIDENCE GOES
▸  Psychological report — state the co-occurrence and what it changes.</t>
        </is>
      </c>
      <c r="V32" s="171" t="inlineStr">
        <is>
          <t>—</t>
        </is>
      </c>
    </row>
    <row r="33" ht="408.75" customHeight="1" s="128">
      <c r="A33" s="210" t="inlineStr">
        <is>
          <t>PRESENTATION</t>
        </is>
      </c>
      <c r="B33" s="210" t="inlineStr">
        <is>
          <t>1. Assessment</t>
        </is>
      </c>
      <c r="C33" s="170" t="inlineStr">
        <is>
          <t>Early Years / Pre-School (0–5 years)</t>
        </is>
      </c>
      <c r="D33" s="210" t="inlineStr">
        <is>
          <t>SYMPTOM-ONLY</t>
        </is>
      </c>
      <c r="E33" s="211" t="inlineStr">
        <is>
          <t>Presentations related to General Learning Disability (GLD) — no diagnosis</t>
        </is>
      </c>
      <c r="F33" s="210" t="inlineStr">
        <is>
          <t>No DSM code</t>
        </is>
      </c>
      <c r="G33" s="210" t="inlineStr">
        <is>
          <t>YES — these present at every band</t>
        </is>
      </c>
      <c r="H33" s="170" t="inlineStr">
        <is>
          <t>WHERE THIS SITS
▸  NEPS category: as above
▸  UCD competency: 1. Assessment
▸  CORU: 3.1 · 3.2 · 5.28 · 5.29 · 5.30 · 5.31 · 5.32
▸  PSI: 2.2.2 · 2.3.1 · 1.3.1 · 1.2.8</t>
        </is>
      </c>
      <c r="I33" s="170" t="inlineStr">
        <is>
          <t>THE PRESENTATIONS — no diagnosis needed, and most referrals look like this
▸  Borderline intellectual functioning
▸  Underachievement not meeting SLD criteria
▸  Curriculum access at the current level
▸  Interrupted or missed schooling
▸  Twice exceptional — high ability plus a specific difficulty</t>
        </is>
      </c>
      <c r="J33" s="170" t="inlineStr">
        <is>
          <t>HOW COMMON
▸  No prevalence figures exist for these — they are descriptions, not categories.
▸  They are more common than the diagnosis they sit beside.</t>
        </is>
      </c>
      <c r="K33" s="170" t="inlineStr">
        <is>
          <t>THE PATHWAY
▸  No diagnostic pathway. Nobody diagnoses these.
▸  You describe them, formulate around them, and recommend. That is the whole pathway.
▸  If a parent asks who diagnoses it: nobody. Say that plainly, and say it does not make the difficulty less real or less workable.</t>
        </is>
      </c>
      <c r="L33" s="170" t="inlineStr">
        <is>
          <t>WHAT YOU SEE
▸  These are what the referral form actually describes in Section 5.
▸  Look for the pattern across settings rather than a threshold.</t>
        </is>
      </c>
      <c r="M33" s="170" t="inlineStr">
        <is>
          <t>RED FLAGS
▸  Escalating distress, withdrawal or risk indicators — follow the protocol regardless of whether a diagnosis exists.
▸  Do not let the absence of a diagnosis delay a safeguarding response.</t>
        </is>
      </c>
      <c r="N33" s="170" t="inlineStr">
        <is>
          <t>WHAT ELSE COULD IT BE
▸  Each of these can be the visible edge of the diagnosed condition above.
▸  Each can also occur entirely on its own.
▸  Test the sequence: which came first?</t>
        </is>
      </c>
      <c r="O33" s="170" t="inlineStr">
        <is>
          <t>ASSESS
▸  Observation with a comparison peer.
▸  Teacher and parent interview.
▸  Pupil interview — their account is the evidence here.
▸  Rating scales describe perception, not the presentation itself.</t>
        </is>
      </c>
      <c r="P33" s="170" t="inlineStr">
        <is>
          <t>DO
▸  Name the presentation precisely rather than reaching for a label.
▸  Recommend at the level of the behaviour, not the hypothetical diagnosis.
▸  Specify what, who, how often, for how long, and how it will be measured.
▸  Name the Continuum of Support level.</t>
        </is>
      </c>
      <c r="Q33" s="170" t="inlineStr">
        <is>
          <t>EXPLAIN
▸  To a parent: “There isn’t a diagnosis for this, and it’s still real and still workable. Here’s what we do.”
▸  To a teacher: describe the behaviour in countable terms, not in trait terms.
▸  To the child: ask what helps, and use their words in the report.</t>
        </is>
      </c>
      <c r="R33" s="170" t="inlineStr">
        <is>
          <t>CHILD’S VOICE AND QUESTIONS
▸  Talking Mats · Blob Tree · scaling on a drawn ladder · sentence completion · day mapping.
▸  Q: “So there’s nothing wrong with him?” A: “There’s a real difficulty and it doesn’t have a label. Labels help get resources; they don’t make a difficulty more or less real.”
▸  Q: “Should we get him assessed privately?” A: give the honest position on what a diagnosis would and would not change here.</t>
        </is>
      </c>
      <c r="S33" s="170" t="inlineStr">
        <is>
          <t>YOUR PRACTICE
▸  Bring a case where you were pulled toward a label the data did not support.
▸  Reflect: did I describe, or did I reach? Whose language did I use?</t>
        </is>
      </c>
      <c r="T33" s="170" t="inlineStr">
        <is>
          <t>WHAT TO DO NEXT
▸  Proceed to formulation. These belong at the behavioural level of the Interactive Factors Framework.
▸  Test whether an unmet learning need is underneath before concluding anything.</t>
        </is>
      </c>
      <c r="U33" s="170" t="inlineStr">
        <is>
          <t>WHERE THE EVIDENCE GOES
▸  Psychological report
▸  Appendix 5 entry
▸  Log sheet</t>
        </is>
      </c>
      <c r="V33" s="170" t="inlineStr">
        <is>
          <t>CITATIONS
▸  Frederickson &amp; Cline (2009)
▸  Monsen &amp; Frederickson (2008)
▸  NEPS Continuum of Support</t>
        </is>
      </c>
    </row>
    <row r="34" ht="60" customHeight="1" s="128">
      <c r="A34" s="178" t="inlineStr">
        <is>
          <t>CONDITION</t>
        </is>
      </c>
      <c r="B34" s="178" t="inlineStr">
        <is>
          <t>1. Assessment</t>
        </is>
      </c>
      <c r="C34" s="178" t="inlineStr">
        <is>
          <t>Early Years / Pre-School (0–5 years)</t>
        </is>
      </c>
      <c r="D34" s="178" t="inlineStr">
        <is>
          <t>Diagnosed</t>
        </is>
      </c>
      <c r="E34" s="212" t="inlineStr">
        <is>
          <t>Dyslexia / Specific Learning Disorder with impairment in reading</t>
        </is>
      </c>
      <c r="F34" s="178" t="inlineStr">
        <is>
          <t>DSM-5-TR Specific Learning Disorder, with impairment in reading</t>
        </is>
      </c>
      <c r="G34" s="178" t="inlineStr">
        <is>
          <t>N/A — cannot be identified at this age</t>
        </is>
      </c>
      <c r="H34" s="178" t="inlineStr">
        <is>
          <t>N/A at this age band.
Reading has not been taught. Assess precursors only: phonological awareness, rhyme, alliteration, letter-sound knowledge, family history.</t>
        </is>
      </c>
      <c r="I34" s="178" t="inlineStr">
        <is>
          <t>N/A</t>
        </is>
      </c>
      <c r="J34" s="178" t="inlineStr">
        <is>
          <t>N/A</t>
        </is>
      </c>
      <c r="K34" s="178" t="inlineStr">
        <is>
          <t>N/A</t>
        </is>
      </c>
      <c r="L34" s="178" t="inlineStr">
        <is>
          <t>N/A</t>
        </is>
      </c>
      <c r="M34" s="178" t="inlineStr">
        <is>
          <t>N/A</t>
        </is>
      </c>
      <c r="N34" s="178" t="inlineStr">
        <is>
          <t>N/A</t>
        </is>
      </c>
      <c r="O34" s="178" t="inlineStr">
        <is>
          <t>N/A</t>
        </is>
      </c>
      <c r="P34" s="178" t="inlineStr">
        <is>
          <t>N/A</t>
        </is>
      </c>
      <c r="Q34" s="178" t="inlineStr">
        <is>
          <t>N/A</t>
        </is>
      </c>
      <c r="R34" s="178" t="inlineStr">
        <is>
          <t>N/A</t>
        </is>
      </c>
      <c r="S34" s="178" t="inlineStr">
        <is>
          <t>N/A</t>
        </is>
      </c>
      <c r="T34" s="178" t="inlineStr">
        <is>
          <t>N/A</t>
        </is>
      </c>
      <c r="U34" s="178" t="inlineStr">
        <is>
          <t>N/A</t>
        </is>
      </c>
      <c r="V34" s="178" t="inlineStr">
        <is>
          <t>N/A</t>
        </is>
      </c>
    </row>
    <row r="35" ht="408.75" customHeight="1" s="128">
      <c r="A35" s="210" t="inlineStr">
        <is>
          <t>PRESENTATION</t>
        </is>
      </c>
      <c r="B35" s="210" t="inlineStr">
        <is>
          <t>1. Assessment</t>
        </is>
      </c>
      <c r="C35" s="170" t="inlineStr">
        <is>
          <t>Early Years / Pre-School (0–5 years)</t>
        </is>
      </c>
      <c r="D35" s="210" t="inlineStr">
        <is>
          <t>SYMPTOM-ONLY</t>
        </is>
      </c>
      <c r="E35" s="211" t="inlineStr">
        <is>
          <t>Presentations related to Dyslexia — no diagnosis</t>
        </is>
      </c>
      <c r="F35" s="210" t="inlineStr">
        <is>
          <t>No DSM code</t>
        </is>
      </c>
      <c r="G35" s="210" t="inlineStr">
        <is>
          <t>YES — these present at every band</t>
        </is>
      </c>
      <c r="H35" s="170" t="inlineStr">
        <is>
          <t>WHERE THIS SITS
▸  NEPS category: as above
▸  UCD competency: 1. Assessment
▸  CORU: 3.1 · 3.2 · 5.28 · 5.29 · 5.30 · 5.31 · 5.32
▸  PSI: 2.2.2 · 2.3.1 · 1.3.1 · 1.2.8</t>
        </is>
      </c>
      <c r="I35" s="170" t="inlineStr">
        <is>
          <t>THE PRESENTATIONS — no diagnosis needed, and most referrals look like this
▸  Literacy difficulty not meeting SLD criteria
▸  Reading stamina and avoidance of reading aloud
▸  Spelling as a barrier to written output
▸  Assistive technology not yet trialled
▸  Instruction history — what has actually been taught
▸  Glue ear history during the years phonics was taught</t>
        </is>
      </c>
      <c r="J35" s="170" t="inlineStr">
        <is>
          <t>HOW COMMON
▸  No prevalence figures exist for these — they are descriptions, not categories.
▸  They are more common than the diagnosis they sit beside.</t>
        </is>
      </c>
      <c r="K35" s="170" t="inlineStr">
        <is>
          <t>THE PATHWAY
▸  No diagnostic pathway. Nobody diagnoses these.
▸  You describe them, formulate around them, and recommend. That is the whole pathway.
▸  If a parent asks who diagnoses it: nobody. Say that plainly, and say it does not make the difficulty less real or less workable.</t>
        </is>
      </c>
      <c r="L35" s="170" t="inlineStr">
        <is>
          <t>WHAT YOU SEE
▸  These are what the referral form actually describes in Section 5.
▸  Look for the pattern across settings rather than a threshold.</t>
        </is>
      </c>
      <c r="M35" s="170" t="inlineStr">
        <is>
          <t>RED FLAGS
▸  Escalating distress, withdrawal or risk indicators — follow the protocol regardless of whether a diagnosis exists.
▸  Do not let the absence of a diagnosis delay a safeguarding response.</t>
        </is>
      </c>
      <c r="N35" s="170" t="inlineStr">
        <is>
          <t>WHAT ELSE COULD IT BE
▸  Each of these can be the visible edge of the diagnosed condition above.
▸  Each can also occur entirely on its own.
▸  Test the sequence: which came first?</t>
        </is>
      </c>
      <c r="O35" s="170" t="inlineStr">
        <is>
          <t>ASSESS
▸  Observation with a comparison peer.
▸  Teacher and parent interview.
▸  Pupil interview — their account is the evidence here.
▸  Rating scales describe perception, not the presentation itself.</t>
        </is>
      </c>
      <c r="P35" s="170" t="inlineStr">
        <is>
          <t>DO
▸  Name the presentation precisely rather than reaching for a label.
▸  Recommend at the level of the behaviour, not the hypothetical diagnosis.
▸  Specify what, who, how often, for how long, and how it will be measured.
▸  Name the Continuum of Support level.</t>
        </is>
      </c>
      <c r="Q35" s="170" t="inlineStr">
        <is>
          <t>EXPLAIN
▸  To a parent: “There isn’t a diagnosis for this, and it’s still real and still workable. Here’s what we do.”
▸  To a teacher: describe the behaviour in countable terms, not in trait terms.
▸  To the child: ask what helps, and use their words in the report.</t>
        </is>
      </c>
      <c r="R35" s="170" t="inlineStr">
        <is>
          <t>CHILD’S VOICE AND QUESTIONS
▸  Talking Mats · Blob Tree · scaling on a drawn ladder · sentence completion · day mapping.
▸  Q: “So there’s nothing wrong with him?” A: “There’s a real difficulty and it doesn’t have a label. Labels help get resources; they don’t make a difficulty more or less real.”
▸  Q: “Should we get him assessed privately?” A: give the honest position on what a diagnosis would and would not change here.</t>
        </is>
      </c>
      <c r="S35" s="170" t="inlineStr">
        <is>
          <t>YOUR PRACTICE
▸  Bring a case where you were pulled toward a label the data did not support.
▸  Reflect: did I describe, or did I reach? Whose language did I use?</t>
        </is>
      </c>
      <c r="T35" s="170" t="inlineStr">
        <is>
          <t>WHAT TO DO NEXT
▸  Proceed to formulation. These belong at the behavioural level of the Interactive Factors Framework.
▸  Test whether an unmet learning need is underneath before concluding anything.</t>
        </is>
      </c>
      <c r="U35" s="170" t="inlineStr">
        <is>
          <t>WHERE THE EVIDENCE GOES
▸  Psychological report
▸  Appendix 5 entry
▸  Log sheet</t>
        </is>
      </c>
      <c r="V35" s="170" t="inlineStr">
        <is>
          <t>CITATIONS
▸  Frederickson &amp; Cline (2009)
▸  Monsen &amp; Frederickson (2008)
▸  NEPS Continuum of Support</t>
        </is>
      </c>
    </row>
    <row r="36" ht="19.5" customHeight="1" s="128">
      <c r="A36" s="147" t="inlineStr">
        <is>
          <t>AGE BAND</t>
        </is>
      </c>
      <c r="B36" s="147" t="inlineStr">
        <is>
          <t>1. Assessment</t>
        </is>
      </c>
      <c r="C36" s="147" t="inlineStr">
        <is>
          <t>School Age (6–12 years)</t>
        </is>
      </c>
      <c r="D36" s="147" t="n"/>
      <c r="E36" s="147" t="inlineStr">
        <is>
          <t>Everything below is this age</t>
        </is>
      </c>
      <c r="F36" s="147" t="n"/>
      <c r="G36" s="147" t="n"/>
      <c r="H36" s="147" t="n"/>
      <c r="I36" s="147" t="n"/>
      <c r="J36" s="147" t="n"/>
      <c r="K36" s="147" t="n"/>
      <c r="L36" s="147" t="n"/>
      <c r="M36" s="147" t="n"/>
      <c r="N36" s="147" t="n"/>
      <c r="O36" s="147" t="n"/>
      <c r="P36" s="147" t="n"/>
      <c r="Q36" s="147" t="n"/>
      <c r="R36" s="147" t="n"/>
      <c r="S36" s="147" t="n"/>
      <c r="T36" s="147" t="n"/>
      <c r="U36" s="147" t="n"/>
      <c r="V36" s="147" t="n"/>
    </row>
    <row r="37" ht="408.75" customHeight="1" s="128">
      <c r="A37" s="205" t="inlineStr">
        <is>
          <t>CONDITION</t>
        </is>
      </c>
      <c r="B37" s="205" t="inlineStr">
        <is>
          <t>1. Assessment</t>
        </is>
      </c>
      <c r="C37" s="206" t="inlineStr">
        <is>
          <t>School Age (6–12 years)</t>
        </is>
      </c>
      <c r="D37" s="205" t="inlineStr">
        <is>
          <t>DIAGNOSED</t>
        </is>
      </c>
      <c r="E37" s="206" t="inlineStr">
        <is>
          <t>Autism</t>
        </is>
      </c>
      <c r="F37" s="205" t="inlineStr">
        <is>
          <t>DSM-5-TR Autism Spectrum Disorder · ICD-11 6A02</t>
        </is>
      </c>
      <c r="G37" s="205" t="inlineStr">
        <is>
          <t>YES</t>
        </is>
      </c>
      <c r="H37" s="207" t="inlineStr">
        <is>
          <t>WHERE THIS SITS
▸  NEPS referral form category: 4. SOCIAL — and 1. LEARNING where language or cognition is implicated
▸  UCD competency: 1. Assessment
▸  CORU: 3.1 · 3.2 · 5.28 · 5.29 · 5.30 · 5.31 · 5.32
▸  PSI: 2.2.2 · 2.3.1 · 1.3.1 · 1.2.8
▸  Law and policy: Children First Act 2015 · EPSEN Act 2004 · Equal Status Acts 2000–2018 · GDPR</t>
        </is>
      </c>
      <c r="I37" s="207" t="inlineStr">
        <is>
          <t>WHAT IT IS, AND WHAT IT IS NOT
▸  A NEURODEVELOPMENTAL DIFFERENCE present from early development, defined by two domains: (a) persistent differences in social communication and social interaction, and (b) restricted, repetitive patterns of behaviour, interests or activities — which includes sensory differences (American Psychiatric Association, 2022, DSM-5-TR).
▸  DSM-5-TR specifies three support levels — requiring support, requiring substantial support, requiring very substantial support — rated separately for each of the two domains. A person can be level 1 for one and level 3 for the other.
▸  It is lifelong. It is not an illness, and it is not something a person recovers from or grows out of.
▸  Prevalence is commonly cited around 1 in 100 internationally, with higher rates in more recent screening studies. In Ireland, NCSE and Department of Education figures are the relevant local source.
▸  IMPORTANT FOR PRACTICE: it is DIMENSIONAL, not categorical in nature — autistic traits are distributed continuously in the population and the diagnostic line is a clinical judgement about impairment, not a biological boundary.
▸  NOT a result of parenting. The 'refrigerator mother' theory (Bettelheim, 1967) was wrong and caused enormous harm. Say so plainly if a parent raises it.
▸  NOT caused by vaccines. Wakefield et al. (1998) was retracted by The Lancet in 2010 and Wakefield was struck off. Taylor, Swerdfeger &amp; Eslick (2014) meta-analysed over 1.2 million children and found no association.
▸  NOT the same as intellectual disability. They co-occur but are separate. Many autistic people have average or above-average cognitive ability.
▸  NOT usually accompanied by savant skills. Jones &amp; Sasson (2023) found that non-autistic adults frequently believed savant syndrome to be a CORE feature of autism — it is rare, and this belief is a documented misconception.
▸  NOT a lack of empathy. This is one of the most damaging myths. Autistic people frequently report strong emotional empathy; the difference is in reading and signalling, and the 'double empathy problem' (Milton, 2012) shows the mismatch runs BOTH ways — non-autistic people are equally poor at reading autistic people.
▸  NOT more common in boys to the extent historically believed. Girls are under-identified because diagnostic criteria and instruments were developed on male samples and because masking is more common.
▸  NOT something that needs to be 'normalised'. Gillespie-Lynch et al. (2017) found that greater endorsement of the importance of normalising autistic people was associated with HEIGHTENED stigma.</t>
        </is>
      </c>
      <c r="J37" s="207" t="inlineStr">
        <is>
          <t>HOW COMMON AT THIS AGE
▸  OVERALL: commonly cited around 1 in 100 worldwide (Zeidan et al., 2022, meta-analysis of global prevalence). More recent screening-based studies report higher figures.
▸  IRELAND: the 2022 Census recorded autism for the first time. Department of Education and NCSE figures are the relevant local source for school-age numbers — check the current year rather than quoting from memory.
▸  SCHOOL AGE 6–12: the peak identification window in most systems.
▸  SEX RATIO: historically cited as 4:1 male to female. Loomes, Hill &amp; Mandy (2017) meta-analysed this and concluded the true ratio is closer to 3:1, with the difference explained by diagnostic bias — girls meeting criteria are disproportionately missed.
▸  AT OTHER AGES (for context): USA (CDC ADDM Network, 2023 report, 8-year-olds) · EARLY YEARS 0–5 · ADOLESCENT 13–16 AND ADULTS</t>
        </is>
      </c>
      <c r="K37" s="207" t="inlineStr">
        <is>
          <t>THE PATHWAY AND THE TIMELINE
▸ TYPICAL AGE OF IDENTIFICATION, AND WHY THEN
   Commonly 3–6 in Ireland, though reliable diagnosis from 24 months is achievable. Social communication demands rise sharply at preschool and again at school entry, which is when differences become visible against peers. Girls and verbally able children are frequently identified much later — often adolescence or adulthood — because masking delays recognition rather than delaying onset.
▸ WHO DIAGNOSES IT
   Under 18 in Ireland: the Children's Disability Network Team (CDNT) under Progressing Disability Services, or CAMHS where mental health complexity dominates. Assessment of Need under the Disability Act 2005 is a separate statutory route with its own timelines. Over 18: adult diagnostic services, with significant regional variation.
▸ WHO COULD HAVE WRITTEN THE REPORT IN FRONT OF YOU
   CDNT multi-disciplinary report (psychologist, SLT, OT). Private psychologist or psychiatrist. CAMHS. An Assessment of Need report. A school's Student Support File is not a diagnostic document — check which you are holding.
▸ WHO YOU REFER TO
   CDNT for diagnostic assessment. SLT where language is implicated. OT for sensory or motor. CAMHS where mental health difficulty is present. AsIAm and Middletown for family and school resources.
▸ 'SHOULD WE HAVE COME SOONER?'
   Answer honestly and without implying fault. Typical: 'Not necessarily. Autism is usually recognised when social demands increase, and for a lot of children that's around school age. In girls especially it often isn't obvious earlier because they compensate so well. What matters now is what we put in place.' Where there has genuinely been a long wait, name it as a service issue: waiting lists, not something the parent missed.</t>
        </is>
      </c>
      <c r="L37" s="207" t="inlineStr">
        <is>
          <t>WHAT YOU SEE AT THIS AGE
▸  Social differences become visible as peer relationships complicate. SRS-2 parent and teacher, SCQ, yard observation. Watch for anxiety as a secondary presentation.
▸  EARLY YEARS 0–5: differences in joint attention, pointing to share, response to name, pretend play, and reaction to sensory input. Referral to CDNT. ADOS-2 Toddler/Module 1 via the team, SCQ, developmental history. Play observation does much of the work.
▸  SCHOOL AGE 6–12: social differences become more visible as peer relationships get more complex. Yard observation, SRS-2 parent and teacher, SCQ. Watch for anxiety appearing as a secondary presentation.
▸  ADOLESCENT 13–16: masking peaks, and mental health difficulties commonly emerge. SRS-2 including self-report. Under-identification in girls is at its most consequential here. A normal-range screen in a worried teacher's class does not close the question.
▸  YOUNG ADULT 17–26: adult diagnostic services, AQ-10 as a screen, DSA evidence for third level. The question shifts to accommodation and self-advocacy.
▸  SPECIAL SETTING: the question is usually fit and communication support, not identification.</t>
        </is>
      </c>
      <c r="M37" s="207" t="inlineStr">
        <is>
          <t>RED FLAGS AND BOUNDARIES
▸  RED FLAG — regression. Loss of previously acquired language or social skills at any age requires urgent medical referral, not a wait-and-see.
▸  RED FLAG — an autistic young person presenting with low mood, self-harm or suicidal thinking. Autistic people are at substantially elevated risk. Follow the risk protocol; do not attribute distress to autism and stop there.
▸  RED FLAG — an autistic child with a sudden behaviour change. Consider pain, illness, sensory change, or something that has happened. Communication difficulty means distress may present behaviourally.
▸  BOUNDARY — you do not diagnose. You describe the profile, say what it is consistent with, and refer. PSI 2.2.2 and 2.2.3.
▸  DIAGNOSTIC OVERSHADOWING — once a child has an autism diagnosis, everything gets attributed to it. Write down before you start what the diagnosis does NOT explain, and assess that.</t>
        </is>
      </c>
      <c r="N37" s="207" t="inlineStr">
        <is>
          <t>WHAT ELSE COULD IT BE, AND WHAT CO-OCCURS
▸  ADHD — co-occurs in roughly 28–44% of autistic people depending on the study. DSM-5 permitted dual diagnosis for the first time in 2013; before that it was prohibited, so older reports may under-record it. PRESENTS AS: attention difficulty that looks like disengagement, but is often sensory overload or processing delay. Assess both.
▸  INTELLECTUAL DISABILITY — around a third of autistic people, though estimates vary widely with sampling. PRESENTS AS: a flatter cognitive profile alongside social communication differences. Assess adaptive functioning separately.
▸  ANXIETY — very high. Meta-analytic estimates around 40% meeting criteria for at least one anxiety disorder (van Steensel et al., 2011). PRESENTS AS: rigidity, refusal, meltdown. Often misread as 'autistic behaviour' rather than treatable anxiety. THIS IS THE MOST COMMONLY MISSED CO-OCCURRENCE.
▸  DLD / LANGUAGE DISORDER — substantial overlap, and the two are hard to separate in young children. PRESENTS AS: apparent social difficulty that is actually comprehension failure.
▸  DCD — elevated. PRESENTS AS: handwriting difficulty and PE avoidance attributed to autism rather than assessed.
▸  EPILEPSY — elevated, particularly where intellectual disability co-occurs. Medical, not yours, but note it and refer.
▸  SLEEP DIFFICULTIES — very common and under-treated. Ask, because a child sleeping five hours will present very differently.
▸  DIAGNOSTIC OVERSHADOWING IS THE RISK THROUGHOUT. Write down before you start what the autism diagnosis does NOT explain, then assess that.</t>
        </is>
      </c>
      <c r="O37" s="207" t="inlineStr">
        <is>
          <t>TOOLS VALID AT THIS BAND
▸  SRS-2 — AGE 2:6–18 (adult form separate)
     MEASURES: Social awareness, cognition, communication, motivation, restricted/repetitive behaviour. T-scores.
     CANNOT TELL YOU: Diagnosis. Elevated scores occur in anxiety, ADHD and language disorder. Read the manual before your first use — this is a named development area for you.
     TIME: 15–20 min per rater
▸  ADOS-2 Module 2/3 — AGE Verbal fluency dependent
     MEASURES: Standardised observation.
     CANNOT TELL YOU: Anything alone. Team-administered, requires training.
     TIME: 40–60 min
▸  SCQ — AGE 4:0+
     MEASURES: Parent-report autism screen.
     CANNOT TELL YOU: Diagnosis, and it under-detects in verbally able girls.
     TIME: 10 min
▸  CELF-5 UK — AGE 5:0–21:11
     MEASURES: Receptive and expressive language, language content and structure.
     CANNOT TELL YOU: Pragmatic language in context — use observation and the pragmatics checklist.
     TIME: 45–60 min
▸  BPVS-3 — AGE 3:0–16:11
     MEASURES: Receptive vocabulary.
     CANNOT TELL YOU: Expressive language, grammar or comprehension of connected speech. Heavily exposure-dependent.
     TIME: 10 min
▸  Renfrew Action Picture Test — AGE 3:0–8:11
     MEASURES: Information and grammar in spoken narrative.
     CANNOT TELL YOU: Receptive language.
     TIME: 10 min
▸  ABAS-3 — AGE birth–89
     MEASURES: Conceptual, social, practical.
     CANNOT TELL YOU: Capacity. Typical performance only.
     TIME: 15–20 min per rater
▸  Vineland-3 — AGE birth–90
     MEASURES: Communication, daily living, socialisation, motor.
     CANNOT TELL YOU: Cognitive ability. Where ID is in question you need both.
     TIME: 20–60 min
▸  SDQ — AGE 4–17
     MEASURES: Emotional, conduct, hyperactivity, peer, prosocial, plus impact supplement.
     CANNOT TELL YOU: Anything diagnostic. Use the impact supplement — it carries more information than the scales.
     TIME: 5–10 min
▸  BASC-3 — AGE 2:0–21:11
     MEASURES: Broad behavioural and emotional functioning, parent, teacher and self-report.
     CANNOT TELL YOU: Why. It describes the pattern and leaves the formulation to you.
     TIME: 20–30 min per rater
▸  RCADS — AGE 8–18, parent and child
     MEASURES: Anxiety and depression subscales mapped to DSM categories.
     CANNOT TELL YOU: Diagnosis or risk. Screen positive means refer, not conclude.
     TIME: 10–15 min
▸  Piers-Harris 3 — AGE 7–18
     MEASURES: Self-concept across six domains.
     CANNOT TELL YOU: Whether low self-concept is cause or consequence — usually it is consequence.
     TIME: 10–15 min
▸  WISC-V UK — AGE 6:0–16:11
     MEASURES: Verbal comprehension, visual spatial, fluid reasoning, working memory, processing speed; FSIQ and GAI.
     CANNOT TELL YOU: Why the profile looks as it does, whether the child was taught the content, and anything about a child assessed in a second language without caution. Where index scatter exceeds 23 points, report GAI rather than FSIQ and say why.
     TIME: 65–80 min
▸  WNV (Wechsler Non-Verbal) — AGE 4:0–21:11
     MEASURES: Non-verbal cognitive ability with minimal language demand.
     CANNOT TELL YOU: Verbal reasoning. Useful where EAL or a language disorder would invalidate a verbal battery.
     TIME: 20–45 min
▸  BAS-3 — AGE 3:0–17:11
     MEASURES: Cognitive ability and achievement, UK-normed.
     CANNOT TELL YOU: Same limits as any cognitive battery. Check which edition and norms your service holds.
     TIME: 45–90 min</t>
        </is>
      </c>
      <c r="P37" s="207" t="inlineStr">
        <is>
          <t>WHAT YOU DO, AND WHAT YOU WRITE
▸  ENVIRONMENT FIRST: predictability (visual timetable, forewarning of change), sensory audit of the room, a designated regulation space the child can access without asking permission.
▸  PROCESSING TIME: instruction, ten-second wait, then repeat in the SAME words. Rephrasing restarts processing. This is free and it is the highest-yield single adjustment.
▸  COMMUNICATION: reduce language load, pair verbal with visual, check comprehension by asking the child to say back rather than asking 'do you understand?'
▸  SOCIAL: structured social opportunity rather than unstructured. A lunchtime club with a shared activity beats 'encourage her to join in'.
▸  MASKING: if the child is compliant at school and dysregulated at home, treat that as a finding. Reduce demand at school rather than increasing it.
▸  ASSESS AND TREAT ANXIETY SEPARATELY. Do not fold it into the autism description.
▸  STAFF: whole-staff input on autism is usually less useful than a one-page profile for this child that everyone reads.
▸  CONTINUUM LEVEL: name it. School Support or School Support Plus depending on intensity and outside involvement.
▸  MEASURE: choose something sensitive — frequency of regulation-space use, participation counts, a brief anxiety measure — with a review date in the report.
▸  REFER: CDNT for diagnostic assessment; SLT where language is implicated; OT where sensory or motor; CAMHS where mental health difficulty is present.</t>
        </is>
      </c>
      <c r="Q37" s="207" t="inlineStr">
        <is>
          <t>EXPLAIN
▸  TO A PARENT
▸  OPEN WITH WHAT THEY ALREADY KNOW: 'What have you been told about autism so far?' Then correct gently rather than lecture.
▸  'Autism is a difference in how the brain develops and processes information. It affects two main things: how a person communicates and connects with others, and how they respond to routine, change and sensory information.'
▸  'It's not caused by anything you did. It's present from early on in development, and we're recognising it now rather than it having started now.'
▸  'It's a spectrum, but not a line from mild to severe. Think of it as a set of different dials — one child might find noise very hard and social situations fine; another the reverse.'
▸  'What it doesn't tell us is how she'll do. Autism doesn't determine intelligence, or whether she'll have friends, or what she'll be able to do as an adult. What predicts those is the support around her and whether people understand her.'
▸  IF THEY ARE UPSET: 'A diagnosis doesn't change who she is. She's exactly the same child she was yesterday. What changes is that people now have a better explanation for what she needs.'
▸  SIGNPOST: AsIAm, Middletown Centre for Autism, the local CDNT. Give a name, not a category.
▸  TO A TEACHER
▸  'Autism is a difference in social communication and in how sensory information and change are processed. It's developmental and lifelong.'
▸  'For this child, the practical implications are —' then be specific to the assessment rather than generic: processing time, predictability, the sensory environment, how instructions are given.
▸  'Behaviour that looks like defiance is very often a response to demand, to sensory load, or to not having understood what was asked. Before treating it as behaviour, check comprehension and check the environment.'
▸  'Masking matters. A child who holds it together all day and falls apart at home is not fine at school — she's spending all her resources on coping.'
▸  'Processing time is the single cheapest adjustment. Ask, wait ten seconds, then ask again in the same words rather than rephrasing. Rephrasing restarts the processing.'
▸  'Routine isn't rigidity for its own sake — it's how uncertainty is managed. Warn about change rather than removing routine.'
▸  TO THE CHILD
▸  PITCH TO AGE. For a younger child: 'Everybody's brain works in its own way. Your brain is really good at noticing things other people miss, and it likes to know what's happening next. Some brains find noisy places hard work. That's called being autistic.'
▸  For an older child or adolescent: 'Autistic means your brain processes information differently — often in more detail. It can mean social stuff takes more effort, and that noise, light or change can be harder than it is for other people. It's not an illness and there's nothing wrong with you.'
▸  ALWAYS INCLUDE STRENGTHS and make them specific to this child, not generic. 'You noticed that detail that nobody else did' beats 'autistic people are good at detail.'
▸  ASK WHAT THEY THINK IT MEANS before you explain. Children often arrive with a frightening idea from a sibling or the internet.
▸  AVOID deficit framing. Botha, Dibb &amp; Frost (2020) found autistic adults describe autism as value-neutral and experience society as attaching negative meaning to it. How you explain it to a child at 9 shapes how they carry it at 19.
▸  BE HONEST about the hard parts. Children know when something is being sold to them, and an explanation that is all positives loses credibility.
▸  ANALOGIES
▸  THE VOLUME DIAL (sensory): 'Most people have a volume dial for sound, light and touch that sits at about 5. Yours might sit at 9 for sound and 2 for touch. The classroom is the same room — you're getting a different amount of it.' Grounded in the sensory criterion now formally part of DSM-5-TR.
▸  THE DIFFERENT OPERATING SYSTEM: 'It's not a broken computer. It's a different operating system. Most of the software is written for the other one, so some things take extra work — but the machine itself is fine.' Useful with adolescents and with parents; avoids deficit framing.
▸  THE TWO-WAY TRANSLATION (double empathy): 'When two people speak different languages, we don't say one of them has a language problem. Milton (2012) makes the same point about autistic and non-autistic people misreading each other — the misunderstanding goes both ways.' Use with teachers; it shifts the burden off the child.
▸  THE PHONE BATTERY (masking): 'Holding it together in school all day is like running every app at once. You get home on 4% battery. The meltdown at home isn't because home is worse — it's because the battery ran out.' Very effective with parents who are told the child is 'fine at school'.
▸  CAUTION ON ANALOGIES: check with the person. Some autistic people find machine analogies dehumanising. Ask.
▸  LANGUAGE
▸  THERE IS NO SINGLE CORRECT TERM, and this matters. Kenny et al. (2016), surveying 3,470 UK autism community members, found 'autism' and 'on the autism spectrum' most endorsed overall, with 'autistic' strongly endorsed by autistic adults and much less so by professionals.
▸  Bury et al. (2020), with 198 autistic Australian adults, found 'autistic', 'person on the autism spectrum' and 'autistic person' rated most preferred and least offensive.
▸  Bury et al. (2022) found preference relates to identity and stigma: a stronger autism identity predicted preferring identity-first language, while internalised stigma predicted finding it more offensive.
▸  Fecteau et al. (2024), in a French-Canadian sample, found a clear split — professionals preferred medical-model terms, autistic people preferred identity-first.
▸  PRACTICE RULE: ask the person or family what they use, and use that. Where you cannot ask, identity-first ('autistic person') is the majority preference among autistic adults. Mirror the family's own language in the report.
▸  Avoid: 'suffers from', 'high/low functioning' (poor predictor of actual support needs), 'a bit on the spectrum'.</t>
        </is>
      </c>
      <c r="R37" s="207" t="inlineStr">
        <is>
          <t>THE CHILD’S VOICE, AND THE QUESTIONS
▸  TALKING MATS — symbol-based framework letting a child sort topics onto a visual scale. Good because it removes the demand for spoken answers and for eye contact simultaneously, which is often what makes interviews fail. Evidence base for people with communication difficulties. → https://www.talkingmats.com/
▸  BLOB TREE (Wilson &amp; Long) — figures on a tree; the child points to which one is them. Good because it is projective rather than direct, so it does not require the child to make a claim about themselves. You used this at Grange.
▸  'ALL ABOUT ME' / ONE-PAGE PROFILE — structured template covering what people like and admire about me, what's important to me, how best to support me. Good because it is strengths-first and becomes a usable document for staff. → https://www.helensandersonassociates.co.uk/person-centred-practice/one-page-profiles/
▸  PATH and MAPS (person-centred planning) — graphic facilitation for transition planning. Good for post-primary and school-leaving because it puts the young person's own future at the centre rather than the service's.
▸  AsIAm resources (Ireland) — autistic-led, Irish context, includes materials written for children about their own diagnosis. Good because autistic-led materials avoid the deficit framing that professional materials often carry. → https://asiam.ie/
▸  MIDDLETOWN CENTRE FOR AUTISM — Irish, free research bulletins and practical resources for schools. Good because it is Irish policy context and free. → https://www.middletownautism.com/
▸  COMIC STRIP CONVERSATIONS (Gray) — drawing out what people said and thought in an incident. Good because it externalises the social situation onto paper instead of asking the child to hold it in mind and talk about it at once.
▸  QUESTIONS YOU WILL BE ASKED
▸  Q: 'Is it my fault?' — A: 'No. Autism is a difference in how the brain develops, present from very early on. Nothing you did caused it and nothing you could have done would have prevented it.' (Bettelheim's 'refrigerator mother' theory is long discredited; say so if they raise it directly.)
▸  Q: 'Will he grow out of it?' — A: 'No, it's lifelong. What changes a great deal is how well he copes and how well the people around him understand him. Those are the things we can work on.'
▸  Q: 'Does this mean he has an intellectual disability?' — A: 'Not necessarily — they're separate things. They can occur together, and plenty of autistic people have average or above-average ability. From what I've seen, [specific to this child].'
▸  Q: 'Could it be the vaccines?' — A: 'No. That claim came from a 1998 paper that was retracted and its author struck off. A meta-analysis of over 1.2 million children found no link. I know it's still out there, and I understand why people ask.'
▸  Q: 'He makes eye contact and he has a friend, so it can't be autism?' — A: 'Those are two of the most common misunderstandings. Many autistic people make eye contact, sometimes because they've learned to, and many have friendships. The diagnosis is about the pattern across social communication and about repetitive behaviour and sensory differences, not about any single behaviour.'
▸  Q: 'She's fine at school though.' — A: 'That's really common and it's called masking. Holding it together all day takes everything she has, which is why it comes out at home. Being fine at school and struggling at home is a pattern, not a contradiction.'
▸  Q: 'Does she know?' / 'Should we tell her?' — A: 'That's your decision and I can help you think it through. What we do know is that children usually already sense they're different, and having a name for it tends to be a relief rather than a blow — particularly if it comes with an explanation of strengths as well.'
▸  Q: 'What can you actually do for us?' — A: 'I can't diagnose — that's the CDNT. What I can do is describe her profile, say what it's consistent with, make the referral, and put supports in place in school now rather than waiting.'</t>
        </is>
      </c>
      <c r="S37" s="207" t="inlineStr">
        <is>
          <t>YOUR PRACTICE
▸  SUPERVISION
▸  Bring the exact words you used to explain autism to the parent. Not the summary — the words. Ask your supervisor what they would have said differently.
▸  Ask: 'when a family's language and the research consensus differ, which do you follow?' There is a defensible answer either way and you need to hear it argued.
▸  Raise any moment you were asked something you could not answer. That is the highest-value supervision item in this whole area.
▸  Ask how your service handles the gap between an identified profile and the CDNT waiting list — what do you tell a family who will wait two years?
▸  Discuss diagnostic overshadowing on your actual cases: for each autistic child on your caseload, what has NOT been assessed because autism was already there?
▸  Ask to observe your supervisor giving an autism-related feedback session, and complete the Appendix 7 the same day.
▸  If you felt out of your depth, say so in those words. PSI 2.2.4 requires consulting when you are not competent to deal with what is in front of you.
▸  REFLECTION
▸  ON HOW YOU EXPLAINED IT — Did I use LANGUAGE-FIRST or SHARED LANGUAGE? Language-first means I arrived with my terminology and the family adapted to it. Shared language means I asked what they use and built from there. Kenny et al. (2016) found no community consensus on terms, so arriving with a fixed vocabulary is a decision, not a neutral act. Which did I do, and why?
▸  ON THE TEACHER CONVERSATION — Did I explain autism, or did I explain THIS CHILD? A general explanation is easier to give and far less useful. Did the teacher leave with something to do on Monday?
▸  ON REGISTER — Did I actually change register between the parent, the teacher and the child, or did I give the same explanation three times at different speeds? Changing register means changing what is included, not simplifying vocabulary.
▸  ON MY OWN ASSUMPTIONS — What did I assume about this family's understanding before I opened my mouth? Where did that come from? CORU 5.44 requires reflecting on how my own culture and beliefs shape practice.
▸  ON THE DEFICIT PULL — Count the sentences. How many described what the child cannot do versus what they can? Botha et al. (2020) found autistic people experience society as attaching negative meaning to a neutral difference. My report is part of that society.
▸  ON WHAT I AVOIDED — Was there a question I hoped would not be asked? What would I need to know to have welcomed it?
▸  WHAT GOOD LOOKS LIKE: 'The mother used 'has autism' throughout, so I mirrored that rather than switching to 'autistic', and noted in the file that the young person's own preference should be asked at the next review. I had been defaulting to identity-first because that is what I read, without asking.'
▸  WHAT POOR LOOKS LIKE: 'I explained autism to the parent and she seemed to understand.' — no evidence of checking, no reflection on register, nothing learned.</t>
        </is>
      </c>
      <c r="T37" s="207" t="inlineStr">
        <is>
          <t>WHAT TO DO NEXT
▸  Proceed to FORMULATION using a named framework — Monsen, Interactive Factors, COMOIRA or Carr.
▸  If a learning need may be driving the presentation, proceed to attainment assessment before concluding.
▸  If risk or safeguarding emerged, none of the above — follow the protocol and tell your supervisor the same day.
▸  If the referral question is not answered by what you found, go back and renegotiate it.</t>
        </is>
      </c>
      <c r="U37" s="207" t="inlineStr">
        <is>
          <t>WHERE THE EVIDENCE GOES
▸  Psychological report
▸  Appendix 5 entry tagged 1. Assessment
▸  Appendix 7 if observed
▸  Table 3 — School Age
▸  Log sheet — tag the referral area and the competency</t>
        </is>
      </c>
      <c r="V37" s="207" t="inlineStr">
        <is>
          <t>CITATIONS
▸  American Psychiatric Association (2022). Diagnostic and Statistical Manual of Mental Disorders (5th ed., text rev.). DSM-5-TR.
▸  Kenny, L., Hattersley, C., Molins, B., Buckley, C., Povey, C., &amp; Pellicano, E. (2016). Which terms should be used to describe autism? Perspectives from the UK autism community. Autism, 20(4), 442–462.
▸  Bury, S. M., Jellett, R., Spoor, J. R., &amp; Hedley, D. (2020). 'It defines who I am' or 'it's something I have': What language do autistic Australian adults prefer? Journal of Autism and Developmental Disorders.
▸  Bury, S. M., et al. (2022). Understanding language preference: Autism knowledge, experience of stigma and autism identity. Autism.
▸  Gillespie-Lynch, K., Kapp, S. K., Brooks, P. J., Pickens, J., &amp; Schwartzman, B. (2017). Whose expertise is it? Evidence for autistic adults as critical autism experts. Frontiers in Psychology, 8, 438.
▸  Botha, M., Dibb, B., &amp; Frost, D. M. (2020). 'Autism is me': An investigation of how autistic individuals make sense of autism and stigma. Disability &amp; Society.
▸  Jones, D. R., &amp; Sasson, N. J. (2023). A mixed method comparison of stigma toward autism and schizophrenia. Frontiers in Psychiatry, 14, 1263525.
▸  Milton, D. E. M. (2012). On the ontological status of autism: The 'double empathy problem'. Disability &amp; Society, 27(6), 883–887.
▸  Taylor, L. E., Swerdfeger, A. L., &amp; Eslick, G. D. (2014). Vaccines are not associated with autism: An evidence-based meta-analysis. Vaccine, 32(29).
▸  Fecteau, S.-M., et al. (2024). 'Not a trouble': Autism-related language preferences by French-Canadian adults. Neurodiversity.</t>
        </is>
      </c>
    </row>
    <row r="38" ht="169.5" customHeight="1" s="128">
      <c r="A38" s="208" t="inlineStr">
        <is>
          <t>CO-OCCURRING</t>
        </is>
      </c>
      <c r="B38" s="208" t="inlineStr">
        <is>
          <t>1. Assessment</t>
        </is>
      </c>
      <c r="C38" s="171" t="inlineStr">
        <is>
          <t>School Age (6–12 years)</t>
        </is>
      </c>
      <c r="D38" s="208" t="inlineStr">
        <is>
          <t>CO-OCCURS WITH AUTISM</t>
        </is>
      </c>
      <c r="E38" s="209" t="inlineStr">
        <is>
          <t>ADHD</t>
        </is>
      </c>
      <c r="F38" s="208" t="inlineStr">
        <is>
          <t>see its own entry</t>
        </is>
      </c>
      <c r="G38" s="208" t="inlineStr">
        <is>
          <t>YES — assess separately</t>
        </is>
      </c>
      <c r="H38" s="171" t="inlineStr">
        <is>
          <t>WHERE THIS SITS
▸  Sits under 1. Assessment, alongside Autism.
▸  NEPS category: 4. SOCIAL — and 1. LEARNING where language or cognition is implicated</t>
        </is>
      </c>
      <c r="I38" s="171" t="inlineStr">
        <is>
          <t>HOW OFTEN IT CO-OCCURS
▸  co-occurs in roughly 28–44% of autistic people depending on the study. DSM-5 permitted dual diagnosis for the first time in 2013; before that it was prohibited, so older reports may under-record it.</t>
        </is>
      </c>
      <c r="J38" s="171" t="inlineStr">
        <is>
          <t>HOW IT PRESENTS WHEN IT CO-OCCURS
▸  attention difficulty that looks like disengagement, but is often sensory overload or processing delay. Assess both.</t>
        </is>
      </c>
      <c r="K38" s="171" t="inlineStr">
        <is>
          <t>THE RISK
▸  Do not assume the primary diagnosis explains this.
▸  Write down before you start what the primary diagnosis does NOT explain, then assess that.
▸  Diagnostic overshadowing is the single most common error in co-occurring presentations.</t>
        </is>
      </c>
      <c r="L38" s="171" t="inlineStr">
        <is>
          <t>—</t>
        </is>
      </c>
      <c r="M38" s="171" t="inlineStr">
        <is>
          <t>—</t>
        </is>
      </c>
      <c r="N38" s="171" t="inlineStr">
        <is>
          <t>—</t>
        </is>
      </c>
      <c r="O38" s="171" t="inlineStr">
        <is>
          <t>ASSESS
▸  Assess this separately, with its own measures.
▸  Build the case for each condition independently rather than letting evidence for one carry the other.</t>
        </is>
      </c>
      <c r="P38" s="171" t="inlineStr">
        <is>
          <t>DO
▸  State in the report what would be needed to establish this second presentation.
▸  That is often a referral rather than a conclusion you can reach yourself.</t>
        </is>
      </c>
      <c r="Q38" s="171" t="inlineStr">
        <is>
          <t>—</t>
        </is>
      </c>
      <c r="R38" s="171" t="inlineStr">
        <is>
          <t>—</t>
        </is>
      </c>
      <c r="S38" s="171" t="inlineStr">
        <is>
          <t>YOUR PRACTICE
▸  Bring it to supervision: for each child on my caseload with this diagnosis, what has NOT been assessed because the diagnosis was already there?</t>
        </is>
      </c>
      <c r="T38" s="171" t="inlineStr">
        <is>
          <t>WHAT TO DO NEXT
▸  Assess separately, then refer if the threshold is met.</t>
        </is>
      </c>
      <c r="U38" s="171" t="inlineStr">
        <is>
          <t>WHERE THE EVIDENCE GOES
▸  Psychological report — state the co-occurrence and what it changes.</t>
        </is>
      </c>
      <c r="V38" s="171" t="inlineStr">
        <is>
          <t>—</t>
        </is>
      </c>
    </row>
    <row r="39" ht="169.5" customHeight="1" s="128">
      <c r="A39" s="208" t="inlineStr">
        <is>
          <t>CO-OCCURRING</t>
        </is>
      </c>
      <c r="B39" s="208" t="inlineStr">
        <is>
          <t>1. Assessment</t>
        </is>
      </c>
      <c r="C39" s="171" t="inlineStr">
        <is>
          <t>School Age (6–12 years)</t>
        </is>
      </c>
      <c r="D39" s="208" t="inlineStr">
        <is>
          <t>CO-OCCURS WITH AUTISM</t>
        </is>
      </c>
      <c r="E39" s="209" t="inlineStr">
        <is>
          <t>INTELLECTUAL DISABILITY</t>
        </is>
      </c>
      <c r="F39" s="208" t="inlineStr">
        <is>
          <t>see its own entry</t>
        </is>
      </c>
      <c r="G39" s="208" t="inlineStr">
        <is>
          <t>YES — assess separately</t>
        </is>
      </c>
      <c r="H39" s="171" t="inlineStr">
        <is>
          <t>WHERE THIS SITS
▸  Sits under 1. Assessment, alongside Autism.
▸  NEPS category: 4. SOCIAL — and 1. LEARNING where language or cognition is implicated</t>
        </is>
      </c>
      <c r="I39" s="171" t="inlineStr">
        <is>
          <t>HOW OFTEN IT CO-OCCURS
▸  around a third of autistic people, though estimates vary widely with sampling.</t>
        </is>
      </c>
      <c r="J39" s="171" t="inlineStr">
        <is>
          <t>HOW IT PRESENTS WHEN IT CO-OCCURS
▸  a flatter cognitive profile alongside social communication differences. Assess adaptive functioning separately.</t>
        </is>
      </c>
      <c r="K39" s="171" t="inlineStr">
        <is>
          <t>THE RISK
▸  Do not assume the primary diagnosis explains this.
▸  Write down before you start what the primary diagnosis does NOT explain, then assess that.
▸  Diagnostic overshadowing is the single most common error in co-occurring presentations.</t>
        </is>
      </c>
      <c r="L39" s="171" t="inlineStr">
        <is>
          <t>—</t>
        </is>
      </c>
      <c r="M39" s="171" t="inlineStr">
        <is>
          <t>—</t>
        </is>
      </c>
      <c r="N39" s="171" t="inlineStr">
        <is>
          <t>—</t>
        </is>
      </c>
      <c r="O39" s="171" t="inlineStr">
        <is>
          <t>ASSESS
▸  Assess this separately, with its own measures.
▸  Build the case for each condition independently rather than letting evidence for one carry the other.</t>
        </is>
      </c>
      <c r="P39" s="171" t="inlineStr">
        <is>
          <t>DO
▸  State in the report what would be needed to establish this second presentation.
▸  That is often a referral rather than a conclusion you can reach yourself.</t>
        </is>
      </c>
      <c r="Q39" s="171" t="inlineStr">
        <is>
          <t>—</t>
        </is>
      </c>
      <c r="R39" s="171" t="inlineStr">
        <is>
          <t>—</t>
        </is>
      </c>
      <c r="S39" s="171" t="inlineStr">
        <is>
          <t>YOUR PRACTICE
▸  Bring it to supervision: for each child on my caseload with this diagnosis, what has NOT been assessed because the diagnosis was already there?</t>
        </is>
      </c>
      <c r="T39" s="171" t="inlineStr">
        <is>
          <t>WHAT TO DO NEXT
▸  Assess separately, then refer if the threshold is met.</t>
        </is>
      </c>
      <c r="U39" s="171" t="inlineStr">
        <is>
          <t>WHERE THE EVIDENCE GOES
▸  Psychological report — state the co-occurrence and what it changes.</t>
        </is>
      </c>
      <c r="V39" s="171" t="inlineStr">
        <is>
          <t>—</t>
        </is>
      </c>
    </row>
    <row r="40" ht="169.5" customHeight="1" s="128">
      <c r="A40" s="208" t="inlineStr">
        <is>
          <t>CO-OCCURRING</t>
        </is>
      </c>
      <c r="B40" s="208" t="inlineStr">
        <is>
          <t>1. Assessment</t>
        </is>
      </c>
      <c r="C40" s="171" t="inlineStr">
        <is>
          <t>School Age (6–12 years)</t>
        </is>
      </c>
      <c r="D40" s="208" t="inlineStr">
        <is>
          <t>CO-OCCURS WITH AUTISM</t>
        </is>
      </c>
      <c r="E40" s="209" t="inlineStr">
        <is>
          <t>ANXIETY</t>
        </is>
      </c>
      <c r="F40" s="208" t="inlineStr">
        <is>
          <t>see its own entry</t>
        </is>
      </c>
      <c r="G40" s="208" t="inlineStr">
        <is>
          <t>YES — assess separately</t>
        </is>
      </c>
      <c r="H40" s="171" t="inlineStr">
        <is>
          <t>WHERE THIS SITS
▸  Sits under 1. Assessment, alongside Autism.
▸  NEPS category: 4. SOCIAL — and 1. LEARNING where language or cognition is implicated</t>
        </is>
      </c>
      <c r="I40" s="171" t="inlineStr">
        <is>
          <t>HOW OFTEN IT CO-OCCURS
▸  very high. Meta-analytic estimates around 40% meeting criteria for at least one anxiety disorder (van Steensel et al., 2011).</t>
        </is>
      </c>
      <c r="J40" s="171" t="inlineStr">
        <is>
          <t>HOW IT PRESENTS WHEN IT CO-OCCURS
▸  rigidity, refusal, meltdown. Often misread as 'autistic behaviour' rather than treatable anxiety. THIS IS THE MOST COMMONLY MISSED CO-OCCURRENCE.</t>
        </is>
      </c>
      <c r="K40" s="171" t="inlineStr">
        <is>
          <t>THE RISK
▸  Do not assume the primary diagnosis explains this.
▸  Write down before you start what the primary diagnosis does NOT explain, then assess that.
▸  Diagnostic overshadowing is the single most common error in co-occurring presentations.</t>
        </is>
      </c>
      <c r="L40" s="171" t="inlineStr">
        <is>
          <t>—</t>
        </is>
      </c>
      <c r="M40" s="171" t="inlineStr">
        <is>
          <t>—</t>
        </is>
      </c>
      <c r="N40" s="171" t="inlineStr">
        <is>
          <t>—</t>
        </is>
      </c>
      <c r="O40" s="171" t="inlineStr">
        <is>
          <t>ASSESS
▸  Assess this separately, with its own measures.
▸  Build the case for each condition independently rather than letting evidence for one carry the other.</t>
        </is>
      </c>
      <c r="P40" s="171" t="inlineStr">
        <is>
          <t>DO
▸  State in the report what would be needed to establish this second presentation.
▸  That is often a referral rather than a conclusion you can reach yourself.</t>
        </is>
      </c>
      <c r="Q40" s="171" t="inlineStr">
        <is>
          <t>—</t>
        </is>
      </c>
      <c r="R40" s="171" t="inlineStr">
        <is>
          <t>—</t>
        </is>
      </c>
      <c r="S40" s="171" t="inlineStr">
        <is>
          <t>YOUR PRACTICE
▸  Bring it to supervision: for each child on my caseload with this diagnosis, what has NOT been assessed because the diagnosis was already there?</t>
        </is>
      </c>
      <c r="T40" s="171" t="inlineStr">
        <is>
          <t>WHAT TO DO NEXT
▸  Assess separately, then refer if the threshold is met.</t>
        </is>
      </c>
      <c r="U40" s="171" t="inlineStr">
        <is>
          <t>WHERE THE EVIDENCE GOES
▸  Psychological report — state the co-occurrence and what it changes.</t>
        </is>
      </c>
      <c r="V40" s="171" t="inlineStr">
        <is>
          <t>—</t>
        </is>
      </c>
    </row>
    <row r="41" ht="169.5" customHeight="1" s="128">
      <c r="A41" s="208" t="inlineStr">
        <is>
          <t>CO-OCCURRING</t>
        </is>
      </c>
      <c r="B41" s="208" t="inlineStr">
        <is>
          <t>1. Assessment</t>
        </is>
      </c>
      <c r="C41" s="171" t="inlineStr">
        <is>
          <t>School Age (6–12 years)</t>
        </is>
      </c>
      <c r="D41" s="208" t="inlineStr">
        <is>
          <t>CO-OCCURS WITH AUTISM</t>
        </is>
      </c>
      <c r="E41" s="209" t="inlineStr">
        <is>
          <t>DLD / LANGUAGE DISORDER</t>
        </is>
      </c>
      <c r="F41" s="208" t="inlineStr">
        <is>
          <t>see its own entry</t>
        </is>
      </c>
      <c r="G41" s="208" t="inlineStr">
        <is>
          <t>YES — assess separately</t>
        </is>
      </c>
      <c r="H41" s="171" t="inlineStr">
        <is>
          <t>WHERE THIS SITS
▸  Sits under 1. Assessment, alongside Autism.
▸  NEPS category: 4. SOCIAL — and 1. LEARNING where language or cognition is implicated</t>
        </is>
      </c>
      <c r="I41" s="171" t="inlineStr">
        <is>
          <t>HOW OFTEN IT CO-OCCURS
▸  substantial overlap, and the two are hard to separate in young children.</t>
        </is>
      </c>
      <c r="J41" s="171" t="inlineStr">
        <is>
          <t>HOW IT PRESENTS WHEN IT CO-OCCURS
▸  apparent social difficulty that is actually comprehension failure.</t>
        </is>
      </c>
      <c r="K41" s="171" t="inlineStr">
        <is>
          <t>THE RISK
▸  Do not assume the primary diagnosis explains this.
▸  Write down before you start what the primary diagnosis does NOT explain, then assess that.
▸  Diagnostic overshadowing is the single most common error in co-occurring presentations.</t>
        </is>
      </c>
      <c r="L41" s="171" t="inlineStr">
        <is>
          <t>—</t>
        </is>
      </c>
      <c r="M41" s="171" t="inlineStr">
        <is>
          <t>—</t>
        </is>
      </c>
      <c r="N41" s="171" t="inlineStr">
        <is>
          <t>—</t>
        </is>
      </c>
      <c r="O41" s="171" t="inlineStr">
        <is>
          <t>ASSESS
▸  Assess this separately, with its own measures.
▸  Build the case for each condition independently rather than letting evidence for one carry the other.</t>
        </is>
      </c>
      <c r="P41" s="171" t="inlineStr">
        <is>
          <t>DO
▸  State in the report what would be needed to establish this second presentation.
▸  That is often a referral rather than a conclusion you can reach yourself.</t>
        </is>
      </c>
      <c r="Q41" s="171" t="inlineStr">
        <is>
          <t>—</t>
        </is>
      </c>
      <c r="R41" s="171" t="inlineStr">
        <is>
          <t>—</t>
        </is>
      </c>
      <c r="S41" s="171" t="inlineStr">
        <is>
          <t>YOUR PRACTICE
▸  Bring it to supervision: for each child on my caseload with this diagnosis, what has NOT been assessed because the diagnosis was already there?</t>
        </is>
      </c>
      <c r="T41" s="171" t="inlineStr">
        <is>
          <t>WHAT TO DO NEXT
▸  Assess separately, then refer if the threshold is met.</t>
        </is>
      </c>
      <c r="U41" s="171" t="inlineStr">
        <is>
          <t>WHERE THE EVIDENCE GOES
▸  Psychological report — state the co-occurrence and what it changes.</t>
        </is>
      </c>
      <c r="V41" s="171" t="inlineStr">
        <is>
          <t>—</t>
        </is>
      </c>
    </row>
    <row r="42" ht="169.5" customHeight="1" s="128">
      <c r="A42" s="208" t="inlineStr">
        <is>
          <t>CO-OCCURRING</t>
        </is>
      </c>
      <c r="B42" s="208" t="inlineStr">
        <is>
          <t>1. Assessment</t>
        </is>
      </c>
      <c r="C42" s="171" t="inlineStr">
        <is>
          <t>School Age (6–12 years)</t>
        </is>
      </c>
      <c r="D42" s="208" t="inlineStr">
        <is>
          <t>CO-OCCURS WITH AUTISM</t>
        </is>
      </c>
      <c r="E42" s="209" t="inlineStr">
        <is>
          <t>DCD</t>
        </is>
      </c>
      <c r="F42" s="208" t="inlineStr">
        <is>
          <t>see its own entry</t>
        </is>
      </c>
      <c r="G42" s="208" t="inlineStr">
        <is>
          <t>YES — assess separately</t>
        </is>
      </c>
      <c r="H42" s="171" t="inlineStr">
        <is>
          <t>WHERE THIS SITS
▸  Sits under 1. Assessment, alongside Autism.
▸  NEPS category: 4. SOCIAL — and 1. LEARNING where language or cognition is implicated</t>
        </is>
      </c>
      <c r="I42" s="171" t="inlineStr">
        <is>
          <t>HOW OFTEN IT CO-OCCURS
▸  elevated.</t>
        </is>
      </c>
      <c r="J42" s="171" t="inlineStr">
        <is>
          <t>HOW IT PRESENTS WHEN IT CO-OCCURS
▸  handwriting difficulty and PE avoidance attributed to autism rather than assessed.</t>
        </is>
      </c>
      <c r="K42" s="171" t="inlineStr">
        <is>
          <t>THE RISK
▸  Do not assume the primary diagnosis explains this.
▸  Write down before you start what the primary diagnosis does NOT explain, then assess that.
▸  Diagnostic overshadowing is the single most common error in co-occurring presentations.</t>
        </is>
      </c>
      <c r="L42" s="171" t="inlineStr">
        <is>
          <t>—</t>
        </is>
      </c>
      <c r="M42" s="171" t="inlineStr">
        <is>
          <t>—</t>
        </is>
      </c>
      <c r="N42" s="171" t="inlineStr">
        <is>
          <t>—</t>
        </is>
      </c>
      <c r="O42" s="171" t="inlineStr">
        <is>
          <t>ASSESS
▸  Assess this separately, with its own measures.
▸  Build the case for each condition independently rather than letting evidence for one carry the other.</t>
        </is>
      </c>
      <c r="P42" s="171" t="inlineStr">
        <is>
          <t>DO
▸  State in the report what would be needed to establish this second presentation.
▸  That is often a referral rather than a conclusion you can reach yourself.</t>
        </is>
      </c>
      <c r="Q42" s="171" t="inlineStr">
        <is>
          <t>—</t>
        </is>
      </c>
      <c r="R42" s="171" t="inlineStr">
        <is>
          <t>—</t>
        </is>
      </c>
      <c r="S42" s="171" t="inlineStr">
        <is>
          <t>YOUR PRACTICE
▸  Bring it to supervision: for each child on my caseload with this diagnosis, what has NOT been assessed because the diagnosis was already there?</t>
        </is>
      </c>
      <c r="T42" s="171" t="inlineStr">
        <is>
          <t>WHAT TO DO NEXT
▸  Assess separately, then refer if the threshold is met.</t>
        </is>
      </c>
      <c r="U42" s="171" t="inlineStr">
        <is>
          <t>WHERE THE EVIDENCE GOES
▸  Psychological report — state the co-occurrence and what it changes.</t>
        </is>
      </c>
      <c r="V42" s="171" t="inlineStr">
        <is>
          <t>—</t>
        </is>
      </c>
    </row>
    <row r="43" ht="169.5" customHeight="1" s="128">
      <c r="A43" s="208" t="inlineStr">
        <is>
          <t>CO-OCCURRING</t>
        </is>
      </c>
      <c r="B43" s="208" t="inlineStr">
        <is>
          <t>1. Assessment</t>
        </is>
      </c>
      <c r="C43" s="171" t="inlineStr">
        <is>
          <t>School Age (6–12 years)</t>
        </is>
      </c>
      <c r="D43" s="208" t="inlineStr">
        <is>
          <t>CO-OCCURS WITH AUTISM</t>
        </is>
      </c>
      <c r="E43" s="209" t="inlineStr">
        <is>
          <t>EPILEPSY</t>
        </is>
      </c>
      <c r="F43" s="208" t="inlineStr">
        <is>
          <t>see its own entry</t>
        </is>
      </c>
      <c r="G43" s="208" t="inlineStr">
        <is>
          <t>YES — assess separately</t>
        </is>
      </c>
      <c r="H43" s="171" t="inlineStr">
        <is>
          <t>WHERE THIS SITS
▸  Sits under 1. Assessment, alongside Autism.
▸  NEPS category: 4. SOCIAL — and 1. LEARNING where language or cognition is implicated</t>
        </is>
      </c>
      <c r="I43" s="171" t="inlineStr">
        <is>
          <t>HOW OFTEN IT CO-OCCURS
▸  Rate not stated in source — check before quoting.</t>
        </is>
      </c>
      <c r="J43" s="171" t="inlineStr">
        <is>
          <t>HOW IT PRESENTS WHEN IT CO-OCCURS
▸  elevated, particularly where intellectual disability co-occurs. Medical, not yours, but note it and refer.</t>
        </is>
      </c>
      <c r="K43" s="171" t="inlineStr">
        <is>
          <t>THE RISK
▸  Do not assume the primary diagnosis explains this.
▸  Write down before you start what the primary diagnosis does NOT explain, then assess that.
▸  Diagnostic overshadowing is the single most common error in co-occurring presentations.</t>
        </is>
      </c>
      <c r="L43" s="171" t="inlineStr">
        <is>
          <t>—</t>
        </is>
      </c>
      <c r="M43" s="171" t="inlineStr">
        <is>
          <t>—</t>
        </is>
      </c>
      <c r="N43" s="171" t="inlineStr">
        <is>
          <t>—</t>
        </is>
      </c>
      <c r="O43" s="171" t="inlineStr">
        <is>
          <t>ASSESS
▸  Assess this separately, with its own measures.
▸  Build the case for each condition independently rather than letting evidence for one carry the other.</t>
        </is>
      </c>
      <c r="P43" s="171" t="inlineStr">
        <is>
          <t>DO
▸  State in the report what would be needed to establish this second presentation.
▸  That is often a referral rather than a conclusion you can reach yourself.</t>
        </is>
      </c>
      <c r="Q43" s="171" t="inlineStr">
        <is>
          <t>—</t>
        </is>
      </c>
      <c r="R43" s="171" t="inlineStr">
        <is>
          <t>—</t>
        </is>
      </c>
      <c r="S43" s="171" t="inlineStr">
        <is>
          <t>YOUR PRACTICE
▸  Bring it to supervision: for each child on my caseload with this diagnosis, what has NOT been assessed because the diagnosis was already there?</t>
        </is>
      </c>
      <c r="T43" s="171" t="inlineStr">
        <is>
          <t>WHAT TO DO NEXT
▸  Assess separately, then refer if the threshold is met.</t>
        </is>
      </c>
      <c r="U43" s="171" t="inlineStr">
        <is>
          <t>WHERE THE EVIDENCE GOES
▸  Psychological report — state the co-occurrence and what it changes.</t>
        </is>
      </c>
      <c r="V43" s="171" t="inlineStr">
        <is>
          <t>—</t>
        </is>
      </c>
    </row>
    <row r="44" ht="169.5" customHeight="1" s="128">
      <c r="A44" s="208" t="inlineStr">
        <is>
          <t>CO-OCCURRING</t>
        </is>
      </c>
      <c r="B44" s="208" t="inlineStr">
        <is>
          <t>1. Assessment</t>
        </is>
      </c>
      <c r="C44" s="171" t="inlineStr">
        <is>
          <t>School Age (6–12 years)</t>
        </is>
      </c>
      <c r="D44" s="208" t="inlineStr">
        <is>
          <t>CO-OCCURS WITH AUTISM</t>
        </is>
      </c>
      <c r="E44" s="209" t="inlineStr">
        <is>
          <t>SLEEP DIFFICULTIES</t>
        </is>
      </c>
      <c r="F44" s="208" t="inlineStr">
        <is>
          <t>see its own entry</t>
        </is>
      </c>
      <c r="G44" s="208" t="inlineStr">
        <is>
          <t>YES — assess separately</t>
        </is>
      </c>
      <c r="H44" s="171" t="inlineStr">
        <is>
          <t>WHERE THIS SITS
▸  Sits under 1. Assessment, alongside Autism.
▸  NEPS category: 4. SOCIAL — and 1. LEARNING where language or cognition is implicated</t>
        </is>
      </c>
      <c r="I44" s="171" t="inlineStr">
        <is>
          <t>HOW OFTEN IT CO-OCCURS
▸  Rate not stated in source — check before quoting.</t>
        </is>
      </c>
      <c r="J44" s="171" t="inlineStr">
        <is>
          <t>HOW IT PRESENTS WHEN IT CO-OCCURS
▸  very common and under-treated. Ask, because a child sleeping five hours will present very differently.</t>
        </is>
      </c>
      <c r="K44" s="171" t="inlineStr">
        <is>
          <t>THE RISK
▸  Do not assume the primary diagnosis explains this.
▸  Write down before you start what the primary diagnosis does NOT explain, then assess that.
▸  Diagnostic overshadowing is the single most common error in co-occurring presentations.</t>
        </is>
      </c>
      <c r="L44" s="171" t="inlineStr">
        <is>
          <t>—</t>
        </is>
      </c>
      <c r="M44" s="171" t="inlineStr">
        <is>
          <t>—</t>
        </is>
      </c>
      <c r="N44" s="171" t="inlineStr">
        <is>
          <t>—</t>
        </is>
      </c>
      <c r="O44" s="171" t="inlineStr">
        <is>
          <t>ASSESS
▸  Assess this separately, with its own measures.
▸  Build the case for each condition independently rather than letting evidence for one carry the other.</t>
        </is>
      </c>
      <c r="P44" s="171" t="inlineStr">
        <is>
          <t>DO
▸  State in the report what would be needed to establish this second presentation.
▸  That is often a referral rather than a conclusion you can reach yourself.</t>
        </is>
      </c>
      <c r="Q44" s="171" t="inlineStr">
        <is>
          <t>—</t>
        </is>
      </c>
      <c r="R44" s="171" t="inlineStr">
        <is>
          <t>—</t>
        </is>
      </c>
      <c r="S44" s="171" t="inlineStr">
        <is>
          <t>YOUR PRACTICE
▸  Bring it to supervision: for each child on my caseload with this diagnosis, what has NOT been assessed because the diagnosis was already there?</t>
        </is>
      </c>
      <c r="T44" s="171" t="inlineStr">
        <is>
          <t>WHAT TO DO NEXT
▸  Assess separately, then refer if the threshold is met.</t>
        </is>
      </c>
      <c r="U44" s="171" t="inlineStr">
        <is>
          <t>WHERE THE EVIDENCE GOES
▸  Psychological report — state the co-occurrence and what it changes.</t>
        </is>
      </c>
      <c r="V44" s="171" t="inlineStr">
        <is>
          <t>—</t>
        </is>
      </c>
    </row>
    <row r="45" ht="408.75" customHeight="1" s="128">
      <c r="A45" s="210" t="inlineStr">
        <is>
          <t>PRESENTATION</t>
        </is>
      </c>
      <c r="B45" s="210" t="inlineStr">
        <is>
          <t>1. Assessment</t>
        </is>
      </c>
      <c r="C45" s="170" t="inlineStr">
        <is>
          <t>School Age (6–12 years)</t>
        </is>
      </c>
      <c r="D45" s="210" t="inlineStr">
        <is>
          <t>SYMPTOM-ONLY</t>
        </is>
      </c>
      <c r="E45" s="211" t="inlineStr">
        <is>
          <t>Presentations related to Autism — no diagnosis</t>
        </is>
      </c>
      <c r="F45" s="210" t="inlineStr">
        <is>
          <t>No DSM code</t>
        </is>
      </c>
      <c r="G45" s="210" t="inlineStr">
        <is>
          <t>YES — these present at every band</t>
        </is>
      </c>
      <c r="H45" s="170" t="inlineStr">
        <is>
          <t>WHERE THIS SITS
▸  NEPS category: as above
▸  UCD competency: 1. Assessment
▸  CORU: 3.1 · 3.2 · 5.28 · 5.29 · 5.30 · 5.31 · 5.32
▸  PSI: 2.2.2 · 2.3.1 · 1.3.1 · 1.2.8</t>
        </is>
      </c>
      <c r="I45" s="170" t="inlineStr">
        <is>
          <t>THE PRESENTATIONS — no diagnosis needed, and most referrals look like this
▸  Social communication differences without diagnosis
▸  Masking and the cost of it
▸  Loneliness without observable difficulty
▸  Pathological Demand Avoidance (PDA) profile
▸  Sensory modulation differences
▸  Rigidity and routine that is not OCD</t>
        </is>
      </c>
      <c r="J45" s="170" t="inlineStr">
        <is>
          <t>HOW COMMON
▸  No prevalence figures exist for these — they are descriptions, not categories.
▸  They are more common than the diagnosis they sit beside.</t>
        </is>
      </c>
      <c r="K45" s="170" t="inlineStr">
        <is>
          <t>THE PATHWAY
▸  No diagnostic pathway. Nobody diagnoses these.
▸  You describe them, formulate around them, and recommend. That is the whole pathway.
▸  If a parent asks who diagnoses it: nobody. Say that plainly, and say it does not make the difficulty less real or less workable.</t>
        </is>
      </c>
      <c r="L45" s="170" t="inlineStr">
        <is>
          <t>WHAT YOU SEE
▸  These are what the referral form actually describes in Section 5.
▸  Look for the pattern across settings rather than a threshold.</t>
        </is>
      </c>
      <c r="M45" s="170" t="inlineStr">
        <is>
          <t>RED FLAGS
▸  Escalating distress, withdrawal or risk indicators — follow the protocol regardless of whether a diagnosis exists.
▸  Do not let the absence of a diagnosis delay a safeguarding response.</t>
        </is>
      </c>
      <c r="N45" s="170" t="inlineStr">
        <is>
          <t>WHAT ELSE COULD IT BE
▸  Each of these can be the visible edge of the diagnosed condition above.
▸  Each can also occur entirely on its own.
▸  Test the sequence: which came first?</t>
        </is>
      </c>
      <c r="O45" s="170" t="inlineStr">
        <is>
          <t>ASSESS
▸  Observation with a comparison peer.
▸  Teacher and parent interview.
▸  Pupil interview — their account is the evidence here.
▸  Rating scales describe perception, not the presentation itself.</t>
        </is>
      </c>
      <c r="P45" s="170" t="inlineStr">
        <is>
          <t>DO
▸  Name the presentation precisely rather than reaching for a label.
▸  Recommend at the level of the behaviour, not the hypothetical diagnosis.
▸  Specify what, who, how often, for how long, and how it will be measured.
▸  Name the Continuum of Support level.</t>
        </is>
      </c>
      <c r="Q45" s="170" t="inlineStr">
        <is>
          <t>EXPLAIN
▸  To a parent: “There isn’t a diagnosis for this, and it’s still real and still workable. Here’s what we do.”
▸  To a teacher: describe the behaviour in countable terms, not in trait terms.
▸  To the child: ask what helps, and use their words in the report.</t>
        </is>
      </c>
      <c r="R45" s="170" t="inlineStr">
        <is>
          <t>CHILD’S VOICE AND QUESTIONS
▸  Talking Mats · Blob Tree · scaling on a drawn ladder · sentence completion · day mapping.
▸  Q: “So there’s nothing wrong with him?” A: “There’s a real difficulty and it doesn’t have a label. Labels help get resources; they don’t make a difficulty more or less real.”
▸  Q: “Should we get him assessed privately?” A: give the honest position on what a diagnosis would and would not change here.</t>
        </is>
      </c>
      <c r="S45" s="170" t="inlineStr">
        <is>
          <t>YOUR PRACTICE
▸  Bring a case where you were pulled toward a label the data did not support.
▸  Reflect: did I describe, or did I reach? Whose language did I use?</t>
        </is>
      </c>
      <c r="T45" s="170" t="inlineStr">
        <is>
          <t>WHAT TO DO NEXT
▸  Proceed to formulation. These belong at the behavioural level of the Interactive Factors Framework.
▸  Test whether an unmet learning need is underneath before concluding anything.</t>
        </is>
      </c>
      <c r="U45" s="170" t="inlineStr">
        <is>
          <t>WHERE THE EVIDENCE GOES
▸  Psychological report
▸  Appendix 5 entry
▸  Log sheet</t>
        </is>
      </c>
      <c r="V45" s="170" t="inlineStr">
        <is>
          <t>CITATIONS
▸  Frederickson &amp; Cline (2009)
▸  Monsen &amp; Frederickson (2008)
▸  NEPS Continuum of Support</t>
        </is>
      </c>
    </row>
    <row r="46" ht="408.75" customHeight="1" s="128">
      <c r="A46" s="205" t="inlineStr">
        <is>
          <t>CONDITION</t>
        </is>
      </c>
      <c r="B46" s="205" t="inlineStr">
        <is>
          <t>1. Assessment</t>
        </is>
      </c>
      <c r="C46" s="206" t="inlineStr">
        <is>
          <t>School Age (6–12 years)</t>
        </is>
      </c>
      <c r="D46" s="205" t="inlineStr">
        <is>
          <t>DIAGNOSED</t>
        </is>
      </c>
      <c r="E46" s="206" t="inlineStr">
        <is>
          <t>ADHD</t>
        </is>
      </c>
      <c r="F46" s="205" t="inlineStr">
        <is>
          <t>DSM-5-TR Attention-Deficit/Hyperactivity Disorder · ICD-11 6A05</t>
        </is>
      </c>
      <c r="G46" s="205" t="inlineStr">
        <is>
          <t>YES — peak identification</t>
        </is>
      </c>
      <c r="H46" s="207" t="inlineStr">
        <is>
          <t>WHERE THIS SITS
▸  NEPS referral form category: 1. LEARNING (1.1 Attention, concentration and work skills) — and 2. BEHAVIOUR
▸  UCD competency: 1. Assessment
▸  CORU: 3.1 · 3.2 · 5.28 · 5.29 · 5.30 · 5.31 · 5.32
▸  PSI: 2.2.2 · 2.3.1 · 1.3.1 · 1.2.8
▸  Law and policy: Children First Act 2015 · EPSEN Act 2004 · Equal Status Acts 2000–2018 · GDPR</t>
        </is>
      </c>
      <c r="I46" s="207" t="inlineStr">
        <is>
          <t>WHAT IT IS, AND WHAT IT IS NOT
▸  A neurodevelopmental condition defined by a persistent pattern of INATTENTION and/or HYPERACTIVITY-IMPULSIVITY that interferes with functioning or development (APA, 2022, DSM-5-TR).
▸  Three presentations: predominantly inattentive, predominantly hyperactive/impulsive, and combined. Presentation can change with age — hyperactivity typically reduces while inattention persists.
▸  Criteria require: several symptoms present before age 12; symptoms in TWO OR MORE settings; clear interference with functioning; and not better explained by another condition.
▸  The best-supported account is of EXECUTIVE FUNCTION and DELAY AVERSION difficulties, not of a deficit of attention per se — attention is often intense on high-interest tasks. Barkley (1997) frames it as a disorder of behavioural inhibition and self-regulation.
▸  It is DIMENSIONAL. Traits are continuously distributed; the diagnostic line is a judgement about impairment.
▸  Heritability is among the highest of any psychiatric condition, commonly estimated around 70–80%.
▸  NOT caused by sugar. Wolraich, Wilson &amp; White (1995) meta-analysed this and found no effect on behaviour or cognition. The belief persists strongly.
▸  NOT caused by screens, poor parenting or bad teaching. These can worsen presentation; they do not cause it.
▸  NOT an absence of attention. Hyperfocus on high-interest activity is characteristic and is routinely used as evidence AGAINST the diagnosis by teachers and family. It is not.
▸  NOT only hyperactive boys. The predominantly inattentive presentation is under-identified, particularly in girls, who are more often quiet, disorganised and internalising.
▸  NOT outgrown. Hyperactivity reduces; inattention and executive difficulty commonly persist into adulthood.
▸  NOT resolved by medication alone. Medication is effective for core symptoms in many people and does not teach skills, organise an environment, or repair self-concept.</t>
        </is>
      </c>
      <c r="J46" s="207" t="inlineStr">
        <is>
          <t>HOW COMMON AT THIS AGE
▸  OVERALL: worldwide pooled prevalence in children and adolescents around 5–7% (Polanczyk et al., 2007, 2014 meta-analyses). Adult prevalence around 2.5%.
▸  IRELAND: ADHD Ireland cites around 5% of children. Department of Education and HSE identification figures will be lower than prevalence.
▸  SCHOOL AGE 6–12: peak identification. This is where the majority of diagnoses are made.
▸  SEX RATIO: clinic samples historically 3:1 to 9:1 male. Community samples closer to 2:1 or lower, indicating substantial under-identification in girls — the same diagnostic bias pattern as autism.
▸  AT OTHER AGES (for context): EARLY YEARS 0–5 · ADOLESCENT 13–16 · ADULT</t>
        </is>
      </c>
      <c r="K46" s="207" t="inlineStr">
        <is>
          <t>THE PATHWAY AND THE TIMELINE
▸ TYPICAL AGE OF IDENTIFICATION, AND WHY THEN
   Usually 6–12. Criteria require symptoms before age 12 and in two or more settings. Identification clusters when sustained independent seatwork begins, because that is the demand the difficulty is most visible against. The inattentive presentation is identified considerably later, and girls later again.
▸ WHO DIAGNOSES IT
   Ireland: CAMHS, or Primary Care Psychology / community paediatrics depending on complexity and region. Medication is prescribed by a psychiatrist or paediatrician, never by a psychologist. Private assessment is common because of waiting times.
▸ WHO COULD HAVE WRITTEN THE REPORT IN FRONT OF YOU
   CAMHS psychiatrist or psychologist. Community paediatrician. Private psychologist or psychiatrist. A school-completed Conners or SDQ is a screening instrument, not a diagnosis.
▸ WHO YOU REFER TO
   CAMHS or Primary Care depending on complexity. GP first in many areas. OT where motor or sensory. SLT where instruction-following is the issue.
▸ 'SHOULD WE HAVE COME SOONER?'
   'Most children are identified around this age, because it's when the demands make it visible. If she's the quiet, disorganised kind rather than the disruptive kind, that's the presentation most often missed — and that's about how the system notices, not about you.'</t>
        </is>
      </c>
      <c r="L46" s="207" t="inlineStr">
        <is>
          <t>WHAT YOU SEE AT THIS AGE
▸  Usually when sustained seatwork begins. Conners-4 parent and teacher, BRIEF-2, TEA-Ch2, observation with comparison peer.
▸  EARLY YEARS 0–5: rarely diagnosed and hard to distinguish from typical development. Conners EC, structured observation, developmental history. Frame as developmental rather than diagnostic.
▸  SCHOOL AGE 6–12: the main identification window, usually when sustained seatwork demands begin. Conners-4 parent and teacher, BRIEF-2, TEA-Ch2, classroom observation with a comparison peer. Parent-teacher disagreement is common and is data.
▸  ADOLESCENT 13–16: hyperactivity declines; organisation, homework and time-management difficulties dominate. Self-report becomes essential — Conners-4 self-report, BRIEF-2 self-report. Risk-taking and substance use need asking about.
▸  YOUNG ADULT 17–26: adult services, DSA for third level, workplace adjustment. Many first identified here.
▸  SPECIAL SETTING: distinguish ADHD from work pitched above the pupil's level. Rule the second out first.</t>
        </is>
      </c>
      <c r="M46" s="207" t="inlineStr">
        <is>
          <t>RED FLAGS AND BOUNDARIES
▸  RED FLAG — an adolescent with ADHD and emerging substance use, self-harm or risk-taking. Elevated risk across all three. Follow the risk protocol.
▸  RED FLAG — a child on medication whose presentation has changed sharply. Could be dose, could be something else. Medical; refer, do not adjust anything.
▸  RED FLAG — sudden onset of attention difficulty in a previously settled child. ADHD is developmental and present before 12. Sudden onset suggests something else — sleep, illness, trauma, a life event.
▸  BOUNDARY — you do not diagnose ADHD and you do not advise on medication. PSI 2.2.2, 2.2.3.
▸  WATCH — inattention is the final common pathway of many things: hearing loss, anxiety, sleep deprivation, an unidentified learning difficulty, trauma. Rule those out before concluding.</t>
        </is>
      </c>
      <c r="N46" s="207" t="inlineStr">
        <is>
          <t>WHAT ELSE COULD IT BE, AND WHAT CO-OCCURS
▸  SPECIFIC LEARNING DIFFICULTY — 30–50% overlap. PRESENTS AS: inattention during literacy work specifically. ALWAYS assess attainment; escape from an unreadable task looks identical to inattention.
▸  AUTISM — 28–44%. PRESENTS AS: social difficulty plus attention difficulty. Dual diagnosis has been permitted since DSM-5 (2013); older records may not reflect it.
▸  ODD / CONDUCT DIFFICULTY — elevated, particularly where ADHD has gone unidentified and the child has accumulated years of correction. PRESENTS AS: defiance that is often a learned response to chronic failure.
▸  ANXIETY AND LOW MOOD — elevated, usually secondary. PRESENTS AS: avoidance and somatic complaints. Treat the ADHD and much reduces, but not all.
▸  DCD — elevated. PRESENTS AS: messy, slow written work attributed to carelessness.
▸  DLD — elevated. PRESENTS AS: not following instructions, which is comprehension rather than attention.
▸  SLEEP DIFFICULTY — very common and bidirectional. Always ask; a child sleeping six hours will screen positive on everything.</t>
        </is>
      </c>
      <c r="O46" s="207" t="inlineStr">
        <is>
          <t>TOOLS VALID AT THIS BAND
▸  Conners-4 — AGE 6:0–18:11 (self-report 8+)
     MEASURES: ADHD-related behaviour across parent, teacher and self-report.
     CANNOT TELL YOU: Diagnosis. Rating scales are informant perception, and parent–teacher disagreement is itself a finding.
     TIME: 10–20 min per rater
▸  BRIEF-2 — AGE 5:0–18:0
     MEASURES: Everyday executive function: inhibit, shift, emotional control, initiate, working memory, plan/organise, monitor.
     CANNOT TELL YOU: Performance-based executive function. BRIEF-2 and a performance task can disagree and both be valid.
     TIME: 10–15 min per rater
▸  TEA-Ch2 — AGE 5:0–15:11
     MEASURES: Sustained, selective and switching attention, performance-based.
     CANNOT TELL YOU: Everyday functioning — pair with BRIEF-2 or Conners.
     TIME: 30–60 min
▸  SDQ — AGE 4–17
     MEASURES: Emotional, conduct, hyperactivity, peer, prosocial, plus impact supplement.
     CANNOT TELL YOU: Anything diagnostic. Use the impact supplement — it carries more information than the scales.
     TIME: 5–10 min
▸  BASC-3 — AGE 2:0–21:11
     MEASURES: Broad behavioural and emotional functioning, parent, teacher and self-report.
     CANNOT TELL YOU: Why. It describes the pattern and leaves the formulation to you.
     TIME: 20–30 min per rater
▸  RCADS — AGE 8–18, parent and child
     MEASURES: Anxiety and depression subscales mapped to DSM categories.
     CANNOT TELL YOU: Diagnosis or risk. Screen positive means refer, not conclude.
     TIME: 10–15 min
▸  Piers-Harris 3 — AGE 7–18
     MEASURES: Self-concept across six domains.
     CANNOT TELL YOU: Whether low self-concept is cause or consequence — usually it is consequence.
     TIME: 10–15 min
▸  WIAT-III UK — AGE 4:0–25:11
     MEASURES: Word reading, reading comprehension, spelling, written expression, numerical operations, maths problem solving.
     CANNOT TELL YOU: Whether the difficulty is instructional or constitutional. Always ask what has actually been taught before concluding disorder.
     TIME: 60–90 min
▸  YARC (York Assessment of Reading for Comprehension) — AGE 4:0–16:0
     MEASURES: Reading accuracy, rate and comprehension from passages.
     CANNOT TELL YOU: Underlying phonological processing — pair with a phonological measure.
     TIME: 20–30 min
▸  Neale Analysis of Reading Ability — AGE 6:0–12:11
     MEASURES: Accuracy, comprehension, rate from graded passages.
     CANNOT TELL YOU: Spelling or written expression.
     TIME: 20–30 min
▸  DASH — AGE 9:0–16:11
     MEASURES: Handwriting speed across five tasks.
     CANNOT TELL YOU: Legibility or the reason for slowness — motor, orthographic or planning.
     TIME: 20–25 min
▸  Phonological Assessment Battery (PhAB2) — AGE 5:0–14:11
     MEASURES: Phonological awareness, rapid naming, phonological memory.
     CANNOT TELL YOU: Reading comprehension or vocabulary.
     TIME: 30 min
▸  WISC-V UK — AGE 6:0–16:11
     MEASURES: Verbal comprehension, visual spatial, fluid reasoning, working memory, processing speed; FSIQ and GAI.
     CANNOT TELL YOU: Why the profile looks as it does, whether the child was taught the content, and anything about a child assessed in a second language without caution. Where index scatter exceeds 23 points, report GAI rather than FSIQ and say why.
     TIME: 65–80 min
▸  WNV (Wechsler Non-Verbal) — AGE 4:0–21:11
     MEASURES: Non-verbal cognitive ability with minimal language demand.
     CANNOT TELL YOU: Verbal reasoning. Useful where EAL or a language disorder would invalidate a verbal battery.
     TIME: 20–45 min
▸  BAS-3 — AGE 3:0–17:11
     MEASURES: Cognitive ability and achievement, UK-normed.
     CANNOT TELL YOU: Same limits as any cognitive battery. Check which edition and norms your service holds.
     TIME: 45–90 min</t>
        </is>
      </c>
      <c r="P46" s="207" t="inlineStr">
        <is>
          <t>WHAT YOU DO, AND WHAT YOU WRITE
▸  EXTERNALISE THE EXECUTIVE FUNCTION. Visual task lists, checklists, timers, a written homework record. Do not expect internal organisation and then penalise its absence.
▸  ONE INSTRUCTION AT A TIME, or written down. Working memory is usually the bottleneck.
▸  CHUNK WORK with a visible finish line. 'Do five, then show me' beats 'do the page'.
▸  LEGITIMATE MOVEMENT built in — a job, an errand, a standing option. Movement suppressed re-emerges as disruption.
▸  PRIVATE CUES, not public correction. Agree a signal with the child in advance.
▸  SEATING and proximity to the teacher, away from high-traffic areas. Cheap and effective.
▸  ASSESS ATTAINMENT. Never treat inattention as the whole story until an unidentified learning difficulty is ruled out.
▸  SELF-MONITORING for older children — a simple tally the child keeps themselves. Evidence supports self-monitoring and it transfers ownership.
▸  HOMEWORK: negotiate volume rather than expecting the same as peers. A child taking three hours over thirty minutes' work is not learning.
▸  CONTINUUM LEVEL: School Support, or School Support Plus where outside services are involved.
▸  REFER: CAMHS or Primary Care for diagnostic assessment depending on complexity; OT where motor or sensory; SLT where instructions are the issue.
▸  DO NOT recommend diet change, omega supplements or screen elimination as treatments for core ADHD. The evidence does not support them and PSI 4.2.2 applies.</t>
        </is>
      </c>
      <c r="Q46" s="207" t="inlineStr">
        <is>
          <t>EXPLAIN
▸  TO A PARENT
▸  'ADHD is a difference in the brain's self-management system — starting things, stopping things, holding information in mind, and resisting distraction. It's not about not caring or not trying.'
▸  'The name is a bit misleading. It isn't a shortage of attention — it's difficulty DIRECTING attention to order. That's why he can spend three hours on something he loves and three minutes on homework.'
▸  'It's highly heritable. Very often a parent recognises a lot of it in themselves, and that's worth knowing rather than avoiding.'
▸  'It's not caused by sugar, screens or parenting. Those can make a hard day harder. They didn't cause this.'
▸  'What helps is structure that's external rather than expected of him — visual reminders, broken-down tasks, movement built in — plus, for some children, medication, which is a medical decision and not mine.'
▸  SIGNPOST: ADHD Ireland, and the CAMHS or Primary Care route for assessment.
▸  TO A TEACHER
▸  'The difficulty is executive function — starting, sustaining, switching and inhibiting. Think of it as a self-management difficulty rather than a listening problem.'
▸  'Hyperfocus is part of the picture, not evidence against it. Being able to concentrate on something interesting is normal for ADHD.'
▸  'Put the structure outside the child. Visual task lists, one instruction at a time, chunked work with a clear finish line, and a legitimate way to move.'
▸  'Proximity and private cues work better than public correction. Public correction costs the relationship and rarely changes the behaviour.'
▸  'Working memory is usually the bottleneck. Three-step instructions arrive as one step. Write them down or give them one at a time.'
▸  'Notice the inattentive presentation. The quiet, disorganised child who never causes trouble is the one most likely to be missed.'
▸  TO THE CHILD
▸  YOUNGER: 'Your brain is really good at noticing everything all at once. That's great for spotting things and it makes it hard when you only need to notice one thing. It also makes it tricky to get started and to stop.'
▸  OLDER: 'ADHD means the part of your brain that manages what you do next works differently. Starting things is harder, stopping is harder, and holding instructions in your head is harder. It's not about effort and it's not about being clever.'
▸  NAME THE HYPERFOCUS AS A STRENGTH, specifically: 'you spent an hour on that and got it exactly right — that's your brain doing what it does well.'
▸  ASK: 'What's the hardest part of the school day?' and 'when is it easiest?' The comparison is where the intervention comes from.
▸  BE CAREFUL WITH 'you just need to try harder' language, including your own. Children with ADHD have usually heard it for years and it is the fastest route to disengagement.
▸  ANALOGIES
▸  THE ORCHESTRA WITHOUT A CONDUCTOR: 'All the instruments are there and they're good ones. What's missing is the conductor deciding who plays when.' Barkley's inhibition account in plain terms; works well with parents and older children.
▸  THE BROWSER WITH FORTY TABS: 'Everything's open at once and something's playing music and you can't find which tab.' Good with adolescents — it is recognisable rather than pathologising.
▸  THE RAIN AND THE UMBRELLA (medication): 'Medication doesn't teach him to organise. It holds the umbrella so he can learn while it's raining.' Good for parents deciding about medication.
▸  THE INTEREST-POWERED ENGINE: 'Most engines run on petrol. This one runs on interest and urgency. When there's neither, it won't start — no matter how hard you push it.' Explains hyperfocus and homework in one image.
▸  LANGUAGE
▸  'ADHD' is the accepted term and is used by advocacy organisations including ADHD Ireland.
▸  Community preference is mixed on person-first versus identity-first; 'person with ADHD' and 'ADHDer' are both in use. Ask.
▸  Avoid: 'suffers from ADHD', 'hyper', 'ADD' (no longer a diagnostic term — it was folded into ADHD in DSM-IV).
▸  Avoid describing children as 'naughty', 'defiant' or 'lazy' in reports. These are interpretations, and PSI 1.2.8 requires labelling opinion clearly.</t>
        </is>
      </c>
      <c r="R46" s="207" t="inlineStr">
        <is>
          <t>THE CHILD’S VOICE, AND THE QUESTIONS
▸  'MY THOUGHTS ABOUT SCHOOL' (NEPS) — Irish, free, in schools already. Good because staff recognise it and it surfaces the school-day map. → https://www.gov.ie/en/publication/52ee2-neps-resources-and-publications/
▸  DAY MAPPING — the child marks a timeline of a typical day green/amber/red. Good because it locates the difficulty in time and setting rather than in the child, and generates precise targets.
▸  SCALING ON A LADDER — good because it gives a follow-up question ('what puts you at a 4?') that produces exceptions.
▸  ADHD IRELAND young people's materials — Irish context, written for young people. Good because self-understanding predicts self-advocacy in adolescence. → https://adhdireland.ie/
▸  STRENGTHS CARD SORT — the child sorts strengths cards into 'like me' / 'not like me'. Good because children with ADHD have usually accumulated years of negative feedback and direct questions about strengths produce nothing.
▸  QUESTIONS YOU WILL BE ASKED
▸  Q: 'But he can play video games for hours — so how can he have attention problems?' — A: 'That's hyperfocus and it's part of the picture rather than evidence against it. The difficulty is directing attention to order, not having none. High-interest activity supplies the direction for him.'
▸  Q: 'Is it the sugar?' — A: 'No. That's been tested properly — a meta-analysis found no effect of sugar on behaviour or cognition. It's one of the most persistent beliefs about ADHD and it isn't supported.'
▸  Q: 'Is it my parenting?' — A: 'No. It's highly heritable and present from early development. Parenting affects how hard the days are; it didn't cause this.'
▸  Q: 'Will he need medication?' — A: 'That's a medical decision and not mine to make. What I can say is that medication helps core symptoms for many children and doesn't teach organisation or repair confidence — so it's usually one part rather than the answer.'
▸  Q: 'Will he grow out of it?' — A: 'The hyperactivity usually reduces. The organisation and attention side often continues into adulthood. Most people find strategies that work.'
▸  Q: 'The teacher says he's fine when he wants to be.' — A: 'I'd want to look at when those times are, because that usually tells us exactly what he needs. If he's fine in short, structured, interesting tasks, that's the design brief rather than proof he could do it all along.'
▸  Q: 'She's quiet and does her work, so it can't be ADHD?' — A: 'The inattentive presentation looks like that — quiet, disorganised, drifting rather than disruptive. It's the one most often missed, especially in girls.'
▸  Q: 'Isn't ADHD over-diagnosed?' — A: 'It's both, in different places. Under-identified in girls and in the inattentive presentation, and there are concerns about identification in other groups. What matters here is whether this child meets criteria and is impaired, which is what the assessment looks at.'</t>
        </is>
      </c>
      <c r="S46" s="207" t="inlineStr">
        <is>
          <t>YOUR PRACTICE
▸  SUPERVISION
▸  Bring a case where parent and teacher ratings diverged sharply and ask how your supervisor reads that.
▸  Ask about the local referral route and threshold — CAMHS versus Primary Care — and what actually gets accepted.
▸  Raise any case where you suspect an unidentified learning difficulty underneath the attention referral. This is the most common formulation error in ADHD work.
▸  Discuss what you say to a parent asking about medication, word for word.
▸  Ask how your service handles a school that is treating ADHD as a behaviour problem.
▸  Bring the quiet inattentive child you nearly missed. There will be one.
▸  REFLECTION
▸  ON HOW I EXPLAINED IT — Did I explain ADHD, or did I explain what this child needs on Monday? Did the teacher leave with something specific?
▸  ON LANGUAGE — Did I use the family's terms or mine? Did I check whether the young person prefers 'has ADHD' or 'is ADHD'?
▸  ON THE HYPERFOCUS CONVERSATION — When someone said 'he can concentrate when he wants to', did I correct it clearly, or let it stand because contradicting felt awkward?
▸  ON MY OWN LANGUAGE IN THE REPORT — did I write 'refuses', 'won't', 'chooses not to'? Those are interpretations, and they follow a child for years.
▸  ON RULING OUT — did I assess attainment, ask about hearing, ask about sleep, before concluding attention? If not, my formulation is a hypothesis presented as a finding.
▸  ON THE INATTENTIVE CHILD — am I identifying the quiet ones, or only the ones the school is finding difficult?
▸  WHAT GOOD LOOKS LIKE: 'I had framed my feedback around attention, and the teacher pushed back that he concentrates fine in art. Rather than defending, I asked what art looks like — short tasks, movement, immediate feedback, high interest. That became the recommendation. My first framing would have produced an argument.'
▸  WHAT POOR LOOKS LIKE: 'Consistent with ADHD; referral recommended.' — no ruling out, no recommendations the school can act on, nothing learned.</t>
        </is>
      </c>
      <c r="T46" s="207" t="inlineStr">
        <is>
          <t>WHAT TO DO NEXT
▸  Proceed to FORMULATION using a named framework — Monsen, Interactive Factors, COMOIRA or Carr.
▸  If a learning need may be driving the presentation, proceed to attainment assessment before concluding.
▸  If risk or safeguarding emerged, none of the above — follow the protocol and tell your supervisor the same day.
▸  If the referral question is not answered by what you found, go back and renegotiate it.</t>
        </is>
      </c>
      <c r="U46" s="207" t="inlineStr">
        <is>
          <t>WHERE THE EVIDENCE GOES
▸  Psychological report
▸  Appendix 5 entry tagged 1. Assessment
▸  Appendix 7 if observed
▸  Table 3 — School Age
▸  Log sheet — tag the referral area and the competency</t>
        </is>
      </c>
      <c r="V46" s="207" t="inlineStr">
        <is>
          <t>CITATIONS
▸  American Psychiatric Association (2022). DSM-5-TR — Attention-Deficit/Hyperactivity Disorder.
▸  Polanczyk, G., de Lima, M. S., Horta, B. L., Biederman, J., &amp; Rohde, L. A. (2007). The worldwide prevalence of ADHD: A systematic review and metaregression analysis. American Journal of Psychiatry, 164(6), 942–948.
▸  Barkley, R. A. (1997). Behavioral inhibition, sustained attention, and executive functions. Psychological Bulletin, 121(1), 65–94.
▸  Wolraich, M. L., Wilson, D. B., &amp; White, J. W. (1995). The effect of sugar on behavior or cognition in children: A meta-analysis. JAMA, 274(20), 1617–1621.
▸  Willcutt, E. G. (2012). The prevalence of DSM-IV ADHD: A meta-analytic review. Neurotherapeutics, 9(3), 490–499.
▸  Pennington, B. F. (2006). From single to multiple deficit models of developmental disorders. Cognition, 101(2), 385–413.
▸  NICE (2018, updated). Attention deficit hyperactivity disorder: diagnosis and management. NG87.</t>
        </is>
      </c>
    </row>
    <row r="47" ht="169.5" customHeight="1" s="128">
      <c r="A47" s="208" t="inlineStr">
        <is>
          <t>CO-OCCURRING</t>
        </is>
      </c>
      <c r="B47" s="208" t="inlineStr">
        <is>
          <t>1. Assessment</t>
        </is>
      </c>
      <c r="C47" s="171" t="inlineStr">
        <is>
          <t>School Age (6–12 years)</t>
        </is>
      </c>
      <c r="D47" s="208" t="inlineStr">
        <is>
          <t>CO-OCCURS WITH ADHD</t>
        </is>
      </c>
      <c r="E47" s="209" t="inlineStr">
        <is>
          <t>SPECIFIC LEARNING DIFFICULTY</t>
        </is>
      </c>
      <c r="F47" s="208" t="inlineStr">
        <is>
          <t>see its own entry</t>
        </is>
      </c>
      <c r="G47" s="208" t="inlineStr">
        <is>
          <t>YES — assess separately</t>
        </is>
      </c>
      <c r="H47" s="171" t="inlineStr">
        <is>
          <t>WHERE THIS SITS
▸  Sits under 1. Assessment, alongside ADHD.
▸  NEPS category: 1. LEARNING (1.1 Attention, concentration and work skills) — and 2. BEHAVIOUR</t>
        </is>
      </c>
      <c r="I47" s="171" t="inlineStr">
        <is>
          <t>HOW OFTEN IT CO-OCCURS
▸  30–50% overlap.</t>
        </is>
      </c>
      <c r="J47" s="171" t="inlineStr">
        <is>
          <t>HOW IT PRESENTS WHEN IT CO-OCCURS
▸  inattention during literacy work specifically. ALWAYS assess attainment; escape from an unreadable task looks identical to inattention.</t>
        </is>
      </c>
      <c r="K47" s="171" t="inlineStr">
        <is>
          <t>THE RISK
▸  Do not assume the primary diagnosis explains this.
▸  Write down before you start what the primary diagnosis does NOT explain, then assess that.
▸  Diagnostic overshadowing is the single most common error in co-occurring presentations.</t>
        </is>
      </c>
      <c r="L47" s="171" t="inlineStr">
        <is>
          <t>—</t>
        </is>
      </c>
      <c r="M47" s="171" t="inlineStr">
        <is>
          <t>—</t>
        </is>
      </c>
      <c r="N47" s="171" t="inlineStr">
        <is>
          <t>—</t>
        </is>
      </c>
      <c r="O47" s="171" t="inlineStr">
        <is>
          <t>ASSESS
▸  Assess this separately, with its own measures.
▸  Build the case for each condition independently rather than letting evidence for one carry the other.</t>
        </is>
      </c>
      <c r="P47" s="171" t="inlineStr">
        <is>
          <t>DO
▸  State in the report what would be needed to establish this second presentation.
▸  That is often a referral rather than a conclusion you can reach yourself.</t>
        </is>
      </c>
      <c r="Q47" s="171" t="inlineStr">
        <is>
          <t>—</t>
        </is>
      </c>
      <c r="R47" s="171" t="inlineStr">
        <is>
          <t>—</t>
        </is>
      </c>
      <c r="S47" s="171" t="inlineStr">
        <is>
          <t>YOUR PRACTICE
▸  Bring it to supervision: for each child on my caseload with this diagnosis, what has NOT been assessed because the diagnosis was already there?</t>
        </is>
      </c>
      <c r="T47" s="171" t="inlineStr">
        <is>
          <t>WHAT TO DO NEXT
▸  Assess separately, then refer if the threshold is met.</t>
        </is>
      </c>
      <c r="U47" s="171" t="inlineStr">
        <is>
          <t>WHERE THE EVIDENCE GOES
▸  Psychological report — state the co-occurrence and what it changes.</t>
        </is>
      </c>
      <c r="V47" s="171" t="inlineStr">
        <is>
          <t>—</t>
        </is>
      </c>
    </row>
    <row r="48" ht="169.5" customHeight="1" s="128">
      <c r="A48" s="208" t="inlineStr">
        <is>
          <t>CO-OCCURRING</t>
        </is>
      </c>
      <c r="B48" s="208" t="inlineStr">
        <is>
          <t>1. Assessment</t>
        </is>
      </c>
      <c r="C48" s="171" t="inlineStr">
        <is>
          <t>School Age (6–12 years)</t>
        </is>
      </c>
      <c r="D48" s="208" t="inlineStr">
        <is>
          <t>CO-OCCURS WITH ADHD</t>
        </is>
      </c>
      <c r="E48" s="209" t="inlineStr">
        <is>
          <t>AUTISM</t>
        </is>
      </c>
      <c r="F48" s="208" t="inlineStr">
        <is>
          <t>see its own entry</t>
        </is>
      </c>
      <c r="G48" s="208" t="inlineStr">
        <is>
          <t>YES — assess separately</t>
        </is>
      </c>
      <c r="H48" s="171" t="inlineStr">
        <is>
          <t>WHERE THIS SITS
▸  Sits under 1. Assessment, alongside ADHD.
▸  NEPS category: 1. LEARNING (1.1 Attention, concentration and work skills) — and 2. BEHAVIOUR</t>
        </is>
      </c>
      <c r="I48" s="171" t="inlineStr">
        <is>
          <t>HOW OFTEN IT CO-OCCURS
▸  28–44%.</t>
        </is>
      </c>
      <c r="J48" s="171" t="inlineStr">
        <is>
          <t>HOW IT PRESENTS WHEN IT CO-OCCURS
▸  social difficulty plus attention difficulty. Dual diagnosis has been permitted since DSM-5 (2013); older records may not reflect it.</t>
        </is>
      </c>
      <c r="K48" s="171" t="inlineStr">
        <is>
          <t>THE RISK
▸  Do not assume the primary diagnosis explains this.
▸  Write down before you start what the primary diagnosis does NOT explain, then assess that.
▸  Diagnostic overshadowing is the single most common error in co-occurring presentations.</t>
        </is>
      </c>
      <c r="L48" s="171" t="inlineStr">
        <is>
          <t>—</t>
        </is>
      </c>
      <c r="M48" s="171" t="inlineStr">
        <is>
          <t>—</t>
        </is>
      </c>
      <c r="N48" s="171" t="inlineStr">
        <is>
          <t>—</t>
        </is>
      </c>
      <c r="O48" s="171" t="inlineStr">
        <is>
          <t>ASSESS
▸  Assess this separately, with its own measures.
▸  Build the case for each condition independently rather than letting evidence for one carry the other.</t>
        </is>
      </c>
      <c r="P48" s="171" t="inlineStr">
        <is>
          <t>DO
▸  State in the report what would be needed to establish this second presentation.
▸  That is often a referral rather than a conclusion you can reach yourself.</t>
        </is>
      </c>
      <c r="Q48" s="171" t="inlineStr">
        <is>
          <t>—</t>
        </is>
      </c>
      <c r="R48" s="171" t="inlineStr">
        <is>
          <t>—</t>
        </is>
      </c>
      <c r="S48" s="171" t="inlineStr">
        <is>
          <t>YOUR PRACTICE
▸  Bring it to supervision: for each child on my caseload with this diagnosis, what has NOT been assessed because the diagnosis was already there?</t>
        </is>
      </c>
      <c r="T48" s="171" t="inlineStr">
        <is>
          <t>WHAT TO DO NEXT
▸  Assess separately, then refer if the threshold is met.</t>
        </is>
      </c>
      <c r="U48" s="171" t="inlineStr">
        <is>
          <t>WHERE THE EVIDENCE GOES
▸  Psychological report — state the co-occurrence and what it changes.</t>
        </is>
      </c>
      <c r="V48" s="171" t="inlineStr">
        <is>
          <t>—</t>
        </is>
      </c>
    </row>
    <row r="49" ht="169.5" customHeight="1" s="128">
      <c r="A49" s="208" t="inlineStr">
        <is>
          <t>CO-OCCURRING</t>
        </is>
      </c>
      <c r="B49" s="208" t="inlineStr">
        <is>
          <t>1. Assessment</t>
        </is>
      </c>
      <c r="C49" s="171" t="inlineStr">
        <is>
          <t>School Age (6–12 years)</t>
        </is>
      </c>
      <c r="D49" s="208" t="inlineStr">
        <is>
          <t>CO-OCCURS WITH ADHD</t>
        </is>
      </c>
      <c r="E49" s="209" t="inlineStr">
        <is>
          <t>ODD / CONDUCT DIFFICULTY</t>
        </is>
      </c>
      <c r="F49" s="208" t="inlineStr">
        <is>
          <t>see its own entry</t>
        </is>
      </c>
      <c r="G49" s="208" t="inlineStr">
        <is>
          <t>YES — assess separately</t>
        </is>
      </c>
      <c r="H49" s="171" t="inlineStr">
        <is>
          <t>WHERE THIS SITS
▸  Sits under 1. Assessment, alongside ADHD.
▸  NEPS category: 1. LEARNING (1.1 Attention, concentration and work skills) — and 2. BEHAVIOUR</t>
        </is>
      </c>
      <c r="I49" s="171" t="inlineStr">
        <is>
          <t>HOW OFTEN IT CO-OCCURS
▸  elevated, particularly where ADHD has gone unidentified and the child has accumulated years of correction.</t>
        </is>
      </c>
      <c r="J49" s="171" t="inlineStr">
        <is>
          <t>HOW IT PRESENTS WHEN IT CO-OCCURS
▸  defiance that is often a learned response to chronic failure.</t>
        </is>
      </c>
      <c r="K49" s="171" t="inlineStr">
        <is>
          <t>THE RISK
▸  Do not assume the primary diagnosis explains this.
▸  Write down before you start what the primary diagnosis does NOT explain, then assess that.
▸  Diagnostic overshadowing is the single most common error in co-occurring presentations.</t>
        </is>
      </c>
      <c r="L49" s="171" t="inlineStr">
        <is>
          <t>—</t>
        </is>
      </c>
      <c r="M49" s="171" t="inlineStr">
        <is>
          <t>—</t>
        </is>
      </c>
      <c r="N49" s="171" t="inlineStr">
        <is>
          <t>—</t>
        </is>
      </c>
      <c r="O49" s="171" t="inlineStr">
        <is>
          <t>ASSESS
▸  Assess this separately, with its own measures.
▸  Build the case for each condition independently rather than letting evidence for one carry the other.</t>
        </is>
      </c>
      <c r="P49" s="171" t="inlineStr">
        <is>
          <t>DO
▸  State in the report what would be needed to establish this second presentation.
▸  That is often a referral rather than a conclusion you can reach yourself.</t>
        </is>
      </c>
      <c r="Q49" s="171" t="inlineStr">
        <is>
          <t>—</t>
        </is>
      </c>
      <c r="R49" s="171" t="inlineStr">
        <is>
          <t>—</t>
        </is>
      </c>
      <c r="S49" s="171" t="inlineStr">
        <is>
          <t>YOUR PRACTICE
▸  Bring it to supervision: for each child on my caseload with this diagnosis, what has NOT been assessed because the diagnosis was already there?</t>
        </is>
      </c>
      <c r="T49" s="171" t="inlineStr">
        <is>
          <t>WHAT TO DO NEXT
▸  Assess separately, then refer if the threshold is met.</t>
        </is>
      </c>
      <c r="U49" s="171" t="inlineStr">
        <is>
          <t>WHERE THE EVIDENCE GOES
▸  Psychological report — state the co-occurrence and what it changes.</t>
        </is>
      </c>
      <c r="V49" s="171" t="inlineStr">
        <is>
          <t>—</t>
        </is>
      </c>
    </row>
    <row r="50" ht="169.5" customHeight="1" s="128">
      <c r="A50" s="208" t="inlineStr">
        <is>
          <t>CO-OCCURRING</t>
        </is>
      </c>
      <c r="B50" s="208" t="inlineStr">
        <is>
          <t>1. Assessment</t>
        </is>
      </c>
      <c r="C50" s="171" t="inlineStr">
        <is>
          <t>School Age (6–12 years)</t>
        </is>
      </c>
      <c r="D50" s="208" t="inlineStr">
        <is>
          <t>CO-OCCURS WITH ADHD</t>
        </is>
      </c>
      <c r="E50" s="209" t="inlineStr">
        <is>
          <t>ANXIETY AND LOW MOOD</t>
        </is>
      </c>
      <c r="F50" s="208" t="inlineStr">
        <is>
          <t>see its own entry</t>
        </is>
      </c>
      <c r="G50" s="208" t="inlineStr">
        <is>
          <t>YES — assess separately</t>
        </is>
      </c>
      <c r="H50" s="171" t="inlineStr">
        <is>
          <t>WHERE THIS SITS
▸  Sits under 1. Assessment, alongside ADHD.
▸  NEPS category: 1. LEARNING (1.1 Attention, concentration and work skills) — and 2. BEHAVIOUR</t>
        </is>
      </c>
      <c r="I50" s="171" t="inlineStr">
        <is>
          <t>HOW OFTEN IT CO-OCCURS
▸  elevated, usually secondary.</t>
        </is>
      </c>
      <c r="J50" s="171" t="inlineStr">
        <is>
          <t>HOW IT PRESENTS WHEN IT CO-OCCURS
▸  avoidance and somatic complaints. Treat the ADHD and much reduces, but not all.</t>
        </is>
      </c>
      <c r="K50" s="171" t="inlineStr">
        <is>
          <t>THE RISK
▸  Do not assume the primary diagnosis explains this.
▸  Write down before you start what the primary diagnosis does NOT explain, then assess that.
▸  Diagnostic overshadowing is the single most common error in co-occurring presentations.</t>
        </is>
      </c>
      <c r="L50" s="171" t="inlineStr">
        <is>
          <t>—</t>
        </is>
      </c>
      <c r="M50" s="171" t="inlineStr">
        <is>
          <t>—</t>
        </is>
      </c>
      <c r="N50" s="171" t="inlineStr">
        <is>
          <t>—</t>
        </is>
      </c>
      <c r="O50" s="171" t="inlineStr">
        <is>
          <t>ASSESS
▸  Assess this separately, with its own measures.
▸  Build the case for each condition independently rather than letting evidence for one carry the other.</t>
        </is>
      </c>
      <c r="P50" s="171" t="inlineStr">
        <is>
          <t>DO
▸  State in the report what would be needed to establish this second presentation.
▸  That is often a referral rather than a conclusion you can reach yourself.</t>
        </is>
      </c>
      <c r="Q50" s="171" t="inlineStr">
        <is>
          <t>—</t>
        </is>
      </c>
      <c r="R50" s="171" t="inlineStr">
        <is>
          <t>—</t>
        </is>
      </c>
      <c r="S50" s="171" t="inlineStr">
        <is>
          <t>YOUR PRACTICE
▸  Bring it to supervision: for each child on my caseload with this diagnosis, what has NOT been assessed because the diagnosis was already there?</t>
        </is>
      </c>
      <c r="T50" s="171" t="inlineStr">
        <is>
          <t>WHAT TO DO NEXT
▸  Assess separately, then refer if the threshold is met.</t>
        </is>
      </c>
      <c r="U50" s="171" t="inlineStr">
        <is>
          <t>WHERE THE EVIDENCE GOES
▸  Psychological report — state the co-occurrence and what it changes.</t>
        </is>
      </c>
      <c r="V50" s="171" t="inlineStr">
        <is>
          <t>—</t>
        </is>
      </c>
    </row>
    <row r="51" ht="169.5" customHeight="1" s="128">
      <c r="A51" s="208" t="inlineStr">
        <is>
          <t>CO-OCCURRING</t>
        </is>
      </c>
      <c r="B51" s="208" t="inlineStr">
        <is>
          <t>1. Assessment</t>
        </is>
      </c>
      <c r="C51" s="171" t="inlineStr">
        <is>
          <t>School Age (6–12 years)</t>
        </is>
      </c>
      <c r="D51" s="208" t="inlineStr">
        <is>
          <t>CO-OCCURS WITH ADHD</t>
        </is>
      </c>
      <c r="E51" s="209" t="inlineStr">
        <is>
          <t>DCD</t>
        </is>
      </c>
      <c r="F51" s="208" t="inlineStr">
        <is>
          <t>see its own entry</t>
        </is>
      </c>
      <c r="G51" s="208" t="inlineStr">
        <is>
          <t>YES — assess separately</t>
        </is>
      </c>
      <c r="H51" s="171" t="inlineStr">
        <is>
          <t>WHERE THIS SITS
▸  Sits under 1. Assessment, alongside ADHD.
▸  NEPS category: 1. LEARNING (1.1 Attention, concentration and work skills) — and 2. BEHAVIOUR</t>
        </is>
      </c>
      <c r="I51" s="171" t="inlineStr">
        <is>
          <t>HOW OFTEN IT CO-OCCURS
▸  elevated.</t>
        </is>
      </c>
      <c r="J51" s="171" t="inlineStr">
        <is>
          <t>HOW IT PRESENTS WHEN IT CO-OCCURS
▸  messy, slow written work attributed to carelessness.</t>
        </is>
      </c>
      <c r="K51" s="171" t="inlineStr">
        <is>
          <t>THE RISK
▸  Do not assume the primary diagnosis explains this.
▸  Write down before you start what the primary diagnosis does NOT explain, then assess that.
▸  Diagnostic overshadowing is the single most common error in co-occurring presentations.</t>
        </is>
      </c>
      <c r="L51" s="171" t="inlineStr">
        <is>
          <t>—</t>
        </is>
      </c>
      <c r="M51" s="171" t="inlineStr">
        <is>
          <t>—</t>
        </is>
      </c>
      <c r="N51" s="171" t="inlineStr">
        <is>
          <t>—</t>
        </is>
      </c>
      <c r="O51" s="171" t="inlineStr">
        <is>
          <t>ASSESS
▸  Assess this separately, with its own measures.
▸  Build the case for each condition independently rather than letting evidence for one carry the other.</t>
        </is>
      </c>
      <c r="P51" s="171" t="inlineStr">
        <is>
          <t>DO
▸  State in the report what would be needed to establish this second presentation.
▸  That is often a referral rather than a conclusion you can reach yourself.</t>
        </is>
      </c>
      <c r="Q51" s="171" t="inlineStr">
        <is>
          <t>—</t>
        </is>
      </c>
      <c r="R51" s="171" t="inlineStr">
        <is>
          <t>—</t>
        </is>
      </c>
      <c r="S51" s="171" t="inlineStr">
        <is>
          <t>YOUR PRACTICE
▸  Bring it to supervision: for each child on my caseload with this diagnosis, what has NOT been assessed because the diagnosis was already there?</t>
        </is>
      </c>
      <c r="T51" s="171" t="inlineStr">
        <is>
          <t>WHAT TO DO NEXT
▸  Assess separately, then refer if the threshold is met.</t>
        </is>
      </c>
      <c r="U51" s="171" t="inlineStr">
        <is>
          <t>WHERE THE EVIDENCE GOES
▸  Psychological report — state the co-occurrence and what it changes.</t>
        </is>
      </c>
      <c r="V51" s="171" t="inlineStr">
        <is>
          <t>—</t>
        </is>
      </c>
    </row>
    <row r="52" ht="169.5" customHeight="1" s="128">
      <c r="A52" s="208" t="inlineStr">
        <is>
          <t>CO-OCCURRING</t>
        </is>
      </c>
      <c r="B52" s="208" t="inlineStr">
        <is>
          <t>1. Assessment</t>
        </is>
      </c>
      <c r="C52" s="171" t="inlineStr">
        <is>
          <t>School Age (6–12 years)</t>
        </is>
      </c>
      <c r="D52" s="208" t="inlineStr">
        <is>
          <t>CO-OCCURS WITH ADHD</t>
        </is>
      </c>
      <c r="E52" s="209" t="inlineStr">
        <is>
          <t>DLD</t>
        </is>
      </c>
      <c r="F52" s="208" t="inlineStr">
        <is>
          <t>see its own entry</t>
        </is>
      </c>
      <c r="G52" s="208" t="inlineStr">
        <is>
          <t>YES — assess separately</t>
        </is>
      </c>
      <c r="H52" s="171" t="inlineStr">
        <is>
          <t>WHERE THIS SITS
▸  Sits under 1. Assessment, alongside ADHD.
▸  NEPS category: 1. LEARNING (1.1 Attention, concentration and work skills) — and 2. BEHAVIOUR</t>
        </is>
      </c>
      <c r="I52" s="171" t="inlineStr">
        <is>
          <t>HOW OFTEN IT CO-OCCURS
▸  elevated.</t>
        </is>
      </c>
      <c r="J52" s="171" t="inlineStr">
        <is>
          <t>HOW IT PRESENTS WHEN IT CO-OCCURS
▸  not following instructions, which is comprehension rather than attention.</t>
        </is>
      </c>
      <c r="K52" s="171" t="inlineStr">
        <is>
          <t>THE RISK
▸  Do not assume the primary diagnosis explains this.
▸  Write down before you start what the primary diagnosis does NOT explain, then assess that.
▸  Diagnostic overshadowing is the single most common error in co-occurring presentations.</t>
        </is>
      </c>
      <c r="L52" s="171" t="inlineStr">
        <is>
          <t>—</t>
        </is>
      </c>
      <c r="M52" s="171" t="inlineStr">
        <is>
          <t>—</t>
        </is>
      </c>
      <c r="N52" s="171" t="inlineStr">
        <is>
          <t>—</t>
        </is>
      </c>
      <c r="O52" s="171" t="inlineStr">
        <is>
          <t>ASSESS
▸  Assess this separately, with its own measures.
▸  Build the case for each condition independently rather than letting evidence for one carry the other.</t>
        </is>
      </c>
      <c r="P52" s="171" t="inlineStr">
        <is>
          <t>DO
▸  State in the report what would be needed to establish this second presentation.
▸  That is often a referral rather than a conclusion you can reach yourself.</t>
        </is>
      </c>
      <c r="Q52" s="171" t="inlineStr">
        <is>
          <t>—</t>
        </is>
      </c>
      <c r="R52" s="171" t="inlineStr">
        <is>
          <t>—</t>
        </is>
      </c>
      <c r="S52" s="171" t="inlineStr">
        <is>
          <t>YOUR PRACTICE
▸  Bring it to supervision: for each child on my caseload with this diagnosis, what has NOT been assessed because the diagnosis was already there?</t>
        </is>
      </c>
      <c r="T52" s="171" t="inlineStr">
        <is>
          <t>WHAT TO DO NEXT
▸  Assess separately, then refer if the threshold is met.</t>
        </is>
      </c>
      <c r="U52" s="171" t="inlineStr">
        <is>
          <t>WHERE THE EVIDENCE GOES
▸  Psychological report — state the co-occurrence and what it changes.</t>
        </is>
      </c>
      <c r="V52" s="171" t="inlineStr">
        <is>
          <t>—</t>
        </is>
      </c>
    </row>
    <row r="53" ht="169.5" customHeight="1" s="128">
      <c r="A53" s="208" t="inlineStr">
        <is>
          <t>CO-OCCURRING</t>
        </is>
      </c>
      <c r="B53" s="208" t="inlineStr">
        <is>
          <t>1. Assessment</t>
        </is>
      </c>
      <c r="C53" s="171" t="inlineStr">
        <is>
          <t>School Age (6–12 years)</t>
        </is>
      </c>
      <c r="D53" s="208" t="inlineStr">
        <is>
          <t>CO-OCCURS WITH ADHD</t>
        </is>
      </c>
      <c r="E53" s="209" t="inlineStr">
        <is>
          <t>SLEEP DIFFICULTY</t>
        </is>
      </c>
      <c r="F53" s="208" t="inlineStr">
        <is>
          <t>see its own entry</t>
        </is>
      </c>
      <c r="G53" s="208" t="inlineStr">
        <is>
          <t>YES — assess separately</t>
        </is>
      </c>
      <c r="H53" s="171" t="inlineStr">
        <is>
          <t>WHERE THIS SITS
▸  Sits under 1. Assessment, alongside ADHD.
▸  NEPS category: 1. LEARNING (1.1 Attention, concentration and work skills) — and 2. BEHAVIOUR</t>
        </is>
      </c>
      <c r="I53" s="171" t="inlineStr">
        <is>
          <t>HOW OFTEN IT CO-OCCURS
▸  Rate not stated in source — check before quoting.</t>
        </is>
      </c>
      <c r="J53" s="171" t="inlineStr">
        <is>
          <t>HOW IT PRESENTS WHEN IT CO-OCCURS
▸  very common and bidirectional. Always ask; a child sleeping six hours will screen positive on everything.</t>
        </is>
      </c>
      <c r="K53" s="171" t="inlineStr">
        <is>
          <t>THE RISK
▸  Do not assume the primary diagnosis explains this.
▸  Write down before you start what the primary diagnosis does NOT explain, then assess that.
▸  Diagnostic overshadowing is the single most common error in co-occurring presentations.</t>
        </is>
      </c>
      <c r="L53" s="171" t="inlineStr">
        <is>
          <t>—</t>
        </is>
      </c>
      <c r="M53" s="171" t="inlineStr">
        <is>
          <t>—</t>
        </is>
      </c>
      <c r="N53" s="171" t="inlineStr">
        <is>
          <t>—</t>
        </is>
      </c>
      <c r="O53" s="171" t="inlineStr">
        <is>
          <t>ASSESS
▸  Assess this separately, with its own measures.
▸  Build the case for each condition independently rather than letting evidence for one carry the other.</t>
        </is>
      </c>
      <c r="P53" s="171" t="inlineStr">
        <is>
          <t>DO
▸  State in the report what would be needed to establish this second presentation.
▸  That is often a referral rather than a conclusion you can reach yourself.</t>
        </is>
      </c>
      <c r="Q53" s="171" t="inlineStr">
        <is>
          <t>—</t>
        </is>
      </c>
      <c r="R53" s="171" t="inlineStr">
        <is>
          <t>—</t>
        </is>
      </c>
      <c r="S53" s="171" t="inlineStr">
        <is>
          <t>YOUR PRACTICE
▸  Bring it to supervision: for each child on my caseload with this diagnosis, what has NOT been assessed because the diagnosis was already there?</t>
        </is>
      </c>
      <c r="T53" s="171" t="inlineStr">
        <is>
          <t>WHAT TO DO NEXT
▸  Assess separately, then refer if the threshold is met.</t>
        </is>
      </c>
      <c r="U53" s="171" t="inlineStr">
        <is>
          <t>WHERE THE EVIDENCE GOES
▸  Psychological report — state the co-occurrence and what it changes.</t>
        </is>
      </c>
      <c r="V53" s="171" t="inlineStr">
        <is>
          <t>—</t>
        </is>
      </c>
    </row>
    <row r="54" ht="408.75" customHeight="1" s="128">
      <c r="A54" s="210" t="inlineStr">
        <is>
          <t>PRESENTATION</t>
        </is>
      </c>
      <c r="B54" s="210" t="inlineStr">
        <is>
          <t>1. Assessment</t>
        </is>
      </c>
      <c r="C54" s="170" t="inlineStr">
        <is>
          <t>School Age (6–12 years)</t>
        </is>
      </c>
      <c r="D54" s="210" t="inlineStr">
        <is>
          <t>SYMPTOM-ONLY</t>
        </is>
      </c>
      <c r="E54" s="211" t="inlineStr">
        <is>
          <t>Presentations related to ADHD — no diagnosis</t>
        </is>
      </c>
      <c r="F54" s="210" t="inlineStr">
        <is>
          <t>No DSM code</t>
        </is>
      </c>
      <c r="G54" s="210" t="inlineStr">
        <is>
          <t>YES — these present at every band</t>
        </is>
      </c>
      <c r="H54" s="170" t="inlineStr">
        <is>
          <t>WHERE THIS SITS
▸  NEPS category: as above
▸  UCD competency: 1. Assessment
▸  CORU: 3.1 · 3.2 · 5.28 · 5.29 · 5.30 · 5.31 · 5.32
▸  PSI: 2.2.2 · 2.3.1 · 1.3.1 · 1.2.8</t>
        </is>
      </c>
      <c r="I54" s="170" t="inlineStr">
        <is>
          <t>THE PRESENTATIONS — no diagnosis needed, and most referrals look like this
▸  Working memory difficulty
▸  Inhibition difficulty
▸  Task initiation difficulty
▸  Motivation and engagement with work
▸  Work rate and pace of output
▸  Organisation of materials, books and equipment
▸  Homework completion and follow-through
▸  Fatigue, sleep and time-of-day effects on attention</t>
        </is>
      </c>
      <c r="J54" s="170" t="inlineStr">
        <is>
          <t>HOW COMMON
▸  No prevalence figures exist for these — they are descriptions, not categories.
▸  They are more common than the diagnosis they sit beside.</t>
        </is>
      </c>
      <c r="K54" s="170" t="inlineStr">
        <is>
          <t>THE PATHWAY
▸  No diagnostic pathway. Nobody diagnoses these.
▸  You describe them, formulate around them, and recommend. That is the whole pathway.
▸  If a parent asks who diagnoses it: nobody. Say that plainly, and say it does not make the difficulty less real or less workable.</t>
        </is>
      </c>
      <c r="L54" s="170" t="inlineStr">
        <is>
          <t>WHAT YOU SEE
▸  These are what the referral form actually describes in Section 5.
▸  Look for the pattern across settings rather than a threshold.</t>
        </is>
      </c>
      <c r="M54" s="170" t="inlineStr">
        <is>
          <t>RED FLAGS
▸  Escalating distress, withdrawal or risk indicators — follow the protocol regardless of whether a diagnosis exists.
▸  Do not let the absence of a diagnosis delay a safeguarding response.</t>
        </is>
      </c>
      <c r="N54" s="170" t="inlineStr">
        <is>
          <t>WHAT ELSE COULD IT BE
▸  Each of these can be the visible edge of the diagnosed condition above.
▸  Each can also occur entirely on its own.
▸  Test the sequence: which came first?</t>
        </is>
      </c>
      <c r="O54" s="170" t="inlineStr">
        <is>
          <t>ASSESS
▸  Observation with a comparison peer.
▸  Teacher and parent interview.
▸  Pupil interview — their account is the evidence here.
▸  Rating scales describe perception, not the presentation itself.</t>
        </is>
      </c>
      <c r="P54" s="170" t="inlineStr">
        <is>
          <t>DO
▸  Name the presentation precisely rather than reaching for a label.
▸  Recommend at the level of the behaviour, not the hypothetical diagnosis.
▸  Specify what, who, how often, for how long, and how it will be measured.
▸  Name the Continuum of Support level.</t>
        </is>
      </c>
      <c r="Q54" s="170" t="inlineStr">
        <is>
          <t>EXPLAIN
▸  To a parent: “There isn’t a diagnosis for this, and it’s still real and still workable. Here’s what we do.”
▸  To a teacher: describe the behaviour in countable terms, not in trait terms.
▸  To the child: ask what helps, and use their words in the report.</t>
        </is>
      </c>
      <c r="R54" s="170" t="inlineStr">
        <is>
          <t>CHILD’S VOICE AND QUESTIONS
▸  Talking Mats · Blob Tree · scaling on a drawn ladder · sentence completion · day mapping.
▸  Q: “So there’s nothing wrong with him?” A: “There’s a real difficulty and it doesn’t have a label. Labels help get resources; they don’t make a difficulty more or less real.”
▸  Q: “Should we get him assessed privately?” A: give the honest position on what a diagnosis would and would not change here.</t>
        </is>
      </c>
      <c r="S54" s="170" t="inlineStr">
        <is>
          <t>YOUR PRACTICE
▸  Bring a case where you were pulled toward a label the data did not support.
▸  Reflect: did I describe, or did I reach? Whose language did I use?</t>
        </is>
      </c>
      <c r="T54" s="170" t="inlineStr">
        <is>
          <t>WHAT TO DO NEXT
▸  Proceed to formulation. These belong at the behavioural level of the Interactive Factors Framework.
▸  Test whether an unmet learning need is underneath before concluding anything.</t>
        </is>
      </c>
      <c r="U54" s="170" t="inlineStr">
        <is>
          <t>WHERE THE EVIDENCE GOES
▸  Psychological report
▸  Appendix 5 entry
▸  Log sheet</t>
        </is>
      </c>
      <c r="V54" s="170" t="inlineStr">
        <is>
          <t>CITATIONS
▸  Frederickson &amp; Cline (2009)
▸  Monsen &amp; Frederickson (2008)
▸  NEPS Continuum of Support</t>
        </is>
      </c>
    </row>
    <row r="55" ht="408.75" customHeight="1" s="128">
      <c r="A55" s="205" t="inlineStr">
        <is>
          <t>CONDITION</t>
        </is>
      </c>
      <c r="B55" s="205" t="inlineStr">
        <is>
          <t>1. Assessment</t>
        </is>
      </c>
      <c r="C55" s="206" t="inlineStr">
        <is>
          <t>School Age (6–12 years)</t>
        </is>
      </c>
      <c r="D55" s="205" t="inlineStr">
        <is>
          <t>DIAGNOSED</t>
        </is>
      </c>
      <c r="E55" s="206" t="inlineStr">
        <is>
          <t>General Learning Disability (GLD) / Intellectual Disability</t>
        </is>
      </c>
      <c r="F55" s="205" t="inlineStr">
        <is>
          <t>DSM-5-TR Intellectual Developmental Disorder · ICD-11 6A00 · Irish education: mild / moderate / severe-profound GLD</t>
        </is>
      </c>
      <c r="G55" s="205" t="inlineStr">
        <is>
          <t>YES — main window for mild GLD</t>
        </is>
      </c>
      <c r="H55" s="207" t="inlineStr">
        <is>
          <t>WHERE THIS SITS
▸  NEPS referral form category: 1. LEARNING (1.3 Comprehension and general ability)
▸  UCD competency: 1. Assessment
▸  CORU: 3.1 · 3.2 · 5.28 · 5.29 · 5.30 · 5.31 · 5.32
▸  PSI: 2.2.2 · 2.3.1 · 1.3.1 · 1.2.8
▸  Law and policy: Children First Act 2015 · EPSEN Act 2004 · Equal Status Acts 2000–2018 · GDPR</t>
        </is>
      </c>
      <c r="I55" s="207" t="inlineStr">
        <is>
          <t>WHAT IT IS, AND WHAT IT IS NOT
▸  Defined by THREE criteria, all of which must be met (APA, 2022): (a) deficits in intellectual functioning confirmed by clinical assessment and standardised testing; (b) deficits in ADAPTIVE functioning across conceptual, social and practical domains; (c) onset during the developmental period.
▸  CRITICAL POINT: DSM-5 moved severity from IQ score to ADAPTIVE FUNCTIONING. Severity is determined by adaptive functioning, not by IQ. Many practitioners have not updated this.
▸  Irish education uses mild (approx. IQ 50–70), moderate (35–49), severe/profound (below 35) GLD as categories for resource allocation. These bands are administrative, not diagnostic.
▸  Borderline intellectual functioning (roughly 70–79) is NOT intellectual disability, has no category, and often receives no resource — while having substantial educational impact. It is a DSM-5-TR V-code.
▸  Onset in the developmental period is essential. An acquired difficulty after a brain injury is a different diagnosis.
▸  NOT the same as a specific learning difficulty. Dyslexia is a SPECIFIC difficulty against an otherwise typical profile; GLD is a GENERAL difficulty across domains. Parents and teachers confuse these constantly.
▸  NOT fixed and unchangeable. Adaptive functioning improves with teaching and support; that is the whole point of measuring it separately.
▸  NOT determined by an IQ number alone. Diagnosing on IQ without adaptive assessment is incorrect under current criteria.
▸  NOT a predictor of quality of life, relationships or employment. Support and opportunity predict those.
▸  NOT 'mental handicap', 'retardation' or any historical term. Do not use them, including when quoting older reports without flagging it.</t>
        </is>
      </c>
      <c r="J55" s="207" t="inlineStr">
        <is>
          <t>HOW COMMON AT THIS AGE
▸  OVERALL: around 1% of the population internationally (Maulik et al., 2011, meta-analysis), with mild ID accounting for the large majority.
▸  IRELAND: the National Intellectual Disability Database (NIDD), run by the Health Research Board, is the authoritative Irish source. Check the current annual report.
▸  SCHOOL AGE 6–12: the main identification window for mild GLD, typically when curriculum demands outpace the child.
▸  SOCIOECONOMIC GRADIENT: mild ID is strongly associated with socioeconomic disadvantage, which is a reason for caution about attribution and for assessing opportunity as well as ability.
▸  AT OTHER AGES (for context): MILD GLD is the largest group by far and the most likely to be identified late, because the profile is less visibly distinct in early years. · MODERATE, SEVERE AND PROFOUND are usually identified in the early years, often through the CDNT rather than through school. · EARLY YEARS 0–5 · ADOLESCENT AND ADULT</t>
        </is>
      </c>
      <c r="K55" s="207" t="inlineStr">
        <is>
          <t>THE PATHWAY AND THE TIMELINE
▸ TYPICAL AGE OF IDENTIFICATION, AND WHY THEN
   Moderate to profound: usually identified in the first three years, often through the Public Health Nurse or paediatrics, because developmental milestones are visibly delayed. Mild GLD: typically 6–9, because the profile is not visibly distinct until curriculum demands outpace the child. Under 5 the term used is Global Developmental Delay, because cognitive profiles are unstable and a formal ID diagnosis would be unreliable.
▸ WHO DIAGNOSES IT
   CDNT, or clinical psychology within disability services. Requires both a cognitive assessment and an adaptive assessment — neither alone is sufficient under current criteria. An educational psychologist identifies the educational profile and its implications; the diagnosis sits with the clinical team.
▸ WHO COULD HAVE WRITTEN THE REPORT IN FRONT OF YOU
   CDNT psychologist. Paediatrician. Assessment of Need report. An older NEPS report identifying 'general learning disability' for resource purposes — which is an educational categorisation, not a clinical diagnosis. Know which you are reading.
▸ WHO YOU REFER TO
   CDNT for diagnosis and adaptive support. SLT for communication. OT for motor and self-care. SENO for placement and resource. Adult disability services from 16 for transition.
▸ 'SHOULD WE HAVE COME SOONER?'
   For mild GLD: 'No. It usually isn't visible until the work gets harder than she can manage, and that's around now. Coming earlier wouldn't have shown anything different.' For moderate or above identified late: that is unusual and worth exploring gently — but frame it as a gap in the system, and check what was actually done rather than assuming.</t>
        </is>
      </c>
      <c r="L55" s="207" t="inlineStr">
        <is>
          <t>WHAT YOU SEE AT THIS AGE
▸  Usually when curriculum demands outpace the child. WISC-V plus an adaptive measure plus attainment. Both criteria must be assessed.
▸  EARLY YEARS 0–5: identified through developmental delay. Griffiths III or Bayley-4 via CDNT, Vineland-3 or ABAS-3. Diagnosis is often deferred — 'global developmental delay' is used under 5 because profiles are unstable.
▸  SCHOOL AGE 6–12: WISC-V plus an adaptive measure plus attainment. Both criteria must be assessed. Use GAI where index scatter exceeds 23 points.
▸  ADOLESCENT 13–16: the question shifts to curriculum route (L1LP/L2LP) and to transition. Adaptive assessment becomes more important than cognitive.
▸  YOUNG ADULT 17–26: WAIS-IV and ABAS-3 adult form for adult service eligibility. Functional and vocational focus.
▸  SPECIAL SETTING: adaptive profile against the setting curriculum is usually more informative than any IQ.</t>
        </is>
      </c>
      <c r="M55" s="207" t="inlineStr">
        <is>
          <t>RED FLAGS AND BOUNDARIES
▸  RED FLAG — regression or loss of skills. Urgent medical referral.
▸  RED FLAG — safeguarding. Children and adults with intellectual disability are at substantially elevated risk of abuse and are less likely to be believed. Take any concern seriously and follow the protocol immediately.
▸  RED FLAG — a large gap between cognitive and adaptive scores. Consider opportunity, over-support, or an underestimating cognitive assessment. Do not average them.
▸  BOUNDARY — diagnosis sits with the CDNT or clinical services. You assess and describe; you do not diagnose.
▸  DIAGNOSTIC OVERSHADOWING — mental health difficulties in people with intellectual disability are routinely missed because distress is read as part of the disability.</t>
        </is>
      </c>
      <c r="N55" s="207" t="inlineStr">
        <is>
          <t>WHAT ELSE COULD IT BE, AND WHAT CO-OCCURS
▸  MENTAL HEALTH DIFFICULTY — substantially elevated across all conditions. PRESENTS AS: behaviour change. Diagnostic overshadowing is severe here; distress is read as part of the disability and goes untreated. This is the single most important co-occurrence to hold in mind.
▸  AUTISM — around a third of people with ID. PRESENTS AS: social communication differences on top of the learning profile. Assess separately.
▸  ADHD — elevated. PRESENTS AS: attention difficulty that may simply be work pitched above the child's level. Rule that out first.
▸  EPILEPSY — strongly elevated, particularly at moderate to profound levels. Medical; note and refer.
▸  COMMUNICATION DIFFICULTY — very common and often the real barrier. SLT involvement is usually more useful than more cognitive assessment.
▸  PHYSICAL AND SENSORY IMPAIRMENT — elevated, particularly in genetic syndromes. Always check vision and hearing before attributing anything to cognition.
▸  SPECIFIC LEARNING DIFFICULTY — can co-occur. A child with GLD whose reading is far below even their own cognitive level has something additional going on.
▸  SLEEP AND FEEDING DIFFICULTIES — common, under-asked-about, and they change the whole presentation.</t>
        </is>
      </c>
      <c r="O55" s="207" t="inlineStr">
        <is>
          <t>TOOLS VALID AT THIS BAND
▸  WISC-V UK — AGE 6:0–16:11
     MEASURES: Verbal comprehension, visual spatial, fluid reasoning, working memory, processing speed; FSIQ and GAI.
     CANNOT TELL YOU: Why the profile looks as it does, whether the child was taught the content, and anything about a child assessed in a second language without caution. Where index scatter exceeds 23 points, report GAI rather than FSIQ and say why.
     TIME: 65–80 min
▸  WNV (Wechsler Non-Verbal) — AGE 4:0–21:11
     MEASURES: Non-verbal cognitive ability with minimal language demand.
     CANNOT TELL YOU: Verbal reasoning. Useful where EAL or a language disorder would invalidate a verbal battery.
     TIME: 20–45 min
▸  BAS-3 — AGE 3:0–17:11
     MEASURES: Cognitive ability and achievement, UK-normed.
     CANNOT TELL YOU: Same limits as any cognitive battery. Check which edition and norms your service holds.
     TIME: 45–90 min
▸  ABAS-3 — AGE birth–89
     MEASURES: Conceptual, social, practical.
     CANNOT TELL YOU: Capacity. Typical performance only.
     TIME: 15–20 min per rater
▸  Vineland-3 — AGE birth–90
     MEASURES: Communication, daily living, socialisation, motor.
     CANNOT TELL YOU: Cognitive ability. Where ID is in question you need both.
     TIME: 20–60 min
▸  CELF-5 UK — AGE 5:0–21:11
     MEASURES: Receptive and expressive language, language content and structure.
     CANNOT TELL YOU: Pragmatic language in context — use observation and the pragmatics checklist.
     TIME: 45–60 min
▸  BPVS-3 — AGE 3:0–16:11
     MEASURES: Receptive vocabulary.
     CANNOT TELL YOU: Expressive language, grammar or comprehension of connected speech. Heavily exposure-dependent.
     TIME: 10 min
▸  Renfrew Action Picture Test — AGE 3:0–8:11
     MEASURES: Information and grammar in spoken narrative.
     CANNOT TELL YOU: Receptive language.
     TIME: 10 min</t>
        </is>
      </c>
      <c r="P55" s="207" t="inlineStr">
        <is>
          <t>WHAT YOU DO, AND WHAT YOU WRITE
▸  PITCH THE CURRICULUM TO THE CHILD, NOT THE CLASS. This is the recommendation that matters most and the one schools find hardest. Say the level explicitly.
▸  TEACH TO MASTERY with more repetition, in more contexts, over a longer period, before moving on.
▸  PLAN FOR GENERALISATION EXPLICITLY. Something learned in the SET room will not transfer to the classroom unless it is taught there too.
▸  CONCRETE BEFORE PICTORIAL BEFORE ABSTRACT, and do not rush the concrete stage.
▸  ADAPTIVE SKILLS ARE CURRICULUM. Dressing, money, time, safety, travel. For post-primary, this is more important than academic content.
▸  REDUCE LANGUAGE LOAD in instructions; check comprehension by asking for a demonstration rather than a yes.
▸  CURRICULUM ROUTE at post-primary: consider L1LP or L2LP and raise it early, not in sixth year.
▸  TRANSITION PLANNING from at least 14. Adult services have different thresholds and long lead times.
▸  WATCH FOR OVER-SUPPORT. An SNA doing the task is not the child learning the task. Build fading into the plan.
▸  CONTINUUM LEVEL: usually School Support Plus with outside involvement. Name it and justify it.
▸  REFER: CDNT for diagnosis and adaptive support; SLT for communication; OT where motor or self-care; SENO for placement and resource.</t>
        </is>
      </c>
      <c r="Q55" s="207" t="inlineStr">
        <is>
          <t>EXPLAIN
▸  TO A PARENT
▸  'A general learning disability means learning is harder across most areas, not just one. It affects how quickly new things are learned and how much repetition and support is needed.'
▸  'It's about two things together: how she reasons and problem-solves, and how she manages everyday things — dressing, money, keeping safe, getting along with others. We look at both, because the everyday side is what actually matters day to day.'
▸  'It's been there from early on. We're identifying it now; it hasn't started now.'
▸  'It doesn't tell us what she'll be able to do. It tells us how she learns best and how much support she needs while she's learning. Those are different questions.'
▸  IF THEY ASK ABOUT THE FUTURE: be honest and specific. 'I can tell you what the next two years should look like. I can't tell you about twenty years, and anyone who does is guessing.'
▸  SIGNPOST: the CDNT, Inclusion Ireland, Down Syndrome Ireland where relevant, and the SENO for placement questions.
▸  TO A TEACHER
▸  'Learning is slower across the board rather than in one area, so differentiation needs to be about level and pace, not just about extra time.'
▸  'Start from the adaptive profile as much as the cognitive one. If she can't yet follow a three-step instruction, that's the ceiling for how instructions should be given, regardless of the topic.'
▸  'More repetition, in more contexts, with more concrete materials, and longer before moving on. The curriculum level has to match where she is, not where the class is.'
▸  'Generalisation is the key difficulty. Something learned in one setting often doesn't transfer. Plan to teach it again in the place it's needed.'
▸  'Check for the L1LP and L2LP options at post-primary — the curriculum route matters more than the hours.'
▸  TO THE CHILD
▸  'Everyone learns at their own speed. You learn best when things are broken into smaller steps and when you get to practise lots of times. That's just how your brain works best.'
▸  Focus on HOW they learn, not on a label or a level. Children rarely benefit from being told an IQ band.
▸  'What are you good at?' first. Then 'what's the trickiest bit of school?' Then 'what helps when it's tricky?'
▸  Be honest if asked directly: 'Some things take you longer than other people, and that's true. It doesn't say anything about how good you are at being you.'
▸  Check what they have overheard. Children often know the word 'disability' has been used and have no idea what it means.
▸  ANALOGIES
▸  THE ROAD, NOT THE DESTINATION: 'Everyone's travelling the same road. Some people are in a faster car. It doesn't change where the road goes — it changes how many stops you make.' Good with parents; avoids implying a ceiling.
▸  BUILDING WITH SMALLER BRICKS: 'If most people build with big blocks, she's building with smaller ones. She'll build the same wall — it takes more bricks and more time, and it's just as solid.' Good for explaining repetition to teachers.
▸  THE TORCH VERSUS THE FLOODLIGHT (specific vs general): 'A specific learning difficulty is like one light being out in a room. A general learning disability is the whole room being dimmer.' Useful for the confusion parents most often have.
▸  CAUTION: avoid any analogy implying a fixed limit. Adaptive functioning is modifiable and the analogy should not say otherwise.
▸  LANGUAGE
▸  In Ireland, 'general learning disability' is the education term; 'intellectual disability' is the health and diagnostic term. You will meet both. Use the one the setting uses and define it once.
▸  Inclusion Ireland and self-advocacy organisations favour 'person with an intellectual disability' — person-first is the majority preference in this community, which is the opposite of the autism position. Do not generalise across conditions.
▸  Never: 'mental handicap', 'retardation', 'low-functioning', 'mentally disabled'.
▸  Avoid stating an IQ number in a report where a description would do the same work. Numbers get repeated out of context for years.</t>
        </is>
      </c>
      <c r="R55" s="207" t="inlineStr">
        <is>
          <t>THE CHILD’S VOICE, AND THE QUESTIONS
▸  TALKING MATS — strong evidence base specifically with people with intellectual disability. Good because it reduces the language demand of being consulted. → https://www.talkingmats.com/
▸  ONE-PAGE PROFILE — strengths-first, transfers with the child between settings. Good because staff actually read one page.
▸  PATH / MAPS — person-centred transition planning, graphic. Good for school leavers because it starts from the young person's preferred future.
▸  PHOTO-ELICITATION — the young person photographs what matters to them and talks from the photos. Good because it removes the need to generate content verbally on the spot.
▸  INCLUSION IRELAND easy-read materials — Irish, self-advocacy led. Good because easy-read is a genuine accessibility standard, not a simplification. → https://inclusionireland.ie/
▸  PREFERENCE ASSESSMENT (structured choice-making) — systematic presentation of options to establish what the person actually prefers. Good where verbal report is not available; it is the ethical alternative to assuming.
▸  QUESTIONS YOU WILL BE ASKED
▸  Q: 'What's her IQ?' — A: 'I can tell you the range, but I'd rather tell you what it means, because the number on its own is easy to misread. What it tells us is [describe]. What matters more day to day is how she manages everyday tasks, and that's the other half of the assessment.'
▸  Q: 'Will she catch up?' — A: 'She'll keep learning and keep making progress. The gap with her peers is likely to stay, and that's what the word 'disability' is describing. What changes is how much she can do independently, and that does improve a lot with the right teaching.'
▸  Q: 'Is this the same as dyslexia?' — A: 'No. Dyslexia is a specific difficulty — one area that's much harder than everything else. This is more general, affecting learning across most areas. Different profile, different supports.'
▸  Q: 'Will she go to a normal school?' — A: 'Most children with a general learning disability are in mainstream, and plenty are in special classes or special schools. It's a question of which setting can give her what she needs, not a question of category. I can walk you through what each looks like.'
▸  Q: 'Will she be able to live independently / get a job?' — A: 'Honestly, I can't tell you that from an assessment at eight. What I can tell you is what she needs over the next two years, and that the adaptive skills we work on now are exactly the ones that matter for that question later.'
▸  Q: 'Did I cause this?' — A: 'No. It's present from early development. There are lots of causes and in many cases we never identify one.'
▸  Q: 'The school says she's fine.' — A: 'She may well be coping, and coping and learning aren't the same thing. What I'm looking at is whether the work she's given is at the level she can actually access.'</t>
        </is>
      </c>
      <c r="S55" s="207" t="inlineStr">
        <is>
          <t>YOUR PRACTICE
▸  SUPERVISION
▸  Bring the report and ask: does this read as a description of a person or of a score?
▸  Ask how your supervisor answers the 'what will she be able to do?' question, in their actual words.
▸  Raise the gap between the education categories (mild/moderate/severe) and the diagnostic criteria, and how your service handles it.
▸  Discuss borderline intellectual functioning — children who fall between the categories and receive nothing. What does your service do?
▸  Ask about placement conversations specifically: how do you frame special class or special school as a question of fit rather than of category?
▸  Bring any case where the cognitive and adaptive profiles diverged sharply and ask how to write that.
▸  REFLECTION
▸  ON LANGUAGE — Did I check which term this family uses before I used one? Education says 'general learning disability', health says 'intellectual disability', and self-advocacy organisations favour person-first. Which did I use and did I decide or default?
▸  ON THE NUMBER — Did I state an IQ score where a description would have done the same work? Numbers get repeated out of context for years. Was it necessary?
▸  ON ADAPTIVE FUNCTIONING — Did I give it equal weight to the cognitive assessment, or did I treat it as the supporting document? Current criteria determine severity by adaptive functioning, not IQ. Did my report reflect that?
▸  ON THE FUTURE QUESTION — When the parent asked what this means for adulthood, what did I actually say? Did I stay within what is knowable, or did I reassure beyond the evidence?
▸  ON THE TEACHER CONVERSATION — Did I explain the difference between general and specific learning difficulty clearly enough that they could explain it to someone else? That confusion is the most common one in schools.
▸  ON MY OWN ASSUMPTIONS about what this child's life will be like. Name them. They shape what you recommend.
▸  WHAT GOOD LOOKS LIKE: 'I realised afterwards that I had described her almost entirely through the cognitive assessment, and the adaptive profile — which is where her actual strengths were — got two lines. I have rewritten the summary to lead with what she can do independently.'
▸  WHAT POOR LOOKS LIKE: 'The assessment confirmed a mild general learning disability and recommendations were made.' — no reflection, no register, nothing about how it was received.</t>
        </is>
      </c>
      <c r="T55" s="207" t="inlineStr">
        <is>
          <t>WHAT TO DO NEXT
▸  Proceed to FORMULATION using a named framework — Monsen, Interactive Factors, COMOIRA or Carr.
▸  If a learning need may be driving the presentation, proceed to attainment assessment before concluding.
▸  If risk or safeguarding emerged, none of the above — follow the protocol and tell your supervisor the same day.
▸  If the referral question is not answered by what you found, go back and renegotiate it.</t>
        </is>
      </c>
      <c r="U55" s="207" t="inlineStr">
        <is>
          <t>WHERE THE EVIDENCE GOES
▸  Psychological report
▸  Appendix 5 entry tagged 1. Assessment
▸  Appendix 7 if observed
▸  Table 3 — School Age
▸  Log sheet — tag the referral area and the competency</t>
        </is>
      </c>
      <c r="V55" s="207" t="inlineStr">
        <is>
          <t>CITATIONS
▸  American Psychiatric Association (2022). DSM-5-TR — Intellectual Developmental Disorder.
▸  Tassé, M. J., et al. (2012). The construct of adaptive behavior: Its conceptualization, measurement, and use. American Journal on Intellectual and Developmental Disabilities, 117(4), 291–303.
▸  Schalock, R. L., et al. (2021). Intellectual Disability: Definition, Diagnosis, Classification, and Systems of Supports (12th ed.). AAIDD.
▸  NCSE (Ireland) — policy advice and guidance on students with general learning disabilities.
▸  NCCA — Level 1 and Level 2 Learning Programmes.
▸  Burgess, A., et al. (2024). Clinical utility and psychometric properties of tools for early detection of developmental concerns. DMCN.</t>
        </is>
      </c>
    </row>
    <row r="56" ht="169.5" customHeight="1" s="128">
      <c r="A56" s="208" t="inlineStr">
        <is>
          <t>CO-OCCURRING</t>
        </is>
      </c>
      <c r="B56" s="208" t="inlineStr">
        <is>
          <t>1. Assessment</t>
        </is>
      </c>
      <c r="C56" s="171" t="inlineStr">
        <is>
          <t>School Age (6–12 years)</t>
        </is>
      </c>
      <c r="D56" s="208" t="inlineStr">
        <is>
          <t>CO-OCCURS WITH GENERAL LEARNING DISABILITY (GLD)</t>
        </is>
      </c>
      <c r="E56" s="209" t="inlineStr">
        <is>
          <t>MENTAL HEALTH DIFFICULTY</t>
        </is>
      </c>
      <c r="F56" s="208" t="inlineStr">
        <is>
          <t>see its own entry</t>
        </is>
      </c>
      <c r="G56" s="208" t="inlineStr">
        <is>
          <t>YES — assess separately</t>
        </is>
      </c>
      <c r="H56" s="171" t="inlineStr">
        <is>
          <t>WHERE THIS SITS
▸  Sits under 1. Assessment, alongside General Learning Disability (GLD).
▸  NEPS category: 1. LEARNING (1.3 Comprehension and general ability)</t>
        </is>
      </c>
      <c r="I56" s="171" t="inlineStr">
        <is>
          <t>HOW OFTEN IT CO-OCCURS
▸  substantially elevated across all conditions.</t>
        </is>
      </c>
      <c r="J56" s="171" t="inlineStr">
        <is>
          <t>HOW IT PRESENTS WHEN IT CO-OCCURS
▸  behaviour change. Diagnostic overshadowing is severe here; distress is read as part of the disability and goes untreated. This is the single most important co-occurrence to hold in mind.</t>
        </is>
      </c>
      <c r="K56" s="171" t="inlineStr">
        <is>
          <t>THE RISK
▸  Do not assume the primary diagnosis explains this.
▸  Write down before you start what the primary diagnosis does NOT explain, then assess that.
▸  Diagnostic overshadowing is the single most common error in co-occurring presentations.</t>
        </is>
      </c>
      <c r="L56" s="171" t="inlineStr">
        <is>
          <t>—</t>
        </is>
      </c>
      <c r="M56" s="171" t="inlineStr">
        <is>
          <t>—</t>
        </is>
      </c>
      <c r="N56" s="171" t="inlineStr">
        <is>
          <t>—</t>
        </is>
      </c>
      <c r="O56" s="171" t="inlineStr">
        <is>
          <t>ASSESS
▸  Assess this separately, with its own measures.
▸  Build the case for each condition independently rather than letting evidence for one carry the other.</t>
        </is>
      </c>
      <c r="P56" s="171" t="inlineStr">
        <is>
          <t>DO
▸  State in the report what would be needed to establish this second presentation.
▸  That is often a referral rather than a conclusion you can reach yourself.</t>
        </is>
      </c>
      <c r="Q56" s="171" t="inlineStr">
        <is>
          <t>—</t>
        </is>
      </c>
      <c r="R56" s="171" t="inlineStr">
        <is>
          <t>—</t>
        </is>
      </c>
      <c r="S56" s="171" t="inlineStr">
        <is>
          <t>YOUR PRACTICE
▸  Bring it to supervision: for each child on my caseload with this diagnosis, what has NOT been assessed because the diagnosis was already there?</t>
        </is>
      </c>
      <c r="T56" s="171" t="inlineStr">
        <is>
          <t>WHAT TO DO NEXT
▸  Assess separately, then refer if the threshold is met.</t>
        </is>
      </c>
      <c r="U56" s="171" t="inlineStr">
        <is>
          <t>WHERE THE EVIDENCE GOES
▸  Psychological report — state the co-occurrence and what it changes.</t>
        </is>
      </c>
      <c r="V56" s="171" t="inlineStr">
        <is>
          <t>—</t>
        </is>
      </c>
    </row>
    <row r="57" ht="169.5" customHeight="1" s="128">
      <c r="A57" s="208" t="inlineStr">
        <is>
          <t>CO-OCCURRING</t>
        </is>
      </c>
      <c r="B57" s="208" t="inlineStr">
        <is>
          <t>1. Assessment</t>
        </is>
      </c>
      <c r="C57" s="171" t="inlineStr">
        <is>
          <t>School Age (6–12 years)</t>
        </is>
      </c>
      <c r="D57" s="208" t="inlineStr">
        <is>
          <t>CO-OCCURS WITH GENERAL LEARNING DISABILITY (GLD)</t>
        </is>
      </c>
      <c r="E57" s="209" t="inlineStr">
        <is>
          <t>AUTISM</t>
        </is>
      </c>
      <c r="F57" s="208" t="inlineStr">
        <is>
          <t>see its own entry</t>
        </is>
      </c>
      <c r="G57" s="208" t="inlineStr">
        <is>
          <t>YES — assess separately</t>
        </is>
      </c>
      <c r="H57" s="171" t="inlineStr">
        <is>
          <t>WHERE THIS SITS
▸  Sits under 1. Assessment, alongside General Learning Disability (GLD).
▸  NEPS category: 1. LEARNING (1.3 Comprehension and general ability)</t>
        </is>
      </c>
      <c r="I57" s="171" t="inlineStr">
        <is>
          <t>HOW OFTEN IT CO-OCCURS
▸  around a third of people with ID.</t>
        </is>
      </c>
      <c r="J57" s="171" t="inlineStr">
        <is>
          <t>HOW IT PRESENTS WHEN IT CO-OCCURS
▸  social communication differences on top of the learning profile. Assess separately.</t>
        </is>
      </c>
      <c r="K57" s="171" t="inlineStr">
        <is>
          <t>THE RISK
▸  Do not assume the primary diagnosis explains this.
▸  Write down before you start what the primary diagnosis does NOT explain, then assess that.
▸  Diagnostic overshadowing is the single most common error in co-occurring presentations.</t>
        </is>
      </c>
      <c r="L57" s="171" t="inlineStr">
        <is>
          <t>—</t>
        </is>
      </c>
      <c r="M57" s="171" t="inlineStr">
        <is>
          <t>—</t>
        </is>
      </c>
      <c r="N57" s="171" t="inlineStr">
        <is>
          <t>—</t>
        </is>
      </c>
      <c r="O57" s="171" t="inlineStr">
        <is>
          <t>ASSESS
▸  Assess this separately, with its own measures.
▸  Build the case for each condition independently rather than letting evidence for one carry the other.</t>
        </is>
      </c>
      <c r="P57" s="171" t="inlineStr">
        <is>
          <t>DO
▸  State in the report what would be needed to establish this second presentation.
▸  That is often a referral rather than a conclusion you can reach yourself.</t>
        </is>
      </c>
      <c r="Q57" s="171" t="inlineStr">
        <is>
          <t>—</t>
        </is>
      </c>
      <c r="R57" s="171" t="inlineStr">
        <is>
          <t>—</t>
        </is>
      </c>
      <c r="S57" s="171" t="inlineStr">
        <is>
          <t>YOUR PRACTICE
▸  Bring it to supervision: for each child on my caseload with this diagnosis, what has NOT been assessed because the diagnosis was already there?</t>
        </is>
      </c>
      <c r="T57" s="171" t="inlineStr">
        <is>
          <t>WHAT TO DO NEXT
▸  Assess separately, then refer if the threshold is met.</t>
        </is>
      </c>
      <c r="U57" s="171" t="inlineStr">
        <is>
          <t>WHERE THE EVIDENCE GOES
▸  Psychological report — state the co-occurrence and what it changes.</t>
        </is>
      </c>
      <c r="V57" s="171" t="inlineStr">
        <is>
          <t>—</t>
        </is>
      </c>
    </row>
    <row r="58" ht="169.5" customHeight="1" s="128">
      <c r="A58" s="208" t="inlineStr">
        <is>
          <t>CO-OCCURRING</t>
        </is>
      </c>
      <c r="B58" s="208" t="inlineStr">
        <is>
          <t>1. Assessment</t>
        </is>
      </c>
      <c r="C58" s="171" t="inlineStr">
        <is>
          <t>School Age (6–12 years)</t>
        </is>
      </c>
      <c r="D58" s="208" t="inlineStr">
        <is>
          <t>CO-OCCURS WITH GENERAL LEARNING DISABILITY (GLD)</t>
        </is>
      </c>
      <c r="E58" s="209" t="inlineStr">
        <is>
          <t>ADHD</t>
        </is>
      </c>
      <c r="F58" s="208" t="inlineStr">
        <is>
          <t>see its own entry</t>
        </is>
      </c>
      <c r="G58" s="208" t="inlineStr">
        <is>
          <t>YES — assess separately</t>
        </is>
      </c>
      <c r="H58" s="171" t="inlineStr">
        <is>
          <t>WHERE THIS SITS
▸  Sits under 1. Assessment, alongside General Learning Disability (GLD).
▸  NEPS category: 1. LEARNING (1.3 Comprehension and general ability)</t>
        </is>
      </c>
      <c r="I58" s="171" t="inlineStr">
        <is>
          <t>HOW OFTEN IT CO-OCCURS
▸  elevated.</t>
        </is>
      </c>
      <c r="J58" s="171" t="inlineStr">
        <is>
          <t>HOW IT PRESENTS WHEN IT CO-OCCURS
▸  attention difficulty that may simply be work pitched above the child's level. Rule that out first.</t>
        </is>
      </c>
      <c r="K58" s="171" t="inlineStr">
        <is>
          <t>THE RISK
▸  Do not assume the primary diagnosis explains this.
▸  Write down before you start what the primary diagnosis does NOT explain, then assess that.
▸  Diagnostic overshadowing is the single most common error in co-occurring presentations.</t>
        </is>
      </c>
      <c r="L58" s="171" t="inlineStr">
        <is>
          <t>—</t>
        </is>
      </c>
      <c r="M58" s="171" t="inlineStr">
        <is>
          <t>—</t>
        </is>
      </c>
      <c r="N58" s="171" t="inlineStr">
        <is>
          <t>—</t>
        </is>
      </c>
      <c r="O58" s="171" t="inlineStr">
        <is>
          <t>ASSESS
▸  Assess this separately, with its own measures.
▸  Build the case for each condition independently rather than letting evidence for one carry the other.</t>
        </is>
      </c>
      <c r="P58" s="171" t="inlineStr">
        <is>
          <t>DO
▸  State in the report what would be needed to establish this second presentation.
▸  That is often a referral rather than a conclusion you can reach yourself.</t>
        </is>
      </c>
      <c r="Q58" s="171" t="inlineStr">
        <is>
          <t>—</t>
        </is>
      </c>
      <c r="R58" s="171" t="inlineStr">
        <is>
          <t>—</t>
        </is>
      </c>
      <c r="S58" s="171" t="inlineStr">
        <is>
          <t>YOUR PRACTICE
▸  Bring it to supervision: for each child on my caseload with this diagnosis, what has NOT been assessed because the diagnosis was already there?</t>
        </is>
      </c>
      <c r="T58" s="171" t="inlineStr">
        <is>
          <t>WHAT TO DO NEXT
▸  Assess separately, then refer if the threshold is met.</t>
        </is>
      </c>
      <c r="U58" s="171" t="inlineStr">
        <is>
          <t>WHERE THE EVIDENCE GOES
▸  Psychological report — state the co-occurrence and what it changes.</t>
        </is>
      </c>
      <c r="V58" s="171" t="inlineStr">
        <is>
          <t>—</t>
        </is>
      </c>
    </row>
    <row r="59" ht="169.5" customHeight="1" s="128">
      <c r="A59" s="208" t="inlineStr">
        <is>
          <t>CO-OCCURRING</t>
        </is>
      </c>
      <c r="B59" s="208" t="inlineStr">
        <is>
          <t>1. Assessment</t>
        </is>
      </c>
      <c r="C59" s="171" t="inlineStr">
        <is>
          <t>School Age (6–12 years)</t>
        </is>
      </c>
      <c r="D59" s="208" t="inlineStr">
        <is>
          <t>CO-OCCURS WITH GENERAL LEARNING DISABILITY (GLD)</t>
        </is>
      </c>
      <c r="E59" s="209" t="inlineStr">
        <is>
          <t>EPILEPSY</t>
        </is>
      </c>
      <c r="F59" s="208" t="inlineStr">
        <is>
          <t>see its own entry</t>
        </is>
      </c>
      <c r="G59" s="208" t="inlineStr">
        <is>
          <t>YES — assess separately</t>
        </is>
      </c>
      <c r="H59" s="171" t="inlineStr">
        <is>
          <t>WHERE THIS SITS
▸  Sits under 1. Assessment, alongside General Learning Disability (GLD).
▸  NEPS category: 1. LEARNING (1.3 Comprehension and general ability)</t>
        </is>
      </c>
      <c r="I59" s="171" t="inlineStr">
        <is>
          <t>HOW OFTEN IT CO-OCCURS
▸  Rate not stated in source — check before quoting.</t>
        </is>
      </c>
      <c r="J59" s="171" t="inlineStr">
        <is>
          <t>HOW IT PRESENTS WHEN IT CO-OCCURS
▸  strongly elevated, particularly at moderate to profound levels. Medical; note and refer.</t>
        </is>
      </c>
      <c r="K59" s="171" t="inlineStr">
        <is>
          <t>THE RISK
▸  Do not assume the primary diagnosis explains this.
▸  Write down before you start what the primary diagnosis does NOT explain, then assess that.
▸  Diagnostic overshadowing is the single most common error in co-occurring presentations.</t>
        </is>
      </c>
      <c r="L59" s="171" t="inlineStr">
        <is>
          <t>—</t>
        </is>
      </c>
      <c r="M59" s="171" t="inlineStr">
        <is>
          <t>—</t>
        </is>
      </c>
      <c r="N59" s="171" t="inlineStr">
        <is>
          <t>—</t>
        </is>
      </c>
      <c r="O59" s="171" t="inlineStr">
        <is>
          <t>ASSESS
▸  Assess this separately, with its own measures.
▸  Build the case for each condition independently rather than letting evidence for one carry the other.</t>
        </is>
      </c>
      <c r="P59" s="171" t="inlineStr">
        <is>
          <t>DO
▸  State in the report what would be needed to establish this second presentation.
▸  That is often a referral rather than a conclusion you can reach yourself.</t>
        </is>
      </c>
      <c r="Q59" s="171" t="inlineStr">
        <is>
          <t>—</t>
        </is>
      </c>
      <c r="R59" s="171" t="inlineStr">
        <is>
          <t>—</t>
        </is>
      </c>
      <c r="S59" s="171" t="inlineStr">
        <is>
          <t>YOUR PRACTICE
▸  Bring it to supervision: for each child on my caseload with this diagnosis, what has NOT been assessed because the diagnosis was already there?</t>
        </is>
      </c>
      <c r="T59" s="171" t="inlineStr">
        <is>
          <t>WHAT TO DO NEXT
▸  Assess separately, then refer if the threshold is met.</t>
        </is>
      </c>
      <c r="U59" s="171" t="inlineStr">
        <is>
          <t>WHERE THE EVIDENCE GOES
▸  Psychological report — state the co-occurrence and what it changes.</t>
        </is>
      </c>
      <c r="V59" s="171" t="inlineStr">
        <is>
          <t>—</t>
        </is>
      </c>
    </row>
    <row r="60" ht="169.5" customHeight="1" s="128">
      <c r="A60" s="208" t="inlineStr">
        <is>
          <t>CO-OCCURRING</t>
        </is>
      </c>
      <c r="B60" s="208" t="inlineStr">
        <is>
          <t>1. Assessment</t>
        </is>
      </c>
      <c r="C60" s="171" t="inlineStr">
        <is>
          <t>School Age (6–12 years)</t>
        </is>
      </c>
      <c r="D60" s="208" t="inlineStr">
        <is>
          <t>CO-OCCURS WITH GENERAL LEARNING DISABILITY (GLD)</t>
        </is>
      </c>
      <c r="E60" s="209" t="inlineStr">
        <is>
          <t>COMMUNICATION DIFFICULTY</t>
        </is>
      </c>
      <c r="F60" s="208" t="inlineStr">
        <is>
          <t>see its own entry</t>
        </is>
      </c>
      <c r="G60" s="208" t="inlineStr">
        <is>
          <t>YES — assess separately</t>
        </is>
      </c>
      <c r="H60" s="171" t="inlineStr">
        <is>
          <t>WHERE THIS SITS
▸  Sits under 1. Assessment, alongside General Learning Disability (GLD).
▸  NEPS category: 1. LEARNING (1.3 Comprehension and general ability)</t>
        </is>
      </c>
      <c r="I60" s="171" t="inlineStr">
        <is>
          <t>HOW OFTEN IT CO-OCCURS
▸  Rate not stated in source — check before quoting.</t>
        </is>
      </c>
      <c r="J60" s="171" t="inlineStr">
        <is>
          <t>HOW IT PRESENTS WHEN IT CO-OCCURS
▸  very common and often the real barrier. SLT involvement is usually more useful than more cognitive assessment.</t>
        </is>
      </c>
      <c r="K60" s="171" t="inlineStr">
        <is>
          <t>THE RISK
▸  Do not assume the primary diagnosis explains this.
▸  Write down before you start what the primary diagnosis does NOT explain, then assess that.
▸  Diagnostic overshadowing is the single most common error in co-occurring presentations.</t>
        </is>
      </c>
      <c r="L60" s="171" t="inlineStr">
        <is>
          <t>—</t>
        </is>
      </c>
      <c r="M60" s="171" t="inlineStr">
        <is>
          <t>—</t>
        </is>
      </c>
      <c r="N60" s="171" t="inlineStr">
        <is>
          <t>—</t>
        </is>
      </c>
      <c r="O60" s="171" t="inlineStr">
        <is>
          <t>ASSESS
▸  Assess this separately, with its own measures.
▸  Build the case for each condition independently rather than letting evidence for one carry the other.</t>
        </is>
      </c>
      <c r="P60" s="171" t="inlineStr">
        <is>
          <t>DO
▸  State in the report what would be needed to establish this second presentation.
▸  That is often a referral rather than a conclusion you can reach yourself.</t>
        </is>
      </c>
      <c r="Q60" s="171" t="inlineStr">
        <is>
          <t>—</t>
        </is>
      </c>
      <c r="R60" s="171" t="inlineStr">
        <is>
          <t>—</t>
        </is>
      </c>
      <c r="S60" s="171" t="inlineStr">
        <is>
          <t>YOUR PRACTICE
▸  Bring it to supervision: for each child on my caseload with this diagnosis, what has NOT been assessed because the diagnosis was already there?</t>
        </is>
      </c>
      <c r="T60" s="171" t="inlineStr">
        <is>
          <t>WHAT TO DO NEXT
▸  Assess separately, then refer if the threshold is met.</t>
        </is>
      </c>
      <c r="U60" s="171" t="inlineStr">
        <is>
          <t>WHERE THE EVIDENCE GOES
▸  Psychological report — state the co-occurrence and what it changes.</t>
        </is>
      </c>
      <c r="V60" s="171" t="inlineStr">
        <is>
          <t>—</t>
        </is>
      </c>
    </row>
    <row r="61" ht="169.5" customHeight="1" s="128">
      <c r="A61" s="208" t="inlineStr">
        <is>
          <t>CO-OCCURRING</t>
        </is>
      </c>
      <c r="B61" s="208" t="inlineStr">
        <is>
          <t>1. Assessment</t>
        </is>
      </c>
      <c r="C61" s="171" t="inlineStr">
        <is>
          <t>School Age (6–12 years)</t>
        </is>
      </c>
      <c r="D61" s="208" t="inlineStr">
        <is>
          <t>CO-OCCURS WITH GENERAL LEARNING DISABILITY (GLD)</t>
        </is>
      </c>
      <c r="E61" s="209" t="inlineStr">
        <is>
          <t>PHYSICAL AND SENSORY IMPAIRMENT</t>
        </is>
      </c>
      <c r="F61" s="208" t="inlineStr">
        <is>
          <t>see its own entry</t>
        </is>
      </c>
      <c r="G61" s="208" t="inlineStr">
        <is>
          <t>YES — assess separately</t>
        </is>
      </c>
      <c r="H61" s="171" t="inlineStr">
        <is>
          <t>WHERE THIS SITS
▸  Sits under 1. Assessment, alongside General Learning Disability (GLD).
▸  NEPS category: 1. LEARNING (1.3 Comprehension and general ability)</t>
        </is>
      </c>
      <c r="I61" s="171" t="inlineStr">
        <is>
          <t>HOW OFTEN IT CO-OCCURS
▸  Rate not stated in source — check before quoting.</t>
        </is>
      </c>
      <c r="J61" s="171" t="inlineStr">
        <is>
          <t>HOW IT PRESENTS WHEN IT CO-OCCURS
▸  elevated, particularly in genetic syndromes. Always check vision and hearing before attributing anything to cognition.</t>
        </is>
      </c>
      <c r="K61" s="171" t="inlineStr">
        <is>
          <t>THE RISK
▸  Do not assume the primary diagnosis explains this.
▸  Write down before you start what the primary diagnosis does NOT explain, then assess that.
▸  Diagnostic overshadowing is the single most common error in co-occurring presentations.</t>
        </is>
      </c>
      <c r="L61" s="171" t="inlineStr">
        <is>
          <t>—</t>
        </is>
      </c>
      <c r="M61" s="171" t="inlineStr">
        <is>
          <t>—</t>
        </is>
      </c>
      <c r="N61" s="171" t="inlineStr">
        <is>
          <t>—</t>
        </is>
      </c>
      <c r="O61" s="171" t="inlineStr">
        <is>
          <t>ASSESS
▸  Assess this separately, with its own measures.
▸  Build the case for each condition independently rather than letting evidence for one carry the other.</t>
        </is>
      </c>
      <c r="P61" s="171" t="inlineStr">
        <is>
          <t>DO
▸  State in the report what would be needed to establish this second presentation.
▸  That is often a referral rather than a conclusion you can reach yourself.</t>
        </is>
      </c>
      <c r="Q61" s="171" t="inlineStr">
        <is>
          <t>—</t>
        </is>
      </c>
      <c r="R61" s="171" t="inlineStr">
        <is>
          <t>—</t>
        </is>
      </c>
      <c r="S61" s="171" t="inlineStr">
        <is>
          <t>YOUR PRACTICE
▸  Bring it to supervision: for each child on my caseload with this diagnosis, what has NOT been assessed because the diagnosis was already there?</t>
        </is>
      </c>
      <c r="T61" s="171" t="inlineStr">
        <is>
          <t>WHAT TO DO NEXT
▸  Assess separately, then refer if the threshold is met.</t>
        </is>
      </c>
      <c r="U61" s="171" t="inlineStr">
        <is>
          <t>WHERE THE EVIDENCE GOES
▸  Psychological report — state the co-occurrence and what it changes.</t>
        </is>
      </c>
      <c r="V61" s="171" t="inlineStr">
        <is>
          <t>—</t>
        </is>
      </c>
    </row>
    <row r="62" ht="169.5" customHeight="1" s="128">
      <c r="A62" s="208" t="inlineStr">
        <is>
          <t>CO-OCCURRING</t>
        </is>
      </c>
      <c r="B62" s="208" t="inlineStr">
        <is>
          <t>1. Assessment</t>
        </is>
      </c>
      <c r="C62" s="171" t="inlineStr">
        <is>
          <t>School Age (6–12 years)</t>
        </is>
      </c>
      <c r="D62" s="208" t="inlineStr">
        <is>
          <t>CO-OCCURS WITH GENERAL LEARNING DISABILITY (GLD)</t>
        </is>
      </c>
      <c r="E62" s="209" t="inlineStr">
        <is>
          <t>SPECIFIC LEARNING DIFFICULTY</t>
        </is>
      </c>
      <c r="F62" s="208" t="inlineStr">
        <is>
          <t>see its own entry</t>
        </is>
      </c>
      <c r="G62" s="208" t="inlineStr">
        <is>
          <t>YES — assess separately</t>
        </is>
      </c>
      <c r="H62" s="171" t="inlineStr">
        <is>
          <t>WHERE THIS SITS
▸  Sits under 1. Assessment, alongside General Learning Disability (GLD).
▸  NEPS category: 1. LEARNING (1.3 Comprehension and general ability)</t>
        </is>
      </c>
      <c r="I62" s="171" t="inlineStr">
        <is>
          <t>HOW OFTEN IT CO-OCCURS
▸  Rate not stated in source — check before quoting.</t>
        </is>
      </c>
      <c r="J62" s="171" t="inlineStr">
        <is>
          <t>HOW IT PRESENTS WHEN IT CO-OCCURS
▸  can co-occur. A child with GLD whose reading is far below even their own cognitive level has something additional going on.</t>
        </is>
      </c>
      <c r="K62" s="171" t="inlineStr">
        <is>
          <t>THE RISK
▸  Do not assume the primary diagnosis explains this.
▸  Write down before you start what the primary diagnosis does NOT explain, then assess that.
▸  Diagnostic overshadowing is the single most common error in co-occurring presentations.</t>
        </is>
      </c>
      <c r="L62" s="171" t="inlineStr">
        <is>
          <t>—</t>
        </is>
      </c>
      <c r="M62" s="171" t="inlineStr">
        <is>
          <t>—</t>
        </is>
      </c>
      <c r="N62" s="171" t="inlineStr">
        <is>
          <t>—</t>
        </is>
      </c>
      <c r="O62" s="171" t="inlineStr">
        <is>
          <t>ASSESS
▸  Assess this separately, with its own measures.
▸  Build the case for each condition independently rather than letting evidence for one carry the other.</t>
        </is>
      </c>
      <c r="P62" s="171" t="inlineStr">
        <is>
          <t>DO
▸  State in the report what would be needed to establish this second presentation.
▸  That is often a referral rather than a conclusion you can reach yourself.</t>
        </is>
      </c>
      <c r="Q62" s="171" t="inlineStr">
        <is>
          <t>—</t>
        </is>
      </c>
      <c r="R62" s="171" t="inlineStr">
        <is>
          <t>—</t>
        </is>
      </c>
      <c r="S62" s="171" t="inlineStr">
        <is>
          <t>YOUR PRACTICE
▸  Bring it to supervision: for each child on my caseload with this diagnosis, what has NOT been assessed because the diagnosis was already there?</t>
        </is>
      </c>
      <c r="T62" s="171" t="inlineStr">
        <is>
          <t>WHAT TO DO NEXT
▸  Assess separately, then refer if the threshold is met.</t>
        </is>
      </c>
      <c r="U62" s="171" t="inlineStr">
        <is>
          <t>WHERE THE EVIDENCE GOES
▸  Psychological report — state the co-occurrence and what it changes.</t>
        </is>
      </c>
      <c r="V62" s="171" t="inlineStr">
        <is>
          <t>—</t>
        </is>
      </c>
    </row>
    <row r="63" ht="169.5" customHeight="1" s="128">
      <c r="A63" s="208" t="inlineStr">
        <is>
          <t>CO-OCCURRING</t>
        </is>
      </c>
      <c r="B63" s="208" t="inlineStr">
        <is>
          <t>1. Assessment</t>
        </is>
      </c>
      <c r="C63" s="171" t="inlineStr">
        <is>
          <t>School Age (6–12 years)</t>
        </is>
      </c>
      <c r="D63" s="208" t="inlineStr">
        <is>
          <t>CO-OCCURS WITH GENERAL LEARNING DISABILITY (GLD)</t>
        </is>
      </c>
      <c r="E63" s="209" t="inlineStr">
        <is>
          <t>SLEEP AND FEEDING DIFFICULTIES</t>
        </is>
      </c>
      <c r="F63" s="208" t="inlineStr">
        <is>
          <t>see its own entry</t>
        </is>
      </c>
      <c r="G63" s="208" t="inlineStr">
        <is>
          <t>YES — assess separately</t>
        </is>
      </c>
      <c r="H63" s="171" t="inlineStr">
        <is>
          <t>WHERE THIS SITS
▸  Sits under 1. Assessment, alongside General Learning Disability (GLD).
▸  NEPS category: 1. LEARNING (1.3 Comprehension and general ability)</t>
        </is>
      </c>
      <c r="I63" s="171" t="inlineStr">
        <is>
          <t>HOW OFTEN IT CO-OCCURS
▸  Rate not stated in source — check before quoting.</t>
        </is>
      </c>
      <c r="J63" s="171" t="inlineStr">
        <is>
          <t>HOW IT PRESENTS WHEN IT CO-OCCURS
▸  common, under-asked-about, and they change the whole presentation.</t>
        </is>
      </c>
      <c r="K63" s="171" t="inlineStr">
        <is>
          <t>THE RISK
▸  Do not assume the primary diagnosis explains this.
▸  Write down before you start what the primary diagnosis does NOT explain, then assess that.
▸  Diagnostic overshadowing is the single most common error in co-occurring presentations.</t>
        </is>
      </c>
      <c r="L63" s="171" t="inlineStr">
        <is>
          <t>—</t>
        </is>
      </c>
      <c r="M63" s="171" t="inlineStr">
        <is>
          <t>—</t>
        </is>
      </c>
      <c r="N63" s="171" t="inlineStr">
        <is>
          <t>—</t>
        </is>
      </c>
      <c r="O63" s="171" t="inlineStr">
        <is>
          <t>ASSESS
▸  Assess this separately, with its own measures.
▸  Build the case for each condition independently rather than letting evidence for one carry the other.</t>
        </is>
      </c>
      <c r="P63" s="171" t="inlineStr">
        <is>
          <t>DO
▸  State in the report what would be needed to establish this second presentation.
▸  That is often a referral rather than a conclusion you can reach yourself.</t>
        </is>
      </c>
      <c r="Q63" s="171" t="inlineStr">
        <is>
          <t>—</t>
        </is>
      </c>
      <c r="R63" s="171" t="inlineStr">
        <is>
          <t>—</t>
        </is>
      </c>
      <c r="S63" s="171" t="inlineStr">
        <is>
          <t>YOUR PRACTICE
▸  Bring it to supervision: for each child on my caseload with this diagnosis, what has NOT been assessed because the diagnosis was already there?</t>
        </is>
      </c>
      <c r="T63" s="171" t="inlineStr">
        <is>
          <t>WHAT TO DO NEXT
▸  Assess separately, then refer if the threshold is met.</t>
        </is>
      </c>
      <c r="U63" s="171" t="inlineStr">
        <is>
          <t>WHERE THE EVIDENCE GOES
▸  Psychological report — state the co-occurrence and what it changes.</t>
        </is>
      </c>
      <c r="V63" s="171" t="inlineStr">
        <is>
          <t>—</t>
        </is>
      </c>
    </row>
    <row r="64" ht="408.75" customHeight="1" s="128">
      <c r="A64" s="210" t="inlineStr">
        <is>
          <t>PRESENTATION</t>
        </is>
      </c>
      <c r="B64" s="210" t="inlineStr">
        <is>
          <t>1. Assessment</t>
        </is>
      </c>
      <c r="C64" s="170" t="inlineStr">
        <is>
          <t>School Age (6–12 years)</t>
        </is>
      </c>
      <c r="D64" s="210" t="inlineStr">
        <is>
          <t>SYMPTOM-ONLY</t>
        </is>
      </c>
      <c r="E64" s="211" t="inlineStr">
        <is>
          <t>Presentations related to General Learning Disability (GLD) — no diagnosis</t>
        </is>
      </c>
      <c r="F64" s="210" t="inlineStr">
        <is>
          <t>No DSM code</t>
        </is>
      </c>
      <c r="G64" s="210" t="inlineStr">
        <is>
          <t>YES — these present at every band</t>
        </is>
      </c>
      <c r="H64" s="170" t="inlineStr">
        <is>
          <t>WHERE THIS SITS
▸  NEPS category: as above
▸  UCD competency: 1. Assessment
▸  CORU: 3.1 · 3.2 · 5.28 · 5.29 · 5.30 · 5.31 · 5.32
▸  PSI: 2.2.2 · 2.3.1 · 1.3.1 · 1.2.8</t>
        </is>
      </c>
      <c r="I64" s="170" t="inlineStr">
        <is>
          <t>THE PRESENTATIONS — no diagnosis needed, and most referrals look like this
▸  Borderline intellectual functioning
▸  Underachievement not meeting SLD criteria
▸  Curriculum access at the current level
▸  Interrupted or missed schooling
▸  Twice exceptional — high ability plus a specific difficulty</t>
        </is>
      </c>
      <c r="J64" s="170" t="inlineStr">
        <is>
          <t>HOW COMMON
▸  No prevalence figures exist for these — they are descriptions, not categories.
▸  They are more common than the diagnosis they sit beside.</t>
        </is>
      </c>
      <c r="K64" s="170" t="inlineStr">
        <is>
          <t>THE PATHWAY
▸  No diagnostic pathway. Nobody diagnoses these.
▸  You describe them, formulate around them, and recommend. That is the whole pathway.
▸  If a parent asks who diagnoses it: nobody. Say that plainly, and say it does not make the difficulty less real or less workable.</t>
        </is>
      </c>
      <c r="L64" s="170" t="inlineStr">
        <is>
          <t>WHAT YOU SEE
▸  These are what the referral form actually describes in Section 5.
▸  Look for the pattern across settings rather than a threshold.</t>
        </is>
      </c>
      <c r="M64" s="170" t="inlineStr">
        <is>
          <t>RED FLAGS
▸  Escalating distress, withdrawal or risk indicators — follow the protocol regardless of whether a diagnosis exists.
▸  Do not let the absence of a diagnosis delay a safeguarding response.</t>
        </is>
      </c>
      <c r="N64" s="170" t="inlineStr">
        <is>
          <t>WHAT ELSE COULD IT BE
▸  Each of these can be the visible edge of the diagnosed condition above.
▸  Each can also occur entirely on its own.
▸  Test the sequence: which came first?</t>
        </is>
      </c>
      <c r="O64" s="170" t="inlineStr">
        <is>
          <t>ASSESS
▸  Observation with a comparison peer.
▸  Teacher and parent interview.
▸  Pupil interview — their account is the evidence here.
▸  Rating scales describe perception, not the presentation itself.</t>
        </is>
      </c>
      <c r="P64" s="170" t="inlineStr">
        <is>
          <t>DO
▸  Name the presentation precisely rather than reaching for a label.
▸  Recommend at the level of the behaviour, not the hypothetical diagnosis.
▸  Specify what, who, how often, for how long, and how it will be measured.
▸  Name the Continuum of Support level.</t>
        </is>
      </c>
      <c r="Q64" s="170" t="inlineStr">
        <is>
          <t>EXPLAIN
▸  To a parent: “There isn’t a diagnosis for this, and it’s still real and still workable. Here’s what we do.”
▸  To a teacher: describe the behaviour in countable terms, not in trait terms.
▸  To the child: ask what helps, and use their words in the report.</t>
        </is>
      </c>
      <c r="R64" s="170" t="inlineStr">
        <is>
          <t>CHILD’S VOICE AND QUESTIONS
▸  Talking Mats · Blob Tree · scaling on a drawn ladder · sentence completion · day mapping.
▸  Q: “So there’s nothing wrong with him?” A: “There’s a real difficulty and it doesn’t have a label. Labels help get resources; they don’t make a difficulty more or less real.”
▸  Q: “Should we get him assessed privately?” A: give the honest position on what a diagnosis would and would not change here.</t>
        </is>
      </c>
      <c r="S64" s="170" t="inlineStr">
        <is>
          <t>YOUR PRACTICE
▸  Bring a case where you were pulled toward a label the data did not support.
▸  Reflect: did I describe, or did I reach? Whose language did I use?</t>
        </is>
      </c>
      <c r="T64" s="170" t="inlineStr">
        <is>
          <t>WHAT TO DO NEXT
▸  Proceed to formulation. These belong at the behavioural level of the Interactive Factors Framework.
▸  Test whether an unmet learning need is underneath before concluding anything.</t>
        </is>
      </c>
      <c r="U64" s="170" t="inlineStr">
        <is>
          <t>WHERE THE EVIDENCE GOES
▸  Psychological report
▸  Appendix 5 entry
▸  Log sheet</t>
        </is>
      </c>
      <c r="V64" s="170" t="inlineStr">
        <is>
          <t>CITATIONS
▸  Frederickson &amp; Cline (2009)
▸  Monsen &amp; Frederickson (2008)
▸  NEPS Continuum of Support</t>
        </is>
      </c>
    </row>
    <row r="65" ht="408.75" customHeight="1" s="128">
      <c r="A65" s="205" t="inlineStr">
        <is>
          <t>CONDITION</t>
        </is>
      </c>
      <c r="B65" s="205" t="inlineStr">
        <is>
          <t>1. Assessment</t>
        </is>
      </c>
      <c r="C65" s="206" t="inlineStr">
        <is>
          <t>School Age (6–12 years)</t>
        </is>
      </c>
      <c r="D65" s="205" t="inlineStr">
        <is>
          <t>DIAGNOSED</t>
        </is>
      </c>
      <c r="E65" s="206" t="inlineStr">
        <is>
          <t>Dyslexia / Specific Learning Disorder with impairment in reading</t>
        </is>
      </c>
      <c r="F65" s="205" t="inlineStr">
        <is>
          <t>DSM-5-TR Specific Learning Disorder, with impairment in reading</t>
        </is>
      </c>
      <c r="G65" s="205" t="inlineStr">
        <is>
          <t>YES — the identification window</t>
        </is>
      </c>
      <c r="H65" s="207" t="inlineStr">
        <is>
          <t>WHERE THIS SITS
▸  NEPS referral form category: 1. LEARNING (1.4 Literacy)
▸  UCD competency: 1. Assessment
▸  CORU: 3.1 · 3.2 · 5.28 · 5.29 · 5.30 · 5.31 · 5.32
▸  PSI: 2.2.2 · 2.3.1 · 1.3.1 · 1.2.8
▸  Law and policy: Children First Act 2015 · EPSEN Act 2004 · Equal Status Acts 2000–2018 · GDPR</t>
        </is>
      </c>
      <c r="I65" s="207" t="inlineStr">
        <is>
          <t>WHAT IT IS, AND WHAT IT IS NOT
▸  A SPECIFIC difficulty in accurate and/or fluent word reading, decoding and spelling, persisting despite appropriate instruction (APA, 2022).
▸  The best-supported causal account is a PHONOLOGICAL DEFICIT — difficulty representing and manipulating the sound structure of language (Snowling &amp; Hulme, 2011). Rapid automatised naming is a second reliable correlate.
▸  It is DIMENSIONAL. Pennington (2006) set out the multiple-deficit model: reading difficulty arises from several risk factors combining, not from one cause, which is why cut-offs are arbitrary and co-occurrence is the norm.
▸  'Despite appropriate instruction' is doing real work in the definition. You cannot identify dyslexia without knowing what has been taught.
▸  In Ireland the Department of Education uses 'specific learning difficulty'; the DSM term is Specific Learning Disorder. Both are in use.
▸  NOT about seeing letters backwards. Reversals are developmentally normal in early writing and are not diagnostic. This is the single most common public misconception.
▸  NOT a visual problem. Coloured overlays and tinted lenses do not have the evidence base their marketing claims; the difficulty is phonological, not optical.
▸  NOT related to intelligence. The IQ-achievement discrepancy model has been abandoned in current criteria because it under-identified children with lower cognitive scores.
▸  NOT laziness or lack of effort. Children with dyslexia typically work harder for less output.
▸  NOT cured by more of the same. If two years of unstructured reading practice has not worked, more of it will not either — the instruction has to be structured, explicit and systematic.</t>
        </is>
      </c>
      <c r="J65" s="207" t="inlineStr">
        <is>
          <t>HOW COMMON AT THIS AGE
▸  OVERALL: commonly cited at 3–7% of the population depending on cut-off, rising to around 20% if a broader definition of reading difficulty is used. The variation is because the underlying distribution is continuous and the cut-off is a decision.
▸  IRELAND: the Dyslexia Association of Ireland cites approximately 10% of the population as having dyslexia to some degree. Department of Education figures for identified specific learning difficulty will be lower because they reflect identification, not prevalence.
▸  SCHOOL AGE 6–12: the identification window. Most identification occurs between 7 and 10, which is later than optimal — intervention is most effective earlier.
▸  FAMILY HISTORY: heritability is substantial. A child with an affected parent has roughly a 40–60% chance of reading difficulty. Always ask.
▸  AT OTHER AGES (for context): EARLY YEARS 0–5 · ADOLESCENT 13–16 · YOUNG ADULT 17–26</t>
        </is>
      </c>
      <c r="K65" s="207" t="inlineStr">
        <is>
          <t>THE PATHWAY AND THE TIMELINE
▸ TYPICAL AGE OF IDENTIFICATION, AND WHY THEN
   Usually 7–10. Criteria require difficulty 'despite appropriate instruction', so identification cannot precede a reasonable period of systematic teaching. In practice this is later than optimal — intervention is most effective before the attainment gap widens and before confidence is affected.
▸ WHO DIAGNOSES IT
   In Ireland, educational psychologists identify specific learning difficulties, including through NEPS. There is no medical diagnosis. Private psychologists also assess, and reports vary in quality — check what criteria were applied.
▸ WHO COULD HAVE WRITTEN THE REPORT IN FRONT OF YOU
   NEPS psychologist. Private educational psychologist. An occupational therapist report covering handwriting is not a dyslexia assessment. School screening results are not identification.
▸ WHO YOU REFER TO
   Rarely onward — this is your own competency area. SLT where oral language or comprehension is implicated. OT where handwriting is motor. Audiology where hearing history is unclear. Dyslexia Association of Ireland for family support.
▸ 'SHOULD WE HAVE COME SOONER?'
   'Not really — we can't identify it until a child has had proper phonics teaching for a reasonable time, so there's a floor on how early this happens. What I would say is that what we put in place now matters more than when we started.'</t>
        </is>
      </c>
      <c r="L65" s="207" t="inlineStr">
        <is>
          <t>WHAT YOU SEE AT THIS AGE
▸  Most identification occurs between 7 and 10, which is later than optimal. WIAT-III, phonological battery, cognitive comparison, instructional history.
▸  EARLY YEARS 0–5: no diagnosis. Assess precursors — phonological awareness, rhyme, alliteration, letter-sound knowledge, family history. Family history is a genuine risk indicator.
▸  SCHOOL AGE 6–12: the identification window. WIAT-III, phonological battery, cognitive comparison, and instructional history. Early identification matters — intervention is most effective before the gap widens.
▸  ADOLESCENT 13–16: the question shifts to access and accommodation. RACE evidence, assistive technology, subject choice. Remediation still works but the priority is curriculum access.
▸  YOUNG ADULT 17–26: DSA evidence for third level, workplace adjustment, WRAT-5 or WIAT-III adult norms.
▸  SPECIAL SETTING: functional literacy against the setting curriculum.</t>
        </is>
      </c>
      <c r="M65" s="207" t="inlineStr">
        <is>
          <t>RED FLAGS AND BOUNDARIES
▸  RED FLAG — a child with an unidentified reading difficulty and emerging low mood or school refusal. The sequence is usually reading first, then avoidance. Treat the reading.
▸  RED FLAG — hearing history. Glue ear during the infant classes is a plausible alternative explanation and is routinely missed. Always ask.
▸  RED FLAG — no systematic phonics instruction has ever been provided. You cannot identify a disorder 'despite appropriate instruction' if there has not been appropriate instruction.
▸  WATCH FOR co-occurrence: ADHD, DLD and DCD all co-occur with reading difficulty at well above chance.</t>
        </is>
      </c>
      <c r="N65" s="207" t="inlineStr">
        <is>
          <t>WHAT ELSE COULD IT BE, AND WHAT CO-OCCURS
▸  ADHD — co-occurs in roughly 30–50% of cases in both directions. PRESENTS AS: reading difficulty plus inattention, where each worsens the other. Pennington's multiple-deficit model (2006) explains why this is expected rather than coincidental.
▸  DLD / LANGUAGE DISORDER — strongly associated. PRESENTS AS: decoding difficulty PLUS comprehension difficulty. A child who decodes accurately and still cannot answer questions has a language problem, not a decoding one.
▸  DCD — elevated. PRESENTS AS: slow, effortful handwriting on top of spelling difficulty, compounding written output problems.
▸  DYSCALCULIA — co-occurs, though less studied. PRESENTS AS: word-problem failure that may be either reading or number sense; test them apart.
▸  ANXIETY — very common and usually SECONDARY. PRESENTS AS: avoidance of reading aloud, school reluctance, somatic complaints before literacy lessons. Treat the reading and much of it resolves.
▸  LOW SELF-CONCEPT — almost universal where identification has been late. Academic self-concept drops before global self-esteem does.
▸  GLUE EAR HISTORY — not a co-occurring condition but a competing explanation. Always ask about the infant years.</t>
        </is>
      </c>
      <c r="O65" s="207" t="inlineStr">
        <is>
          <t>TOOLS VALID AT THIS BAND
▸  WIAT-III UK — AGE 4:0–25:11
     MEASURES: Word reading, reading comprehension, spelling, written expression, numerical operations, maths problem solving.
     CANNOT TELL YOU: Whether the difficulty is instructional or constitutional. Always ask what has actually been taught before concluding disorder.
     TIME: 60–90 min
▸  YARC (York Assessment of Reading for Comprehension) — AGE 4:0–16:0
     MEASURES: Reading accuracy, rate and comprehension from passages.
     CANNOT TELL YOU: Underlying phonological processing — pair with a phonological measure.
     TIME: 20–30 min
▸  Neale Analysis of Reading Ability — AGE 6:0–12:11
     MEASURES: Accuracy, comprehension, rate from graded passages.
     CANNOT TELL YOU: Spelling or written expression.
     TIME: 20–30 min
▸  DASH — AGE 9:0–16:11
     MEASURES: Handwriting speed across five tasks.
     CANNOT TELL YOU: Legibility or the reason for slowness — motor, orthographic or planning.
     TIME: 20–25 min
▸  Phonological Assessment Battery (PhAB2) — AGE 5:0–14:11
     MEASURES: Phonological awareness, rapid naming, phonological memory.
     CANNOT TELL YOU: Reading comprehension or vocabulary.
     TIME: 30 min
▸  CELF-5 UK — AGE 5:0–21:11
     MEASURES: Receptive and expressive language, language content and structure.
     CANNOT TELL YOU: Pragmatic language in context — use observation and the pragmatics checklist.
     TIME: 45–60 min
▸  BPVS-3 — AGE 3:0–16:11
     MEASURES: Receptive vocabulary.
     CANNOT TELL YOU: Expressive language, grammar or comprehension of connected speech. Heavily exposure-dependent.
     TIME: 10 min
▸  Renfrew Action Picture Test — AGE 3:0–8:11
     MEASURES: Information and grammar in spoken narrative.
     CANNOT TELL YOU: Receptive language.
     TIME: 10 min
▸  WISC-V UK — AGE 6:0–16:11
     MEASURES: Verbal comprehension, visual spatial, fluid reasoning, working memory, processing speed; FSIQ and GAI.
     CANNOT TELL YOU: Why the profile looks as it does, whether the child was taught the content, and anything about a child assessed in a second language without caution. Where index scatter exceeds 23 points, report GAI rather than FSIQ and say why.
     TIME: 65–80 min
▸  WNV (Wechsler Non-Verbal) — AGE 4:0–21:11
     MEASURES: Non-verbal cognitive ability with minimal language demand.
     CANNOT TELL YOU: Verbal reasoning. Useful where EAL or a language disorder would invalidate a verbal battery.
     TIME: 20–45 min
▸  BAS-3 — AGE 3:0–17:11
     MEASURES: Cognitive ability and achievement, UK-normed.
     CANNOT TELL YOU: Same limits as any cognitive battery. Check which edition and norms your service holds.
     TIME: 45–90 min</t>
        </is>
      </c>
      <c r="P65" s="207" t="inlineStr">
        <is>
          <t>WHAT YOU DO, AND WHAT YOU WRITE
▸  IDENTIFY THE COMPONENT FIRST — phonological awareness, decoding, fluency, vocabulary or comprehension — then match the intervention to it. A programme recommended without a component is a guess.
▸  STRUCTURED, EXPLICIT, SYSTEMATIC PHONICS taught to mastery. Specify: daily, 20 minutes, group of no more than three, SET-delivered, for a term.
▸  FLUENCY: repeated reading with feedback, and paired reading. Only after decoding is secure.
▸  ASSISTIVE TECHNOLOGY NOW, not when reading improves. Text-to-speech and speech-to-text give curriculum access while remediation happens.
▸  NEVER ASK TO READ ALOUD UNPREPARED. Offer the passage in advance if the child wants to participate.
▸  SEPARATE THE READING LOAD from every other subject's assessment. If she cannot read the question, that is a reading result.
▸  MONITOR FORTNIGHTLY with something sensitive — words correct per minute, non-word reading — not the annual standardised test.
▸  RACE / EXAM ACCESS at post-primary: build the evidence early, check current State Examinations Commission criteria.
▸  ADDRESS THE SECONDARY EFFECTS explicitly — confidence, avoidance — rather than assuming they resolve on their own.
▸  DO NOT RECOMMEND coloured overlays, tinted lenses or learning-styles matching. The evidence does not support them and PSI 4.2.2 applies.
▸  CONTINUUM LEVEL: School Support, moving to School Support Plus if a term of targeted intervention produces no measurable change.
▸  REFER: SLT where comprehension or oral language is implicated; OT where handwriting is motor; audiology where hearing history is unclear.</t>
        </is>
      </c>
      <c r="Q65" s="207" t="inlineStr">
        <is>
          <t>EXPLAIN
▸  TO A PARENT
▸  'Dyslexia is a difficulty with the sound structure of words — breaking them apart and putting them together. That makes decoding new words slow and effortful, which then makes everything that depends on reading harder.'
▸  'It's nothing to do with how clever she is. Her reasoning is [describe], and her reading is where the difficulty is. That gap is actually the picture.'
▸  'It's not about seeing letters backwards — that's the bit everyone has heard and it's not accurate.'
▸  'What helps is structured, explicit phonics taught to mastery, plus assistive technology so she can access the curriculum while the reading catches up. Both, not one.'
▸  SIGNPOST: Dyslexia Association of Ireland. Give the name.
▸  TO A TEACHER
▸  'The difficulty is phonological. She needs systematic, explicit phonics — and she needs it at her level, not the class level.'
▸  'Separate the reading load from the subject. If she can't read the maths word problem, that's a reading result, not a maths result. Read it to her and see what happens.'
▸  'Assistive technology now, not later. Text-to-speech and speech-to-text let her access the curriculum while the reading is being remediated. Withholding it until she can read is withholding the curriculum.'
▸  'Never ask her to read aloud unprepared in front of the class. Give her the passage the day before if she wants to participate.'
▸  'Monitor fortnightly with something sensitive — words correct per minute — not with the annual standardised test.'
▸  TO THE CHILD
▸  'Your brain finds it harder to break words into sounds and put them back together. That's what makes reading slow — it's not about how smart you are.'
▸  'Lots of people have this. It's called dyslexia. It doesn't go away, but reading gets a lot easier with the right kind of practice, and there's technology that reads things to you.'
▸  ASK: 'What's the hardest bit about reading for you?' Their answer often tells you whether it is decoding, stamina or embarrassment — three different problems.
▸  NAME A STRENGTH SPECIFICALLY: 'You worked out that answer without being able to read the question — that's the thinking part, and that's strong.'
▸  Be honest that it is lifelong. Children find that easier than discovering it later.
▸  ANALOGIES
▸  THE FOREIGN ALPHABET: 'Imagine every page was in Greek letters. You know the language, you can think about the ideas — but turning those shapes into sounds takes all your effort, and there's nothing left for understanding the story.' Good for teachers; explains why comprehension collapses.
▸  THE JAMMED LOCK: 'Most people's brains unlock a word automatically. Yours has a lock that sticks — you can still open it, it just takes longer each time.' Good with children.
▸  THE BUCKET OF EFFORT: 'Everyone starts the day with a bucket of concentration. If reading uses half the bucket before lunch, there isn't much left for anything else. That's why she's exhausted, not lazy.' Good with parents.
▸  LANGUAGE
▸  'Dyslexia' is widely used and generally accepted by the community; the Dyslexia Association of Ireland uses it directly.
▸  'Specific learning difficulty' is the Irish Department of Education term. 'Specific Learning Disorder with impairment in reading' is the DSM-5-TR term.
▸  Avoid 'word blind', 'suffers from dyslexia', and 'struggling reader' as a euphemism — it obscures rather than protects.
▸  Be careful with 'diagnosis'. In Ireland, educational psychologists identify specific learning difficulties; frame it as identification against criteria and say what criteria.</t>
        </is>
      </c>
      <c r="R65" s="207" t="inlineStr">
        <is>
          <t>THE CHILD’S VOICE, AND THE QUESTIONS
▸  READING ATTITUDE SCALES (e.g. Elementary Reading Attitude Survey) — good because reading attitude often deteriorates before attainment does, so it catches the emotional cost early.
▸  'MY THOUGHTS ABOUT SCHOOL' (NEPS Continuum of Support materials) — Irish, free, already in schools. Good because staff recognise it. → https://www.gov.ie/en/publication/52ee2-neps-resources-and-publications/
▸  SENTENCE COMPLETION ('Reading is…', 'When the teacher asks me to read…') — good because it is quick, non-threatening, and surfaces shame that direct questions miss.
▸  DYSLEXIA ASSOCIATION OF IRELAND young people's materials — Irish, written for children about their own profile. Good because self-understanding predicts self-advocacy. → https://dyslexia.ie/
▸  SCALING ON A DRAWN LADDER — good with 6–12s because it makes an abstract judgement concrete and gives you a follow-up question ('what puts you at a 4?').
▸  QUESTIONS YOU WILL BE ASKED
▸  Q: 'Does she see letters backwards?' — A: 'That's the thing everyone's heard and it isn't accurate. Reversals are normal in early writing. The actual difficulty is with the sounds in words — breaking them apart and blending them back together.'
▸  Q: 'Would coloured overlays help?' — A: 'The evidence doesn't support them, and I'd rather you spent the money and the time on something that does. If she finds a particular background easier to read, that's fine to use — it just isn't treating the dyslexia.'
▸  Q: 'Is she just not trying?' — A: 'The opposite, usually. Children with this profile work considerably harder than their classmates for less output, which is exhausting. What looks like giving up is often running out.'
▸  Q: 'Will she grow out of it?' — A: 'No, it's lifelong. Reading gets a great deal better with the right teaching, and most people find their own strategies. The difficulty with decoding new words tends to stay.'
▸  Q: 'Does this mean she's not clever?' — A: 'No, and in fact the gap between her reasoning and her reading is part of what identifies it. Her thinking is [specific]. The reading is where the difficulty sits.'
▸  Q: 'Should she use a laptop? Isn't that giving up on reading?' — A: 'No — it's two separate things. She needs the phonics teaching to improve the reading, and she needs the technology so she can access history and science while that's happening. Doing one without the other means she falls behind in everything else.'
▸  Q: 'Will she get extra time in the Leaving Cert?' — A: 'Possibly, and the application is made by the school against criteria set by the State Examinations Commission. I can set out the evidence that supports it, but I can't promise the outcome.'
▸  Q: 'The school says she's improving, so is she fine now?' — A: 'Improving is good and it doesn't mean the difficulty has gone. The thing to watch is whether she's improving fast enough to close the gap, or improving at the same rate while the gap stays the same. That's why we measure.'</t>
        </is>
      </c>
      <c r="S65" s="207" t="inlineStr">
        <is>
          <t>YOUR PRACTICE
▸  SUPERVISION
▸  Bring a recommendations section and ask your supervisor: 'who does this on Monday morning?' If they cannot answer, rewrite it.
▸  Ask how your service handles a school with no systematic phonics programme — that is a systemic conversation and it needs a strategy.
▸  Raise the identification threshold: at what point does your service say 'specific learning difficulty' and on what basis?
▸  Discuss the RACE process and what evidence actually satisfies the State Examinations Commission this year.
▸  Bring a case where the cognitive profile was low average and ask how identification works without a discrepancy model.
▸  Ask about assistive technology — what the service recommends, what schools actually have, and how to bridge the gap.
▸  REFLECTION
▸  ON INSTRUCTIONAL HISTORY — Did I establish what had actually been taught before I concluded anything? The criteria say 'despite appropriate instruction'. If I did not check, I have not met the criteria I claimed to apply.
▸  ON THE HEARING QUESTION — Did I ask specifically about glue ear and grommets in the infant years, or did I ask a general health question and accept a general answer?
▸  ON THE TEACHER CONVERSATION — Did I say 'structured phonics' and leave, or did I specify what, who, how often, for how long, and how it would be measured? An unspecified recommendation is a wish.
▸  ON ASSISTIVE TECHNOLOGY — Did I recommend it now, or imply it should wait until reading improves? Withholding access technology until a child can read is withholding the curriculum.
▸  ON HOW I EXPLAINED IT TO THE CHILD — Did I name a strength that was specific to them, or a generic one about dyslexic people? Generic strengths are heard as consolation.
▸  ON THE REVERSALS QUESTION — When the parent mentioned letters backwards, did I correct it clearly, or did I let it pass because correcting felt awkward?
▸  WHAT GOOD LOOKS LIKE: 'I had written 'targeted literacy support' in my first draft. Reading it back I could not have acted on it myself, so I rewrote it as daily 20 minutes of structured phonics, SET-delivered, group of three, monitored fortnightly on non-word reading. The school implemented it. The first version would have been filed.'
▸  WHAT POOR LOOKS LIKE: 'Assessment indicated a specific learning difficulty in reading. Literacy support is recommended.' — nothing actionable, no component identified, no instructional history.</t>
        </is>
      </c>
      <c r="T65" s="207" t="inlineStr">
        <is>
          <t>WHAT TO DO NEXT
▸  Proceed to FORMULATION using a named framework — Monsen, Interactive Factors, COMOIRA or Carr.
▸  If a learning need may be driving the presentation, proceed to attainment assessment before concluding.
▸  If risk or safeguarding emerged, none of the above — follow the protocol and tell your supervisor the same day.
▸  If the referral question is not answered by what you found, go back and renegotiate it.</t>
        </is>
      </c>
      <c r="U65" s="207" t="inlineStr">
        <is>
          <t>WHERE THE EVIDENCE GOES
▸  Psychological report
▸  Appendix 5 entry tagged 1. Assessment
▸  Appendix 7 if observed
▸  Table 3 — School Age
▸  Log sheet — tag the referral area and the competency</t>
        </is>
      </c>
      <c r="V65" s="207" t="inlineStr">
        <is>
          <t>CITATIONS
▸  American Psychiatric Association (2022). DSM-5-TR — Specific Learning Disorder.
▸  Snowling, M. J., &amp; Hulme, C. (2011). Evidence-based interventions for reading and language difficulties. British Journal of Educational Psychology, 81(1), 1–23.
▸  Pennington, B. F. (2006). From single to multiple deficit models of developmental disorders. Cognition, 101(2), 385–413.
▸  Ehri, L. C. (2005). Learning to read words: Theory, findings, and issues. Scientific Studies of Reading, 9(2), 167–188.
▸  Snowling, M. J., &amp; Hulme, C. (2012). Annual research review: The nature and classification of reading disorders. JCPP, 53(5), 593–607.
▸  EEF Teaching and Learning Toolkit — phonics strand.</t>
        </is>
      </c>
    </row>
    <row r="66" ht="169.5" customHeight="1" s="128">
      <c r="A66" s="208" t="inlineStr">
        <is>
          <t>CO-OCCURRING</t>
        </is>
      </c>
      <c r="B66" s="208" t="inlineStr">
        <is>
          <t>1. Assessment</t>
        </is>
      </c>
      <c r="C66" s="171" t="inlineStr">
        <is>
          <t>School Age (6–12 years)</t>
        </is>
      </c>
      <c r="D66" s="208" t="inlineStr">
        <is>
          <t>CO-OCCURS WITH DYSLEXIA</t>
        </is>
      </c>
      <c r="E66" s="209" t="inlineStr">
        <is>
          <t>ADHD</t>
        </is>
      </c>
      <c r="F66" s="208" t="inlineStr">
        <is>
          <t>see its own entry</t>
        </is>
      </c>
      <c r="G66" s="208" t="inlineStr">
        <is>
          <t>YES — assess separately</t>
        </is>
      </c>
      <c r="H66" s="171" t="inlineStr">
        <is>
          <t>WHERE THIS SITS
▸  Sits under 1. Assessment, alongside Dyslexia.
▸  NEPS category: 1. LEARNING (1.4 Literacy)</t>
        </is>
      </c>
      <c r="I66" s="171" t="inlineStr">
        <is>
          <t>HOW OFTEN IT CO-OCCURS
▸  co-occurs in roughly 30–50% of cases in both directions.</t>
        </is>
      </c>
      <c r="J66" s="171" t="inlineStr">
        <is>
          <t>HOW IT PRESENTS WHEN IT CO-OCCURS
▸  reading difficulty plus inattention, where each worsens the other. Pennington's multiple-deficit model (2006) explains why this is expected rather than coincidental.</t>
        </is>
      </c>
      <c r="K66" s="171" t="inlineStr">
        <is>
          <t>THE RISK
▸  Do not assume the primary diagnosis explains this.
▸  Write down before you start what the primary diagnosis does NOT explain, then assess that.
▸  Diagnostic overshadowing is the single most common error in co-occurring presentations.</t>
        </is>
      </c>
      <c r="L66" s="171" t="inlineStr">
        <is>
          <t>—</t>
        </is>
      </c>
      <c r="M66" s="171" t="inlineStr">
        <is>
          <t>—</t>
        </is>
      </c>
      <c r="N66" s="171" t="inlineStr">
        <is>
          <t>—</t>
        </is>
      </c>
      <c r="O66" s="171" t="inlineStr">
        <is>
          <t>ASSESS
▸  Assess this separately, with its own measures.
▸  Build the case for each condition independently rather than letting evidence for one carry the other.</t>
        </is>
      </c>
      <c r="P66" s="171" t="inlineStr">
        <is>
          <t>DO
▸  State in the report what would be needed to establish this second presentation.
▸  That is often a referral rather than a conclusion you can reach yourself.</t>
        </is>
      </c>
      <c r="Q66" s="171" t="inlineStr">
        <is>
          <t>—</t>
        </is>
      </c>
      <c r="R66" s="171" t="inlineStr">
        <is>
          <t>—</t>
        </is>
      </c>
      <c r="S66" s="171" t="inlineStr">
        <is>
          <t>YOUR PRACTICE
▸  Bring it to supervision: for each child on my caseload with this diagnosis, what has NOT been assessed because the diagnosis was already there?</t>
        </is>
      </c>
      <c r="T66" s="171" t="inlineStr">
        <is>
          <t>WHAT TO DO NEXT
▸  Assess separately, then refer if the threshold is met.</t>
        </is>
      </c>
      <c r="U66" s="171" t="inlineStr">
        <is>
          <t>WHERE THE EVIDENCE GOES
▸  Psychological report — state the co-occurrence and what it changes.</t>
        </is>
      </c>
      <c r="V66" s="171" t="inlineStr">
        <is>
          <t>—</t>
        </is>
      </c>
    </row>
    <row r="67" ht="169.5" customHeight="1" s="128">
      <c r="A67" s="208" t="inlineStr">
        <is>
          <t>CO-OCCURRING</t>
        </is>
      </c>
      <c r="B67" s="208" t="inlineStr">
        <is>
          <t>1. Assessment</t>
        </is>
      </c>
      <c r="C67" s="171" t="inlineStr">
        <is>
          <t>School Age (6–12 years)</t>
        </is>
      </c>
      <c r="D67" s="208" t="inlineStr">
        <is>
          <t>CO-OCCURS WITH DYSLEXIA</t>
        </is>
      </c>
      <c r="E67" s="209" t="inlineStr">
        <is>
          <t>DLD / LANGUAGE DISORDER</t>
        </is>
      </c>
      <c r="F67" s="208" t="inlineStr">
        <is>
          <t>see its own entry</t>
        </is>
      </c>
      <c r="G67" s="208" t="inlineStr">
        <is>
          <t>YES — assess separately</t>
        </is>
      </c>
      <c r="H67" s="171" t="inlineStr">
        <is>
          <t>WHERE THIS SITS
▸  Sits under 1. Assessment, alongside Dyslexia.
▸  NEPS category: 1. LEARNING (1.4 Literacy)</t>
        </is>
      </c>
      <c r="I67" s="171" t="inlineStr">
        <is>
          <t>HOW OFTEN IT CO-OCCURS
▸  strongly associated.</t>
        </is>
      </c>
      <c r="J67" s="171" t="inlineStr">
        <is>
          <t>HOW IT PRESENTS WHEN IT CO-OCCURS
▸  decoding difficulty PLUS comprehension difficulty. A child who decodes accurately and still cannot answer questions has a language problem, not a decoding one.</t>
        </is>
      </c>
      <c r="K67" s="171" t="inlineStr">
        <is>
          <t>THE RISK
▸  Do not assume the primary diagnosis explains this.
▸  Write down before you start what the primary diagnosis does NOT explain, then assess that.
▸  Diagnostic overshadowing is the single most common error in co-occurring presentations.</t>
        </is>
      </c>
      <c r="L67" s="171" t="inlineStr">
        <is>
          <t>—</t>
        </is>
      </c>
      <c r="M67" s="171" t="inlineStr">
        <is>
          <t>—</t>
        </is>
      </c>
      <c r="N67" s="171" t="inlineStr">
        <is>
          <t>—</t>
        </is>
      </c>
      <c r="O67" s="171" t="inlineStr">
        <is>
          <t>ASSESS
▸  Assess this separately, with its own measures.
▸  Build the case for each condition independently rather than letting evidence for one carry the other.</t>
        </is>
      </c>
      <c r="P67" s="171" t="inlineStr">
        <is>
          <t>DO
▸  State in the report what would be needed to establish this second presentation.
▸  That is often a referral rather than a conclusion you can reach yourself.</t>
        </is>
      </c>
      <c r="Q67" s="171" t="inlineStr">
        <is>
          <t>—</t>
        </is>
      </c>
      <c r="R67" s="171" t="inlineStr">
        <is>
          <t>—</t>
        </is>
      </c>
      <c r="S67" s="171" t="inlineStr">
        <is>
          <t>YOUR PRACTICE
▸  Bring it to supervision: for each child on my caseload with this diagnosis, what has NOT been assessed because the diagnosis was already there?</t>
        </is>
      </c>
      <c r="T67" s="171" t="inlineStr">
        <is>
          <t>WHAT TO DO NEXT
▸  Assess separately, then refer if the threshold is met.</t>
        </is>
      </c>
      <c r="U67" s="171" t="inlineStr">
        <is>
          <t>WHERE THE EVIDENCE GOES
▸  Psychological report — state the co-occurrence and what it changes.</t>
        </is>
      </c>
      <c r="V67" s="171" t="inlineStr">
        <is>
          <t>—</t>
        </is>
      </c>
    </row>
    <row r="68" ht="169.5" customHeight="1" s="128">
      <c r="A68" s="208" t="inlineStr">
        <is>
          <t>CO-OCCURRING</t>
        </is>
      </c>
      <c r="B68" s="208" t="inlineStr">
        <is>
          <t>1. Assessment</t>
        </is>
      </c>
      <c r="C68" s="171" t="inlineStr">
        <is>
          <t>School Age (6–12 years)</t>
        </is>
      </c>
      <c r="D68" s="208" t="inlineStr">
        <is>
          <t>CO-OCCURS WITH DYSLEXIA</t>
        </is>
      </c>
      <c r="E68" s="209" t="inlineStr">
        <is>
          <t>DCD</t>
        </is>
      </c>
      <c r="F68" s="208" t="inlineStr">
        <is>
          <t>see its own entry</t>
        </is>
      </c>
      <c r="G68" s="208" t="inlineStr">
        <is>
          <t>YES — assess separately</t>
        </is>
      </c>
      <c r="H68" s="171" t="inlineStr">
        <is>
          <t>WHERE THIS SITS
▸  Sits under 1. Assessment, alongside Dyslexia.
▸  NEPS category: 1. LEARNING (1.4 Literacy)</t>
        </is>
      </c>
      <c r="I68" s="171" t="inlineStr">
        <is>
          <t>HOW OFTEN IT CO-OCCURS
▸  elevated.</t>
        </is>
      </c>
      <c r="J68" s="171" t="inlineStr">
        <is>
          <t>HOW IT PRESENTS WHEN IT CO-OCCURS
▸  slow, effortful handwriting on top of spelling difficulty, compounding written output problems.</t>
        </is>
      </c>
      <c r="K68" s="171" t="inlineStr">
        <is>
          <t>THE RISK
▸  Do not assume the primary diagnosis explains this.
▸  Write down before you start what the primary diagnosis does NOT explain, then assess that.
▸  Diagnostic overshadowing is the single most common error in co-occurring presentations.</t>
        </is>
      </c>
      <c r="L68" s="171" t="inlineStr">
        <is>
          <t>—</t>
        </is>
      </c>
      <c r="M68" s="171" t="inlineStr">
        <is>
          <t>—</t>
        </is>
      </c>
      <c r="N68" s="171" t="inlineStr">
        <is>
          <t>—</t>
        </is>
      </c>
      <c r="O68" s="171" t="inlineStr">
        <is>
          <t>ASSESS
▸  Assess this separately, with its own measures.
▸  Build the case for each condition independently rather than letting evidence for one carry the other.</t>
        </is>
      </c>
      <c r="P68" s="171" t="inlineStr">
        <is>
          <t>DO
▸  State in the report what would be needed to establish this second presentation.
▸  That is often a referral rather than a conclusion you can reach yourself.</t>
        </is>
      </c>
      <c r="Q68" s="171" t="inlineStr">
        <is>
          <t>—</t>
        </is>
      </c>
      <c r="R68" s="171" t="inlineStr">
        <is>
          <t>—</t>
        </is>
      </c>
      <c r="S68" s="171" t="inlineStr">
        <is>
          <t>YOUR PRACTICE
▸  Bring it to supervision: for each child on my caseload with this diagnosis, what has NOT been assessed because the diagnosis was already there?</t>
        </is>
      </c>
      <c r="T68" s="171" t="inlineStr">
        <is>
          <t>WHAT TO DO NEXT
▸  Assess separately, then refer if the threshold is met.</t>
        </is>
      </c>
      <c r="U68" s="171" t="inlineStr">
        <is>
          <t>WHERE THE EVIDENCE GOES
▸  Psychological report — state the co-occurrence and what it changes.</t>
        </is>
      </c>
      <c r="V68" s="171" t="inlineStr">
        <is>
          <t>—</t>
        </is>
      </c>
    </row>
    <row r="69" ht="169.5" customHeight="1" s="128">
      <c r="A69" s="208" t="inlineStr">
        <is>
          <t>CO-OCCURRING</t>
        </is>
      </c>
      <c r="B69" s="208" t="inlineStr">
        <is>
          <t>1. Assessment</t>
        </is>
      </c>
      <c r="C69" s="171" t="inlineStr">
        <is>
          <t>School Age (6–12 years)</t>
        </is>
      </c>
      <c r="D69" s="208" t="inlineStr">
        <is>
          <t>CO-OCCURS WITH DYSLEXIA</t>
        </is>
      </c>
      <c r="E69" s="209" t="inlineStr">
        <is>
          <t>DYSCALCULIA</t>
        </is>
      </c>
      <c r="F69" s="208" t="inlineStr">
        <is>
          <t>see its own entry</t>
        </is>
      </c>
      <c r="G69" s="208" t="inlineStr">
        <is>
          <t>YES — assess separately</t>
        </is>
      </c>
      <c r="H69" s="171" t="inlineStr">
        <is>
          <t>WHERE THIS SITS
▸  Sits under 1. Assessment, alongside Dyslexia.
▸  NEPS category: 1. LEARNING (1.4 Literacy)</t>
        </is>
      </c>
      <c r="I69" s="171" t="inlineStr">
        <is>
          <t>HOW OFTEN IT CO-OCCURS
▸  co-occurs, though less studied.</t>
        </is>
      </c>
      <c r="J69" s="171" t="inlineStr">
        <is>
          <t>HOW IT PRESENTS WHEN IT CO-OCCURS
▸  word-problem failure that may be either reading or number sense; test them apart.</t>
        </is>
      </c>
      <c r="K69" s="171" t="inlineStr">
        <is>
          <t>THE RISK
▸  Do not assume the primary diagnosis explains this.
▸  Write down before you start what the primary diagnosis does NOT explain, then assess that.
▸  Diagnostic overshadowing is the single most common error in co-occurring presentations.</t>
        </is>
      </c>
      <c r="L69" s="171" t="inlineStr">
        <is>
          <t>—</t>
        </is>
      </c>
      <c r="M69" s="171" t="inlineStr">
        <is>
          <t>—</t>
        </is>
      </c>
      <c r="N69" s="171" t="inlineStr">
        <is>
          <t>—</t>
        </is>
      </c>
      <c r="O69" s="171" t="inlineStr">
        <is>
          <t>ASSESS
▸  Assess this separately, with its own measures.
▸  Build the case for each condition independently rather than letting evidence for one carry the other.</t>
        </is>
      </c>
      <c r="P69" s="171" t="inlineStr">
        <is>
          <t>DO
▸  State in the report what would be needed to establish this second presentation.
▸  That is often a referral rather than a conclusion you can reach yourself.</t>
        </is>
      </c>
      <c r="Q69" s="171" t="inlineStr">
        <is>
          <t>—</t>
        </is>
      </c>
      <c r="R69" s="171" t="inlineStr">
        <is>
          <t>—</t>
        </is>
      </c>
      <c r="S69" s="171" t="inlineStr">
        <is>
          <t>YOUR PRACTICE
▸  Bring it to supervision: for each child on my caseload with this diagnosis, what has NOT been assessed because the diagnosis was already there?</t>
        </is>
      </c>
      <c r="T69" s="171" t="inlineStr">
        <is>
          <t>WHAT TO DO NEXT
▸  Assess separately, then refer if the threshold is met.</t>
        </is>
      </c>
      <c r="U69" s="171" t="inlineStr">
        <is>
          <t>WHERE THE EVIDENCE GOES
▸  Psychological report — state the co-occurrence and what it changes.</t>
        </is>
      </c>
      <c r="V69" s="171" t="inlineStr">
        <is>
          <t>—</t>
        </is>
      </c>
    </row>
    <row r="70" ht="169.5" customHeight="1" s="128">
      <c r="A70" s="208" t="inlineStr">
        <is>
          <t>CO-OCCURRING</t>
        </is>
      </c>
      <c r="B70" s="208" t="inlineStr">
        <is>
          <t>1. Assessment</t>
        </is>
      </c>
      <c r="C70" s="171" t="inlineStr">
        <is>
          <t>School Age (6–12 years)</t>
        </is>
      </c>
      <c r="D70" s="208" t="inlineStr">
        <is>
          <t>CO-OCCURS WITH DYSLEXIA</t>
        </is>
      </c>
      <c r="E70" s="209" t="inlineStr">
        <is>
          <t>ANXIETY</t>
        </is>
      </c>
      <c r="F70" s="208" t="inlineStr">
        <is>
          <t>see its own entry</t>
        </is>
      </c>
      <c r="G70" s="208" t="inlineStr">
        <is>
          <t>YES — assess separately</t>
        </is>
      </c>
      <c r="H70" s="171" t="inlineStr">
        <is>
          <t>WHERE THIS SITS
▸  Sits under 1. Assessment, alongside Dyslexia.
▸  NEPS category: 1. LEARNING (1.4 Literacy)</t>
        </is>
      </c>
      <c r="I70" s="171" t="inlineStr">
        <is>
          <t>HOW OFTEN IT CO-OCCURS
▸  very common and usually SECONDARY.</t>
        </is>
      </c>
      <c r="J70" s="171" t="inlineStr">
        <is>
          <t>HOW IT PRESENTS WHEN IT CO-OCCURS
▸  avoidance of reading aloud, school reluctance, somatic complaints before literacy lessons. Treat the reading and much of it resolves.</t>
        </is>
      </c>
      <c r="K70" s="171" t="inlineStr">
        <is>
          <t>THE RISK
▸  Do not assume the primary diagnosis explains this.
▸  Write down before you start what the primary diagnosis does NOT explain, then assess that.
▸  Diagnostic overshadowing is the single most common error in co-occurring presentations.</t>
        </is>
      </c>
      <c r="L70" s="171" t="inlineStr">
        <is>
          <t>—</t>
        </is>
      </c>
      <c r="M70" s="171" t="inlineStr">
        <is>
          <t>—</t>
        </is>
      </c>
      <c r="N70" s="171" t="inlineStr">
        <is>
          <t>—</t>
        </is>
      </c>
      <c r="O70" s="171" t="inlineStr">
        <is>
          <t>ASSESS
▸  Assess this separately, with its own measures.
▸  Build the case for each condition independently rather than letting evidence for one carry the other.</t>
        </is>
      </c>
      <c r="P70" s="171" t="inlineStr">
        <is>
          <t>DO
▸  State in the report what would be needed to establish this second presentation.
▸  That is often a referral rather than a conclusion you can reach yourself.</t>
        </is>
      </c>
      <c r="Q70" s="171" t="inlineStr">
        <is>
          <t>—</t>
        </is>
      </c>
      <c r="R70" s="171" t="inlineStr">
        <is>
          <t>—</t>
        </is>
      </c>
      <c r="S70" s="171" t="inlineStr">
        <is>
          <t>YOUR PRACTICE
▸  Bring it to supervision: for each child on my caseload with this diagnosis, what has NOT been assessed because the diagnosis was already there?</t>
        </is>
      </c>
      <c r="T70" s="171" t="inlineStr">
        <is>
          <t>WHAT TO DO NEXT
▸  Assess separately, then refer if the threshold is met.</t>
        </is>
      </c>
      <c r="U70" s="171" t="inlineStr">
        <is>
          <t>WHERE THE EVIDENCE GOES
▸  Psychological report — state the co-occurrence and what it changes.</t>
        </is>
      </c>
      <c r="V70" s="171" t="inlineStr">
        <is>
          <t>—</t>
        </is>
      </c>
    </row>
    <row r="71" ht="169.5" customHeight="1" s="128">
      <c r="A71" s="208" t="inlineStr">
        <is>
          <t>CO-OCCURRING</t>
        </is>
      </c>
      <c r="B71" s="208" t="inlineStr">
        <is>
          <t>1. Assessment</t>
        </is>
      </c>
      <c r="C71" s="171" t="inlineStr">
        <is>
          <t>School Age (6–12 years)</t>
        </is>
      </c>
      <c r="D71" s="208" t="inlineStr">
        <is>
          <t>CO-OCCURS WITH DYSLEXIA</t>
        </is>
      </c>
      <c r="E71" s="209" t="inlineStr">
        <is>
          <t>LOW SELF-CONCEPT</t>
        </is>
      </c>
      <c r="F71" s="208" t="inlineStr">
        <is>
          <t>see its own entry</t>
        </is>
      </c>
      <c r="G71" s="208" t="inlineStr">
        <is>
          <t>YES — assess separately</t>
        </is>
      </c>
      <c r="H71" s="171" t="inlineStr">
        <is>
          <t>WHERE THIS SITS
▸  Sits under 1. Assessment, alongside Dyslexia.
▸  NEPS category: 1. LEARNING (1.4 Literacy)</t>
        </is>
      </c>
      <c r="I71" s="171" t="inlineStr">
        <is>
          <t>HOW OFTEN IT CO-OCCURS
▸  Rate not stated in source — check before quoting.</t>
        </is>
      </c>
      <c r="J71" s="171" t="inlineStr">
        <is>
          <t>HOW IT PRESENTS WHEN IT CO-OCCURS
▸  almost universal where identification has been late. Academic self-concept drops before global self-esteem does.</t>
        </is>
      </c>
      <c r="K71" s="171" t="inlineStr">
        <is>
          <t>THE RISK
▸  Do not assume the primary diagnosis explains this.
▸  Write down before you start what the primary diagnosis does NOT explain, then assess that.
▸  Diagnostic overshadowing is the single most common error in co-occurring presentations.</t>
        </is>
      </c>
      <c r="L71" s="171" t="inlineStr">
        <is>
          <t>—</t>
        </is>
      </c>
      <c r="M71" s="171" t="inlineStr">
        <is>
          <t>—</t>
        </is>
      </c>
      <c r="N71" s="171" t="inlineStr">
        <is>
          <t>—</t>
        </is>
      </c>
      <c r="O71" s="171" t="inlineStr">
        <is>
          <t>ASSESS
▸  Assess this separately, with its own measures.
▸  Build the case for each condition independently rather than letting evidence for one carry the other.</t>
        </is>
      </c>
      <c r="P71" s="171" t="inlineStr">
        <is>
          <t>DO
▸  State in the report what would be needed to establish this second presentation.
▸  That is often a referral rather than a conclusion you can reach yourself.</t>
        </is>
      </c>
      <c r="Q71" s="171" t="inlineStr">
        <is>
          <t>—</t>
        </is>
      </c>
      <c r="R71" s="171" t="inlineStr">
        <is>
          <t>—</t>
        </is>
      </c>
      <c r="S71" s="171" t="inlineStr">
        <is>
          <t>YOUR PRACTICE
▸  Bring it to supervision: for each child on my caseload with this diagnosis, what has NOT been assessed because the diagnosis was already there?</t>
        </is>
      </c>
      <c r="T71" s="171" t="inlineStr">
        <is>
          <t>WHAT TO DO NEXT
▸  Assess separately, then refer if the threshold is met.</t>
        </is>
      </c>
      <c r="U71" s="171" t="inlineStr">
        <is>
          <t>WHERE THE EVIDENCE GOES
▸  Psychological report — state the co-occurrence and what it changes.</t>
        </is>
      </c>
      <c r="V71" s="171" t="inlineStr">
        <is>
          <t>—</t>
        </is>
      </c>
    </row>
    <row r="72" ht="169.5" customHeight="1" s="128">
      <c r="A72" s="208" t="inlineStr">
        <is>
          <t>CO-OCCURRING</t>
        </is>
      </c>
      <c r="B72" s="208" t="inlineStr">
        <is>
          <t>1. Assessment</t>
        </is>
      </c>
      <c r="C72" s="171" t="inlineStr">
        <is>
          <t>School Age (6–12 years)</t>
        </is>
      </c>
      <c r="D72" s="208" t="inlineStr">
        <is>
          <t>CO-OCCURS WITH DYSLEXIA</t>
        </is>
      </c>
      <c r="E72" s="209" t="inlineStr">
        <is>
          <t>GLUE EAR HISTORY</t>
        </is>
      </c>
      <c r="F72" s="208" t="inlineStr">
        <is>
          <t>see its own entry</t>
        </is>
      </c>
      <c r="G72" s="208" t="inlineStr">
        <is>
          <t>YES — assess separately</t>
        </is>
      </c>
      <c r="H72" s="171" t="inlineStr">
        <is>
          <t>WHERE THIS SITS
▸  Sits under 1. Assessment, alongside Dyslexia.
▸  NEPS category: 1. LEARNING (1.4 Literacy)</t>
        </is>
      </c>
      <c r="I72" s="171" t="inlineStr">
        <is>
          <t>HOW OFTEN IT CO-OCCURS
▸  Rate not stated in source — check before quoting.</t>
        </is>
      </c>
      <c r="J72" s="171" t="inlineStr">
        <is>
          <t>HOW IT PRESENTS WHEN IT CO-OCCURS
▸  not a co-occurring condition but a competing explanation. Always ask about the infant years.</t>
        </is>
      </c>
      <c r="K72" s="171" t="inlineStr">
        <is>
          <t>THE RISK
▸  Do not assume the primary diagnosis explains this.
▸  Write down before you start what the primary diagnosis does NOT explain, then assess that.
▸  Diagnostic overshadowing is the single most common error in co-occurring presentations.</t>
        </is>
      </c>
      <c r="L72" s="171" t="inlineStr">
        <is>
          <t>—</t>
        </is>
      </c>
      <c r="M72" s="171" t="inlineStr">
        <is>
          <t>—</t>
        </is>
      </c>
      <c r="N72" s="171" t="inlineStr">
        <is>
          <t>—</t>
        </is>
      </c>
      <c r="O72" s="171" t="inlineStr">
        <is>
          <t>ASSESS
▸  Assess this separately, with its own measures.
▸  Build the case for each condition independently rather than letting evidence for one carry the other.</t>
        </is>
      </c>
      <c r="P72" s="171" t="inlineStr">
        <is>
          <t>DO
▸  State in the report what would be needed to establish this second presentation.
▸  That is often a referral rather than a conclusion you can reach yourself.</t>
        </is>
      </c>
      <c r="Q72" s="171" t="inlineStr">
        <is>
          <t>—</t>
        </is>
      </c>
      <c r="R72" s="171" t="inlineStr">
        <is>
          <t>—</t>
        </is>
      </c>
      <c r="S72" s="171" t="inlineStr">
        <is>
          <t>YOUR PRACTICE
▸  Bring it to supervision: for each child on my caseload with this diagnosis, what has NOT been assessed because the diagnosis was already there?</t>
        </is>
      </c>
      <c r="T72" s="171" t="inlineStr">
        <is>
          <t>WHAT TO DO NEXT
▸  Assess separately, then refer if the threshold is met.</t>
        </is>
      </c>
      <c r="U72" s="171" t="inlineStr">
        <is>
          <t>WHERE THE EVIDENCE GOES
▸  Psychological report — state the co-occurrence and what it changes.</t>
        </is>
      </c>
      <c r="V72" s="171" t="inlineStr">
        <is>
          <t>—</t>
        </is>
      </c>
    </row>
    <row r="73" ht="408.75" customHeight="1" s="128">
      <c r="A73" s="210" t="inlineStr">
        <is>
          <t>PRESENTATION</t>
        </is>
      </c>
      <c r="B73" s="210" t="inlineStr">
        <is>
          <t>1. Assessment</t>
        </is>
      </c>
      <c r="C73" s="170" t="inlineStr">
        <is>
          <t>School Age (6–12 years)</t>
        </is>
      </c>
      <c r="D73" s="210" t="inlineStr">
        <is>
          <t>SYMPTOM-ONLY</t>
        </is>
      </c>
      <c r="E73" s="211" t="inlineStr">
        <is>
          <t>Presentations related to Dyslexia — no diagnosis</t>
        </is>
      </c>
      <c r="F73" s="210" t="inlineStr">
        <is>
          <t>No DSM code</t>
        </is>
      </c>
      <c r="G73" s="210" t="inlineStr">
        <is>
          <t>YES — these present at every band</t>
        </is>
      </c>
      <c r="H73" s="170" t="inlineStr">
        <is>
          <t>WHERE THIS SITS
▸  NEPS category: as above
▸  UCD competency: 1. Assessment
▸  CORU: 3.1 · 3.2 · 5.28 · 5.29 · 5.30 · 5.31 · 5.32
▸  PSI: 2.2.2 · 2.3.1 · 1.3.1 · 1.2.8</t>
        </is>
      </c>
      <c r="I73" s="170" t="inlineStr">
        <is>
          <t>THE PRESENTATIONS — no diagnosis needed, and most referrals look like this
▸  Literacy difficulty not meeting SLD criteria
▸  Reading stamina and avoidance of reading aloud
▸  Spelling as a barrier to written output
▸  Assistive technology not yet trialled
▸  Instruction history — what has actually been taught
▸  Glue ear history during the years phonics was taught</t>
        </is>
      </c>
      <c r="J73" s="170" t="inlineStr">
        <is>
          <t>HOW COMMON
▸  No prevalence figures exist for these — they are descriptions, not categories.
▸  They are more common than the diagnosis they sit beside.</t>
        </is>
      </c>
      <c r="K73" s="170" t="inlineStr">
        <is>
          <t>THE PATHWAY
▸  No diagnostic pathway. Nobody diagnoses these.
▸  You describe them, formulate around them, and recommend. That is the whole pathway.
▸  If a parent asks who diagnoses it: nobody. Say that plainly, and say it does not make the difficulty less real or less workable.</t>
        </is>
      </c>
      <c r="L73" s="170" t="inlineStr">
        <is>
          <t>WHAT YOU SEE
▸  These are what the referral form actually describes in Section 5.
▸  Look for the pattern across settings rather than a threshold.</t>
        </is>
      </c>
      <c r="M73" s="170" t="inlineStr">
        <is>
          <t>RED FLAGS
▸  Escalating distress, withdrawal or risk indicators — follow the protocol regardless of whether a diagnosis exists.
▸  Do not let the absence of a diagnosis delay a safeguarding response.</t>
        </is>
      </c>
      <c r="N73" s="170" t="inlineStr">
        <is>
          <t>WHAT ELSE COULD IT BE
▸  Each of these can be the visible edge of the diagnosed condition above.
▸  Each can also occur entirely on its own.
▸  Test the sequence: which came first?</t>
        </is>
      </c>
      <c r="O73" s="170" t="inlineStr">
        <is>
          <t>ASSESS
▸  Observation with a comparison peer.
▸  Teacher and parent interview.
▸  Pupil interview — their account is the evidence here.
▸  Rating scales describe perception, not the presentation itself.</t>
        </is>
      </c>
      <c r="P73" s="170" t="inlineStr">
        <is>
          <t>DO
▸  Name the presentation precisely rather than reaching for a label.
▸  Recommend at the level of the behaviour, not the hypothetical diagnosis.
▸  Specify what, who, how often, for how long, and how it will be measured.
▸  Name the Continuum of Support level.</t>
        </is>
      </c>
      <c r="Q73" s="170" t="inlineStr">
        <is>
          <t>EXPLAIN
▸  To a parent: “There isn’t a diagnosis for this, and it’s still real and still workable. Here’s what we do.”
▸  To a teacher: describe the behaviour in countable terms, not in trait terms.
▸  To the child: ask what helps, and use their words in the report.</t>
        </is>
      </c>
      <c r="R73" s="170" t="inlineStr">
        <is>
          <t>CHILD’S VOICE AND QUESTIONS
▸  Talking Mats · Blob Tree · scaling on a drawn ladder · sentence completion · day mapping.
▸  Q: “So there’s nothing wrong with him?” A: “There’s a real difficulty and it doesn’t have a label. Labels help get resources; they don’t make a difficulty more or less real.”
▸  Q: “Should we get him assessed privately?” A: give the honest position on what a diagnosis would and would not change here.</t>
        </is>
      </c>
      <c r="S73" s="170" t="inlineStr">
        <is>
          <t>YOUR PRACTICE
▸  Bring a case where you were pulled toward a label the data did not support.
▸  Reflect: did I describe, or did I reach? Whose language did I use?</t>
        </is>
      </c>
      <c r="T73" s="170" t="inlineStr">
        <is>
          <t>WHAT TO DO NEXT
▸  Proceed to formulation. These belong at the behavioural level of the Interactive Factors Framework.
▸  Test whether an unmet learning need is underneath before concluding anything.</t>
        </is>
      </c>
      <c r="U73" s="170" t="inlineStr">
        <is>
          <t>WHERE THE EVIDENCE GOES
▸  Psychological report
▸  Appendix 5 entry
▸  Log sheet</t>
        </is>
      </c>
      <c r="V73" s="170" t="inlineStr">
        <is>
          <t>CITATIONS
▸  Frederickson &amp; Cline (2009)
▸  Monsen &amp; Frederickson (2008)
▸  NEPS Continuum of Support</t>
        </is>
      </c>
    </row>
    <row r="74" ht="19.5" customHeight="1" s="128">
      <c r="A74" s="147" t="inlineStr">
        <is>
          <t>AGE BAND</t>
        </is>
      </c>
      <c r="B74" s="147" t="inlineStr">
        <is>
          <t>1. Assessment</t>
        </is>
      </c>
      <c r="C74" s="147" t="inlineStr">
        <is>
          <t>Adolescent (13–16 years)</t>
        </is>
      </c>
      <c r="D74" s="147" t="n"/>
      <c r="E74" s="147" t="inlineStr">
        <is>
          <t>Everything below is this age</t>
        </is>
      </c>
      <c r="F74" s="147" t="n"/>
      <c r="G74" s="147" t="n"/>
      <c r="H74" s="147" t="n"/>
      <c r="I74" s="147" t="n"/>
      <c r="J74" s="147" t="n"/>
      <c r="K74" s="147" t="n"/>
      <c r="L74" s="147" t="n"/>
      <c r="M74" s="147" t="n"/>
      <c r="N74" s="147" t="n"/>
      <c r="O74" s="147" t="n"/>
      <c r="P74" s="147" t="n"/>
      <c r="Q74" s="147" t="n"/>
      <c r="R74" s="147" t="n"/>
      <c r="S74" s="147" t="n"/>
      <c r="T74" s="147" t="n"/>
      <c r="U74" s="147" t="n"/>
      <c r="V74" s="147" t="n"/>
    </row>
    <row r="75" ht="408.75" customHeight="1" s="128">
      <c r="A75" s="205" t="inlineStr">
        <is>
          <t>CONDITION</t>
        </is>
      </c>
      <c r="B75" s="205" t="inlineStr">
        <is>
          <t>1. Assessment</t>
        </is>
      </c>
      <c r="C75" s="206" t="inlineStr">
        <is>
          <t>Adolescent (13–16 years)</t>
        </is>
      </c>
      <c r="D75" s="205" t="inlineStr">
        <is>
          <t>DIAGNOSED</t>
        </is>
      </c>
      <c r="E75" s="206" t="inlineStr">
        <is>
          <t>Autism</t>
        </is>
      </c>
      <c r="F75" s="205" t="inlineStr">
        <is>
          <t>DSM-5-TR Autism Spectrum Disorder · ICD-11 6A02</t>
        </is>
      </c>
      <c r="G75" s="205" t="inlineStr">
        <is>
          <t>YES — but under-identified</t>
        </is>
      </c>
      <c r="H75" s="207" t="inlineStr">
        <is>
          <t>WHERE THIS SITS
▸  NEPS referral form category: 4. SOCIAL — and 1. LEARNING where language or cognition is implicated
▸  UCD competency: 1. Assessment
▸  CORU: 3.1 · 3.2 · 5.28 · 5.29 · 5.30 · 5.31 · 5.32
▸  PSI: 2.2.2 · 2.3.1 · 1.3.1 · 1.2.8
▸  Law and policy: Children First Act 2015 · EPSEN Act 2004 · Equal Status Acts 2000–2018 · GDPR</t>
        </is>
      </c>
      <c r="I75" s="207" t="inlineStr">
        <is>
          <t>WHAT IT IS, AND WHAT IT IS NOT
▸  A NEURODEVELOPMENTAL DIFFERENCE present from early development, defined by two domains: (a) persistent differences in social communication and social interaction, and (b) restricted, repetitive patterns of behaviour, interests or activities — which includes sensory differences (American Psychiatric Association, 2022, DSM-5-TR).
▸  DSM-5-TR specifies three support levels — requiring support, requiring substantial support, requiring very substantial support — rated separately for each of the two domains. A person can be level 1 for one and level 3 for the other.
▸  It is lifelong. It is not an illness, and it is not something a person recovers from or grows out of.
▸  Prevalence is commonly cited around 1 in 100 internationally, with higher rates in more recent screening studies. In Ireland, NCSE and Department of Education figures are the relevant local source.
▸  IMPORTANT FOR PRACTICE: it is DIMENSIONAL, not categorical in nature — autistic traits are distributed continuously in the population and the diagnostic line is a clinical judgement about impairment, not a biological boundary.
▸  NOT a result of parenting. The 'refrigerator mother' theory (Bettelheim, 1967) was wrong and caused enormous harm. Say so plainly if a parent raises it.
▸  NOT caused by vaccines. Wakefield et al. (1998) was retracted by The Lancet in 2010 and Wakefield was struck off. Taylor, Swerdfeger &amp; Eslick (2014) meta-analysed over 1.2 million children and found no association.
▸  NOT the same as intellectual disability. They co-occur but are separate. Many autistic people have average or above-average cognitive ability.
▸  NOT usually accompanied by savant skills. Jones &amp; Sasson (2023) found that non-autistic adults frequently believed savant syndrome to be a CORE feature of autism — it is rare, and this belief is a documented misconception.
▸  NOT a lack of empathy. This is one of the most damaging myths. Autistic people frequently report strong emotional empathy; the difference is in reading and signalling, and the 'double empathy problem' (Milton, 2012) shows the mismatch runs BOTH ways — non-autistic people are equally poor at reading autistic people.
▸  NOT more common in boys to the extent historically believed. Girls are under-identified because diagnostic criteria and instruments were developed on male samples and because masking is more common.
▸  NOT something that needs to be 'normalised'. Gillespie-Lynch et al. (2017) found that greater endorsement of the importance of normalising autistic people was associated with HEIGHTENED stigma.</t>
        </is>
      </c>
      <c r="J75" s="207" t="inlineStr">
        <is>
          <t>HOW COMMON AT THIS AGE
▸  OVERALL: commonly cited around 1 in 100 worldwide (Zeidan et al., 2022, meta-analysis of global prevalence). More recent screening-based studies report higher figures.
▸  IRELAND: the 2022 Census recorded autism for the first time. Department of Education and NCSE figures are the relevant local source for school-age numbers — check the current year rather than quoting from memory.
▸  ADOLESCENT 13–16 AND ADULTS: a large under-identified group, particularly women and girls. Late diagnosis in adulthood is increasingly common.
▸  SEX RATIO: historically cited as 4:1 male to female. Loomes, Hill &amp; Mandy (2017) meta-analysed this and concluded the true ratio is closer to 3:1, with the difference explained by diagnostic bias — girls meeting criteria are disproportionately missed.
▸  AT OTHER AGES (for context): USA (CDC ADDM Network, 2023 report, 8-year-olds) · EARLY YEARS 0–5 · SCHOOL AGE 6–12</t>
        </is>
      </c>
      <c r="K75" s="207" t="inlineStr">
        <is>
          <t>THE PATHWAY AND THE TIMELINE
▸ TYPICAL AGE OF IDENTIFICATION, AND WHY THEN
   Commonly 3–6 in Ireland, though reliable diagnosis from 24 months is achievable. Social communication demands rise sharply at preschool and again at school entry, which is when differences become visible against peers. Girls and verbally able children are frequently identified much later — often adolescence or adulthood — because masking delays recognition rather than delaying onset.
▸ WHO DIAGNOSES IT
   Under 18 in Ireland: the Children's Disability Network Team (CDNT) under Progressing Disability Services, or CAMHS where mental health complexity dominates. Assessment of Need under the Disability Act 2005 is a separate statutory route with its own timelines. Over 18: adult diagnostic services, with significant regional variation.
▸ WHO COULD HAVE WRITTEN THE REPORT IN FRONT OF YOU
   CDNT multi-disciplinary report (psychologist, SLT, OT). Private psychologist or psychiatrist. CAMHS. An Assessment of Need report. A school's Student Support File is not a diagnostic document — check which you are holding.
▸ WHO YOU REFER TO
   CDNT for diagnostic assessment. SLT where language is implicated. OT for sensory or motor. CAMHS where mental health difficulty is present. AsIAm and Middletown for family and school resources.
▸ 'SHOULD WE HAVE COME SOONER?'
   Answer honestly and without implying fault. Typical: 'Not necessarily. Autism is usually recognised when social demands increase, and for a lot of children that's around school age. In girls especially it often isn't obvious earlier because they compensate so well. What matters now is what we put in place.' Where there has genuinely been a long wait, name it as a service issue: waiting lists, not something the parent missed.</t>
        </is>
      </c>
      <c r="L75" s="207" t="inlineStr">
        <is>
          <t>WHAT YOU SEE AT THIS AGE
▸  Masking peaks; mental health difficulties commonly emerge. SRS-2 including self-report. Under-identification in girls is at its most consequential here.
▸  EARLY YEARS 0–5: differences in joint attention, pointing to share, response to name, pretend play, and reaction to sensory input. Referral to CDNT. ADOS-2 Toddler/Module 1 via the team, SCQ, developmental history. Play observation does much of the work.
▸  SCHOOL AGE 6–12: social differences become more visible as peer relationships get more complex. Yard observation, SRS-2 parent and teacher, SCQ. Watch for anxiety appearing as a secondary presentation.
▸  ADOLESCENT 13–16: masking peaks, and mental health difficulties commonly emerge. SRS-2 including self-report. Under-identification in girls is at its most consequential here. A normal-range screen in a worried teacher's class does not close the question.
▸  YOUNG ADULT 17–26: adult diagnostic services, AQ-10 as a screen, DSA evidence for third level. The question shifts to accommodation and self-advocacy.
▸  SPECIAL SETTING: the question is usually fit and communication support, not identification.</t>
        </is>
      </c>
      <c r="M75" s="207" t="inlineStr">
        <is>
          <t>RED FLAGS AND BOUNDARIES
▸  RED FLAG — regression. Loss of previously acquired language or social skills at any age requires urgent medical referral, not a wait-and-see.
▸  RED FLAG — an autistic young person presenting with low mood, self-harm or suicidal thinking. Autistic people are at substantially elevated risk. Follow the risk protocol; do not attribute distress to autism and stop there.
▸  RED FLAG — an autistic child with a sudden behaviour change. Consider pain, illness, sensory change, or something that has happened. Communication difficulty means distress may present behaviourally.
▸  BOUNDARY — you do not diagnose. You describe the profile, say what it is consistent with, and refer. PSI 2.2.2 and 2.2.3.
▸  DIAGNOSTIC OVERSHADOWING — once a child has an autism diagnosis, everything gets attributed to it. Write down before you start what the diagnosis does NOT explain, and assess that.</t>
        </is>
      </c>
      <c r="N75" s="207" t="inlineStr">
        <is>
          <t>WHAT ELSE COULD IT BE, AND WHAT CO-OCCURS
▸  ADHD — co-occurs in roughly 28–44% of autistic people depending on the study. DSM-5 permitted dual diagnosis for the first time in 2013; before that it was prohibited, so older reports may under-record it. PRESENTS AS: attention difficulty that looks like disengagement, but is often sensory overload or processing delay. Assess both.
▸  INTELLECTUAL DISABILITY — around a third of autistic people, though estimates vary widely with sampling. PRESENTS AS: a flatter cognitive profile alongside social communication differences. Assess adaptive functioning separately.
▸  ANXIETY — very high. Meta-analytic estimates around 40% meeting criteria for at least one anxiety disorder (van Steensel et al., 2011). PRESENTS AS: rigidity, refusal, meltdown. Often misread as 'autistic behaviour' rather than treatable anxiety. THIS IS THE MOST COMMONLY MISSED CO-OCCURRENCE.
▸  DLD / LANGUAGE DISORDER — substantial overlap, and the two are hard to separate in young children. PRESENTS AS: apparent social difficulty that is actually comprehension failure.
▸  DCD — elevated. PRESENTS AS: handwriting difficulty and PE avoidance attributed to autism rather than assessed.
▸  EPILEPSY — elevated, particularly where intellectual disability co-occurs. Medical, not yours, but note it and refer.
▸  SLEEP DIFFICULTIES — very common and under-treated. Ask, because a child sleeping five hours will present very differently.
▸  DIAGNOSTIC OVERSHADOWING IS THE RISK THROUGHOUT. Write down before you start what the autism diagnosis does NOT explain, then assess that.</t>
        </is>
      </c>
      <c r="O75" s="207" t="inlineStr">
        <is>
          <t>TOOLS VALID AT THIS BAND
▸  SRS-2 — AGE to 18
     MEASURES: Social communication and interaction.
     CANNOT TELL YOU: Diagnosis. Under-detects in masking adolescents, particularly girls.
     TIME: 15–20 min
▸  ADOS-2 Module 3/4 — AGE adolescent/adult, fluent speech
     MEASURES: Standardised observation.
     CANNOT TELL YOU: Anything alone; team-administered.
     TIME: 40–60 min
▸  ABAS-3 — AGE to 89
     MEASURES: Conceptual, social, practical.
     CANNOT TELL YOU: Capacity. Post-school transition planning needs this and it is routinely skipped.
     TIME: 15–20 min
▸  RCADS self-report — AGE 8–18
     MEASURES: Anxiety and depression subscales.
     CANNOT TELL YOU: Risk. Ask directly and follow the risk protocol.
     TIME: 10–15 min
▸  MFQ (Mood and Feelings Questionnaire) — AGE 8–18
     MEASURES: Depressive symptoms, child and parent versions.
     CANNOT TELL YOU: Diagnosis. Always screen for risk alongside — see the Ethical Practice competency.
     TIME: 5–10 min
▸  Beck Youth Inventories-2 — AGE 7–18
     MEASURES: Self-concept, anxiety, depression, anger, disruptive behaviour.
     CANNOT TELL YOU: Anything without corroboration.
     TIME: 5–10 min per scale
▸  BASC-3 SRP — AGE self-report to 21:11
     MEASURES: Broad emotional and behavioural self-report.
     CANNOT TELL YOU: Why. Formulation is yours.
     TIME: 20–30 min
▸  WISC-V UK — AGE to 16:11
     MEASURES: As School Age.
     CANNOT TELL YOU: Same limits. Check the date of birth — the cut-off catches people out.
     TIME: 65–80 min
▸  WAIS-IV UK — AGE 16:0–90:11
     MEASURES: Verbal comprehension, perceptual reasoning, working memory, processing speed.
     CANNOT TELL YOU: Educational attainment. At 16:0–16:11 either battery is defensible — say which you chose and why.
     TIME: 60–90 min</t>
        </is>
      </c>
      <c r="P75" s="207" t="inlineStr">
        <is>
          <t>WHAT YOU DO, AND WHAT YOU WRITE
▸  ENVIRONMENT FIRST: predictability (visual timetable, forewarning of change), sensory audit of the room, a designated regulation space the child can access without asking permission.
▸  PROCESSING TIME: instruction, ten-second wait, then repeat in the SAME words. Rephrasing restarts processing. This is free and it is the highest-yield single adjustment.
▸  COMMUNICATION: reduce language load, pair verbal with visual, check comprehension by asking the child to say back rather than asking 'do you understand?'
▸  SOCIAL: structured social opportunity rather than unstructured. A lunchtime club with a shared activity beats 'encourage her to join in'.
▸  MASKING: if the child is compliant at school and dysregulated at home, treat that as a finding. Reduce demand at school rather than increasing it.
▸  ASSESS AND TREAT ANXIETY SEPARATELY. Do not fold it into the autism description.
▸  STAFF: whole-staff input on autism is usually less useful than a one-page profile for this child that everyone reads.
▸  CONTINUUM LEVEL: name it. School Support or School Support Plus depending on intensity and outside involvement.
▸  MEASURE: choose something sensitive — frequency of regulation-space use, participation counts, a brief anxiety measure — with a review date in the report.
▸  REFER: CDNT for diagnostic assessment; SLT where language is implicated; OT where sensory or motor; CAMHS where mental health difficulty is present.</t>
        </is>
      </c>
      <c r="Q75" s="207" t="inlineStr">
        <is>
          <t>EXPLAIN
▸  TO A PARENT
▸  OPEN WITH WHAT THEY ALREADY KNOW: 'What have you been told about autism so far?' Then correct gently rather than lecture.
▸  'Autism is a difference in how the brain develops and processes information. It affects two main things: how a person communicates and connects with others, and how they respond to routine, change and sensory information.'
▸  'It's not caused by anything you did. It's present from early on in development, and we're recognising it now rather than it having started now.'
▸  'It's a spectrum, but not a line from mild to severe. Think of it as a set of different dials — one child might find noise very hard and social situations fine; another the reverse.'
▸  'What it doesn't tell us is how she'll do. Autism doesn't determine intelligence, or whether she'll have friends, or what she'll be able to do as an adult. What predicts those is the support around her and whether people understand her.'
▸  IF THEY ARE UPSET: 'A diagnosis doesn't change who she is. She's exactly the same child she was yesterday. What changes is that people now have a better explanation for what she needs.'
▸  SIGNPOST: AsIAm, Middletown Centre for Autism, the local CDNT. Give a name, not a category.
▸  TO A TEACHER
▸  'Autism is a difference in social communication and in how sensory information and change are processed. It's developmental and lifelong.'
▸  'For this child, the practical implications are —' then be specific to the assessment rather than generic: processing time, predictability, the sensory environment, how instructions are given.
▸  'Behaviour that looks like defiance is very often a response to demand, to sensory load, or to not having understood what was asked. Before treating it as behaviour, check comprehension and check the environment.'
▸  'Masking matters. A child who holds it together all day and falls apart at home is not fine at school — she's spending all her resources on coping.'
▸  'Processing time is the single cheapest adjustment. Ask, wait ten seconds, then ask again in the same words rather than rephrasing. Rephrasing restarts the processing.'
▸  'Routine isn't rigidity for its own sake — it's how uncertainty is managed. Warn about change rather than removing routine.'
▸  TO THE CHILD
▸  PITCH TO AGE. For a younger child: 'Everybody's brain works in its own way. Your brain is really good at noticing things other people miss, and it likes to know what's happening next. Some brains find noisy places hard work. That's called being autistic.'
▸  For an older child or adolescent: 'Autistic means your brain processes information differently — often in more detail. It can mean social stuff takes more effort, and that noise, light or change can be harder than it is for other people. It's not an illness and there's nothing wrong with you.'
▸  ALWAYS INCLUDE STRENGTHS and make them specific to this child, not generic. 'You noticed that detail that nobody else did' beats 'autistic people are good at detail.'
▸  ASK WHAT THEY THINK IT MEANS before you explain. Children often arrive with a frightening idea from a sibling or the internet.
▸  AVOID deficit framing. Botha, Dibb &amp; Frost (2020) found autistic adults describe autism as value-neutral and experience society as attaching negative meaning to it. How you explain it to a child at 9 shapes how they carry it at 19.
▸  BE HONEST about the hard parts. Children know when something is being sold to them, and an explanation that is all positives loses credibility.
▸  ANALOGIES
▸  THE VOLUME DIAL (sensory): 'Most people have a volume dial for sound, light and touch that sits at about 5. Yours might sit at 9 for sound and 2 for touch. The classroom is the same room — you're getting a different amount of it.' Grounded in the sensory criterion now formally part of DSM-5-TR.
▸  THE DIFFERENT OPERATING SYSTEM: 'It's not a broken computer. It's a different operating system. Most of the software is written for the other one, so some things take extra work — but the machine itself is fine.' Useful with adolescents and with parents; avoids deficit framing.
▸  THE TWO-WAY TRANSLATION (double empathy): 'When two people speak different languages, we don't say one of them has a language problem. Milton (2012) makes the same point about autistic and non-autistic people misreading each other — the misunderstanding goes both ways.' Use with teachers; it shifts the burden off the child.
▸  THE PHONE BATTERY (masking): 'Holding it together in school all day is like running every app at once. You get home on 4% battery. The meltdown at home isn't because home is worse — it's because the battery ran out.' Very effective with parents who are told the child is 'fine at school'.
▸  CAUTION ON ANALOGIES: check with the person. Some autistic people find machine analogies dehumanising. Ask.
▸  LANGUAGE
▸  THERE IS NO SINGLE CORRECT TERM, and this matters. Kenny et al. (2016), surveying 3,470 UK autism community members, found 'autism' and 'on the autism spectrum' most endorsed overall, with 'autistic' strongly endorsed by autistic adults and much less so by professionals.
▸  Bury et al. (2020), with 198 autistic Australian adults, found 'autistic', 'person on the autism spectrum' and 'autistic person' rated most preferred and least offensive.
▸  Bury et al. (2022) found preference relates to identity and stigma: a stronger autism identity predicted preferring identity-first language, while internalised stigma predicted finding it more offensive.
▸  Fecteau et al. (2024), in a French-Canadian sample, found a clear split — professionals preferred medical-model terms, autistic people preferred identity-first.
▸  PRACTICE RULE: ask the person or family what they use, and use that. Where you cannot ask, identity-first ('autistic person') is the majority preference among autistic adults. Mirror the family's own language in the report.
▸  Avoid: 'suffers from', 'high/low functioning' (poor predictor of actual support needs), 'a bit on the spectrum'.</t>
        </is>
      </c>
      <c r="R75" s="207" t="inlineStr">
        <is>
          <t>THE CHILD’S VOICE, AND THE QUESTIONS
▸  TALKING MATS — symbol-based framework letting a child sort topics onto a visual scale. Good because it removes the demand for spoken answers and for eye contact simultaneously, which is often what makes interviews fail. Evidence base for people with communication difficulties. → https://www.talkingmats.com/
▸  BLOB TREE (Wilson &amp; Long) — figures on a tree; the child points to which one is them. Good because it is projective rather than direct, so it does not require the child to make a claim about themselves. You used this at Grange.
▸  'ALL ABOUT ME' / ONE-PAGE PROFILE — structured template covering what people like and admire about me, what's important to me, how best to support me. Good because it is strengths-first and becomes a usable document for staff. → https://www.helensandersonassociates.co.uk/person-centred-practice/one-page-profiles/
▸  PATH and MAPS (person-centred planning) — graphic facilitation for transition planning. Good for post-primary and school-leaving because it puts the young person's own future at the centre rather than the service's.
▸  AsIAm resources (Ireland) — autistic-led, Irish context, includes materials written for children about their own diagnosis. Good because autistic-led materials avoid the deficit framing that professional materials often carry. → https://asiam.ie/
▸  MIDDLETOWN CENTRE FOR AUTISM — Irish, free research bulletins and practical resources for schools. Good because it is Irish policy context and free. → https://www.middletownautism.com/
▸  COMIC STRIP CONVERSATIONS (Gray) — drawing out what people said and thought in an incident. Good because it externalises the social situation onto paper instead of asking the child to hold it in mind and talk about it at once.
▸  QUESTIONS YOU WILL BE ASKED
▸  Q: 'Is it my fault?' — A: 'No. Autism is a difference in how the brain develops, present from very early on. Nothing you did caused it and nothing you could have done would have prevented it.' (Bettelheim's 'refrigerator mother' theory is long discredited; say so if they raise it directly.)
▸  Q: 'Will he grow out of it?' — A: 'No, it's lifelong. What changes a great deal is how well he copes and how well the people around him understand him. Those are the things we can work on.'
▸  Q: 'Does this mean he has an intellectual disability?' — A: 'Not necessarily — they're separate things. They can occur together, and plenty of autistic people have average or above-average ability. From what I've seen, [specific to this child].'
▸  Q: 'Could it be the vaccines?' — A: 'No. That claim came from a 1998 paper that was retracted and its author struck off. A meta-analysis of over 1.2 million children found no link. I know it's still out there, and I understand why people ask.'
▸  Q: 'He makes eye contact and he has a friend, so it can't be autism?' — A: 'Those are two of the most common misunderstandings. Many autistic people make eye contact, sometimes because they've learned to, and many have friendships. The diagnosis is about the pattern across social communication and about repetitive behaviour and sensory differences, not about any single behaviour.'
▸  Q: 'She's fine at school though.' — A: 'That's really common and it's called masking. Holding it together all day takes everything she has, which is why it comes out at home. Being fine at school and struggling at home is a pattern, not a contradiction.'
▸  Q: 'Does she know?' / 'Should we tell her?' — A: 'That's your decision and I can help you think it through. What we do know is that children usually already sense they're different, and having a name for it tends to be a relief rather than a blow — particularly if it comes with an explanation of strengths as well.'
▸  Q: 'What can you actually do for us?' — A: 'I can't diagnose — that's the CDNT. What I can do is describe her profile, say what it's consistent with, make the referral, and put supports in place in school now rather than waiting.'</t>
        </is>
      </c>
      <c r="S75" s="207" t="inlineStr">
        <is>
          <t>YOUR PRACTICE
▸  SUPERVISION
▸  Bring the exact words you used to explain autism to the parent. Not the summary — the words. Ask your supervisor what they would have said differently.
▸  Ask: 'when a family's language and the research consensus differ, which do you follow?' There is a defensible answer either way and you need to hear it argued.
▸  Raise any moment you were asked something you could not answer. That is the highest-value supervision item in this whole area.
▸  Ask how your service handles the gap between an identified profile and the CDNT waiting list — what do you tell a family who will wait two years?
▸  Discuss diagnostic overshadowing on your actual cases: for each autistic child on your caseload, what has NOT been assessed because autism was already there?
▸  Ask to observe your supervisor giving an autism-related feedback session, and complete the Appendix 7 the same day.
▸  If you felt out of your depth, say so in those words. PSI 2.2.4 requires consulting when you are not competent to deal with what is in front of you.
▸  REFLECTION
▸  ON HOW YOU EXPLAINED IT — Did I use LANGUAGE-FIRST or SHARED LANGUAGE? Language-first means I arrived with my terminology and the family adapted to it. Shared language means I asked what they use and built from there. Kenny et al. (2016) found no community consensus on terms, so arriving with a fixed vocabulary is a decision, not a neutral act. Which did I do, and why?
▸  ON THE TEACHER CONVERSATION — Did I explain autism, or did I explain THIS CHILD? A general explanation is easier to give and far less useful. Did the teacher leave with something to do on Monday?
▸  ON REGISTER — Did I actually change register between the parent, the teacher and the child, or did I give the same explanation three times at different speeds? Changing register means changing what is included, not simplifying vocabulary.
▸  ON MY OWN ASSUMPTIONS — What did I assume about this family's understanding before I opened my mouth? Where did that come from? CORU 5.44 requires reflecting on how my own culture and beliefs shape practice.
▸  ON THE DEFICIT PULL — Count the sentences. How many described what the child cannot do versus what they can? Botha et al. (2020) found autistic people experience society as attaching negative meaning to a neutral difference. My report is part of that society.
▸  ON WHAT I AVOIDED — Was there a question I hoped would not be asked? What would I need to know to have welcomed it?
▸  WHAT GOOD LOOKS LIKE: 'The mother used 'has autism' throughout, so I mirrored that rather than switching to 'autistic', and noted in the file that the young person's own preference should be asked at the next review. I had been defaulting to identity-first because that is what I read, without asking.'
▸  WHAT POOR LOOKS LIKE: 'I explained autism to the parent and she seemed to understand.' — no evidence of checking, no reflection on register, nothing learned.</t>
        </is>
      </c>
      <c r="T75" s="207" t="inlineStr">
        <is>
          <t>WHAT TO DO NEXT
▸  Proceed to FORMULATION using a named framework — Monsen, Interactive Factors, COMOIRA or Carr.
▸  If a learning need may be driving the presentation, proceed to attainment assessment before concluding.
▸  If risk or safeguarding emerged, none of the above — follow the protocol and tell your supervisor the same day.
▸  If the referral question is not answered by what you found, go back and renegotiate it.</t>
        </is>
      </c>
      <c r="U75" s="207" t="inlineStr">
        <is>
          <t>WHERE THE EVIDENCE GOES
▸  Psychological report
▸  Appendix 5 entry tagged 1. Assessment
▸  Appendix 7 if observed
▸  Table 3 — Adolescent
▸  Log sheet — tag the referral area and the competency</t>
        </is>
      </c>
      <c r="V75" s="207" t="inlineStr">
        <is>
          <t>CITATIONS
▸  American Psychiatric Association (2022). Diagnostic and Statistical Manual of Mental Disorders (5th ed., text rev.). DSM-5-TR.
▸  Kenny, L., Hattersley, C., Molins, B., Buckley, C., Povey, C., &amp; Pellicano, E. (2016). Which terms should be used to describe autism? Perspectives from the UK autism community. Autism, 20(4), 442–462.
▸  Bury, S. M., Jellett, R., Spoor, J. R., &amp; Hedley, D. (2020). 'It defines who I am' or 'it's something I have': What language do autistic Australian adults prefer? Journal of Autism and Developmental Disorders.
▸  Bury, S. M., et al. (2022). Understanding language preference: Autism knowledge, experience of stigma and autism identity. Autism.
▸  Gillespie-Lynch, K., Kapp, S. K., Brooks, P. J., Pickens, J., &amp; Schwartzman, B. (2017). Whose expertise is it? Evidence for autistic adults as critical autism experts. Frontiers in Psychology, 8, 438.
▸  Botha, M., Dibb, B., &amp; Frost, D. M. (2020). 'Autism is me': An investigation of how autistic individuals make sense of autism and stigma. Disability &amp; Society.
▸  Jones, D. R., &amp; Sasson, N. J. (2023). A mixed method comparison of stigma toward autism and schizophrenia. Frontiers in Psychiatry, 14, 1263525.
▸  Milton, D. E. M. (2012). On the ontological status of autism: The 'double empathy problem'. Disability &amp; Society, 27(6), 883–887.
▸  Taylor, L. E., Swerdfeger, A. L., &amp; Eslick, G. D. (2014). Vaccines are not associated with autism: An evidence-based meta-analysis. Vaccine, 32(29).
▸  Fecteau, S.-M., et al. (2024). 'Not a trouble': Autism-related language preferences by French-Canadian adults. Neurodiversity.</t>
        </is>
      </c>
    </row>
    <row r="76" ht="169.5" customHeight="1" s="128">
      <c r="A76" s="208" t="inlineStr">
        <is>
          <t>CO-OCCURRING</t>
        </is>
      </c>
      <c r="B76" s="208" t="inlineStr">
        <is>
          <t>1. Assessment</t>
        </is>
      </c>
      <c r="C76" s="171" t="inlineStr">
        <is>
          <t>Adolescent (13–16 years)</t>
        </is>
      </c>
      <c r="D76" s="208" t="inlineStr">
        <is>
          <t>CO-OCCURS WITH AUTISM</t>
        </is>
      </c>
      <c r="E76" s="209" t="inlineStr">
        <is>
          <t>ADHD</t>
        </is>
      </c>
      <c r="F76" s="208" t="inlineStr">
        <is>
          <t>see its own entry</t>
        </is>
      </c>
      <c r="G76" s="208" t="inlineStr">
        <is>
          <t>YES — assess separately</t>
        </is>
      </c>
      <c r="H76" s="171" t="inlineStr">
        <is>
          <t>WHERE THIS SITS
▸  Sits under 1. Assessment, alongside Autism.
▸  NEPS category: 4. SOCIAL — and 1. LEARNING where language or cognition is implicated</t>
        </is>
      </c>
      <c r="I76" s="171" t="inlineStr">
        <is>
          <t>HOW OFTEN IT CO-OCCURS
▸  co-occurs in roughly 28–44% of autistic people depending on the study. DSM-5 permitted dual diagnosis for the first time in 2013; before that it was prohibited, so older reports may under-record it.</t>
        </is>
      </c>
      <c r="J76" s="171" t="inlineStr">
        <is>
          <t>HOW IT PRESENTS WHEN IT CO-OCCURS
▸  attention difficulty that looks like disengagement, but is often sensory overload or processing delay. Assess both.</t>
        </is>
      </c>
      <c r="K76" s="171" t="inlineStr">
        <is>
          <t>THE RISK
▸  Do not assume the primary diagnosis explains this.
▸  Write down before you start what the primary diagnosis does NOT explain, then assess that.
▸  Diagnostic overshadowing is the single most common error in co-occurring presentations.</t>
        </is>
      </c>
      <c r="L76" s="171" t="inlineStr">
        <is>
          <t>—</t>
        </is>
      </c>
      <c r="M76" s="171" t="inlineStr">
        <is>
          <t>—</t>
        </is>
      </c>
      <c r="N76" s="171" t="inlineStr">
        <is>
          <t>—</t>
        </is>
      </c>
      <c r="O76" s="171" t="inlineStr">
        <is>
          <t>ASSESS
▸  Assess this separately, with its own measures.
▸  Build the case for each condition independently rather than letting evidence for one carry the other.</t>
        </is>
      </c>
      <c r="P76" s="171" t="inlineStr">
        <is>
          <t>DO
▸  State in the report what would be needed to establish this second presentation.
▸  That is often a referral rather than a conclusion you can reach yourself.</t>
        </is>
      </c>
      <c r="Q76" s="171" t="inlineStr">
        <is>
          <t>—</t>
        </is>
      </c>
      <c r="R76" s="171" t="inlineStr">
        <is>
          <t>—</t>
        </is>
      </c>
      <c r="S76" s="171" t="inlineStr">
        <is>
          <t>YOUR PRACTICE
▸  Bring it to supervision: for each child on my caseload with this diagnosis, what has NOT been assessed because the diagnosis was already there?</t>
        </is>
      </c>
      <c r="T76" s="171" t="inlineStr">
        <is>
          <t>WHAT TO DO NEXT
▸  Assess separately, then refer if the threshold is met.</t>
        </is>
      </c>
      <c r="U76" s="171" t="inlineStr">
        <is>
          <t>WHERE THE EVIDENCE GOES
▸  Psychological report — state the co-occurrence and what it changes.</t>
        </is>
      </c>
      <c r="V76" s="171" t="inlineStr">
        <is>
          <t>—</t>
        </is>
      </c>
    </row>
    <row r="77" ht="169.5" customHeight="1" s="128">
      <c r="A77" s="208" t="inlineStr">
        <is>
          <t>CO-OCCURRING</t>
        </is>
      </c>
      <c r="B77" s="208" t="inlineStr">
        <is>
          <t>1. Assessment</t>
        </is>
      </c>
      <c r="C77" s="171" t="inlineStr">
        <is>
          <t>Adolescent (13–16 years)</t>
        </is>
      </c>
      <c r="D77" s="208" t="inlineStr">
        <is>
          <t>CO-OCCURS WITH AUTISM</t>
        </is>
      </c>
      <c r="E77" s="209" t="inlineStr">
        <is>
          <t>INTELLECTUAL DISABILITY</t>
        </is>
      </c>
      <c r="F77" s="208" t="inlineStr">
        <is>
          <t>see its own entry</t>
        </is>
      </c>
      <c r="G77" s="208" t="inlineStr">
        <is>
          <t>YES — assess separately</t>
        </is>
      </c>
      <c r="H77" s="171" t="inlineStr">
        <is>
          <t>WHERE THIS SITS
▸  Sits under 1. Assessment, alongside Autism.
▸  NEPS category: 4. SOCIAL — and 1. LEARNING where language or cognition is implicated</t>
        </is>
      </c>
      <c r="I77" s="171" t="inlineStr">
        <is>
          <t>HOW OFTEN IT CO-OCCURS
▸  around a third of autistic people, though estimates vary widely with sampling.</t>
        </is>
      </c>
      <c r="J77" s="171" t="inlineStr">
        <is>
          <t>HOW IT PRESENTS WHEN IT CO-OCCURS
▸  a flatter cognitive profile alongside social communication differences. Assess adaptive functioning separately.</t>
        </is>
      </c>
      <c r="K77" s="171" t="inlineStr">
        <is>
          <t>THE RISK
▸  Do not assume the primary diagnosis explains this.
▸  Write down before you start what the primary diagnosis does NOT explain, then assess that.
▸  Diagnostic overshadowing is the single most common error in co-occurring presentations.</t>
        </is>
      </c>
      <c r="L77" s="171" t="inlineStr">
        <is>
          <t>—</t>
        </is>
      </c>
      <c r="M77" s="171" t="inlineStr">
        <is>
          <t>—</t>
        </is>
      </c>
      <c r="N77" s="171" t="inlineStr">
        <is>
          <t>—</t>
        </is>
      </c>
      <c r="O77" s="171" t="inlineStr">
        <is>
          <t>ASSESS
▸  Assess this separately, with its own measures.
▸  Build the case for each condition independently rather than letting evidence for one carry the other.</t>
        </is>
      </c>
      <c r="P77" s="171" t="inlineStr">
        <is>
          <t>DO
▸  State in the report what would be needed to establish this second presentation.
▸  That is often a referral rather than a conclusion you can reach yourself.</t>
        </is>
      </c>
      <c r="Q77" s="171" t="inlineStr">
        <is>
          <t>—</t>
        </is>
      </c>
      <c r="R77" s="171" t="inlineStr">
        <is>
          <t>—</t>
        </is>
      </c>
      <c r="S77" s="171" t="inlineStr">
        <is>
          <t>YOUR PRACTICE
▸  Bring it to supervision: for each child on my caseload with this diagnosis, what has NOT been assessed because the diagnosis was already there?</t>
        </is>
      </c>
      <c r="T77" s="171" t="inlineStr">
        <is>
          <t>WHAT TO DO NEXT
▸  Assess separately, then refer if the threshold is met.</t>
        </is>
      </c>
      <c r="U77" s="171" t="inlineStr">
        <is>
          <t>WHERE THE EVIDENCE GOES
▸  Psychological report — state the co-occurrence and what it changes.</t>
        </is>
      </c>
      <c r="V77" s="171" t="inlineStr">
        <is>
          <t>—</t>
        </is>
      </c>
    </row>
    <row r="78" ht="169.5" customHeight="1" s="128">
      <c r="A78" s="208" t="inlineStr">
        <is>
          <t>CO-OCCURRING</t>
        </is>
      </c>
      <c r="B78" s="208" t="inlineStr">
        <is>
          <t>1. Assessment</t>
        </is>
      </c>
      <c r="C78" s="171" t="inlineStr">
        <is>
          <t>Adolescent (13–16 years)</t>
        </is>
      </c>
      <c r="D78" s="208" t="inlineStr">
        <is>
          <t>CO-OCCURS WITH AUTISM</t>
        </is>
      </c>
      <c r="E78" s="209" t="inlineStr">
        <is>
          <t>ANXIETY</t>
        </is>
      </c>
      <c r="F78" s="208" t="inlineStr">
        <is>
          <t>see its own entry</t>
        </is>
      </c>
      <c r="G78" s="208" t="inlineStr">
        <is>
          <t>YES — assess separately</t>
        </is>
      </c>
      <c r="H78" s="171" t="inlineStr">
        <is>
          <t>WHERE THIS SITS
▸  Sits under 1. Assessment, alongside Autism.
▸  NEPS category: 4. SOCIAL — and 1. LEARNING where language or cognition is implicated</t>
        </is>
      </c>
      <c r="I78" s="171" t="inlineStr">
        <is>
          <t>HOW OFTEN IT CO-OCCURS
▸  very high. Meta-analytic estimates around 40% meeting criteria for at least one anxiety disorder (van Steensel et al., 2011).</t>
        </is>
      </c>
      <c r="J78" s="171" t="inlineStr">
        <is>
          <t>HOW IT PRESENTS WHEN IT CO-OCCURS
▸  rigidity, refusal, meltdown. Often misread as 'autistic behaviour' rather than treatable anxiety. THIS IS THE MOST COMMONLY MISSED CO-OCCURRENCE.</t>
        </is>
      </c>
      <c r="K78" s="171" t="inlineStr">
        <is>
          <t>THE RISK
▸  Do not assume the primary diagnosis explains this.
▸  Write down before you start what the primary diagnosis does NOT explain, then assess that.
▸  Diagnostic overshadowing is the single most common error in co-occurring presentations.</t>
        </is>
      </c>
      <c r="L78" s="171" t="inlineStr">
        <is>
          <t>—</t>
        </is>
      </c>
      <c r="M78" s="171" t="inlineStr">
        <is>
          <t>—</t>
        </is>
      </c>
      <c r="N78" s="171" t="inlineStr">
        <is>
          <t>—</t>
        </is>
      </c>
      <c r="O78" s="171" t="inlineStr">
        <is>
          <t>ASSESS
▸  Assess this separately, with its own measures.
▸  Build the case for each condition independently rather than letting evidence for one carry the other.</t>
        </is>
      </c>
      <c r="P78" s="171" t="inlineStr">
        <is>
          <t>DO
▸  State in the report what would be needed to establish this second presentation.
▸  That is often a referral rather than a conclusion you can reach yourself.</t>
        </is>
      </c>
      <c r="Q78" s="171" t="inlineStr">
        <is>
          <t>—</t>
        </is>
      </c>
      <c r="R78" s="171" t="inlineStr">
        <is>
          <t>—</t>
        </is>
      </c>
      <c r="S78" s="171" t="inlineStr">
        <is>
          <t>YOUR PRACTICE
▸  Bring it to supervision: for each child on my caseload with this diagnosis, what has NOT been assessed because the diagnosis was already there?</t>
        </is>
      </c>
      <c r="T78" s="171" t="inlineStr">
        <is>
          <t>WHAT TO DO NEXT
▸  Assess separately, then refer if the threshold is met.</t>
        </is>
      </c>
      <c r="U78" s="171" t="inlineStr">
        <is>
          <t>WHERE THE EVIDENCE GOES
▸  Psychological report — state the co-occurrence and what it changes.</t>
        </is>
      </c>
      <c r="V78" s="171" t="inlineStr">
        <is>
          <t>—</t>
        </is>
      </c>
    </row>
    <row r="79" ht="169.5" customHeight="1" s="128">
      <c r="A79" s="208" t="inlineStr">
        <is>
          <t>CO-OCCURRING</t>
        </is>
      </c>
      <c r="B79" s="208" t="inlineStr">
        <is>
          <t>1. Assessment</t>
        </is>
      </c>
      <c r="C79" s="171" t="inlineStr">
        <is>
          <t>Adolescent (13–16 years)</t>
        </is>
      </c>
      <c r="D79" s="208" t="inlineStr">
        <is>
          <t>CO-OCCURS WITH AUTISM</t>
        </is>
      </c>
      <c r="E79" s="209" t="inlineStr">
        <is>
          <t>DLD / LANGUAGE DISORDER</t>
        </is>
      </c>
      <c r="F79" s="208" t="inlineStr">
        <is>
          <t>see its own entry</t>
        </is>
      </c>
      <c r="G79" s="208" t="inlineStr">
        <is>
          <t>YES — assess separately</t>
        </is>
      </c>
      <c r="H79" s="171" t="inlineStr">
        <is>
          <t>WHERE THIS SITS
▸  Sits under 1. Assessment, alongside Autism.
▸  NEPS category: 4. SOCIAL — and 1. LEARNING where language or cognition is implicated</t>
        </is>
      </c>
      <c r="I79" s="171" t="inlineStr">
        <is>
          <t>HOW OFTEN IT CO-OCCURS
▸  substantial overlap, and the two are hard to separate in young children.</t>
        </is>
      </c>
      <c r="J79" s="171" t="inlineStr">
        <is>
          <t>HOW IT PRESENTS WHEN IT CO-OCCURS
▸  apparent social difficulty that is actually comprehension failure.</t>
        </is>
      </c>
      <c r="K79" s="171" t="inlineStr">
        <is>
          <t>THE RISK
▸  Do not assume the primary diagnosis explains this.
▸  Write down before you start what the primary diagnosis does NOT explain, then assess that.
▸  Diagnostic overshadowing is the single most common error in co-occurring presentations.</t>
        </is>
      </c>
      <c r="L79" s="171" t="inlineStr">
        <is>
          <t>—</t>
        </is>
      </c>
      <c r="M79" s="171" t="inlineStr">
        <is>
          <t>—</t>
        </is>
      </c>
      <c r="N79" s="171" t="inlineStr">
        <is>
          <t>—</t>
        </is>
      </c>
      <c r="O79" s="171" t="inlineStr">
        <is>
          <t>ASSESS
▸  Assess this separately, with its own measures.
▸  Build the case for each condition independently rather than letting evidence for one carry the other.</t>
        </is>
      </c>
      <c r="P79" s="171" t="inlineStr">
        <is>
          <t>DO
▸  State in the report what would be needed to establish this second presentation.
▸  That is often a referral rather than a conclusion you can reach yourself.</t>
        </is>
      </c>
      <c r="Q79" s="171" t="inlineStr">
        <is>
          <t>—</t>
        </is>
      </c>
      <c r="R79" s="171" t="inlineStr">
        <is>
          <t>—</t>
        </is>
      </c>
      <c r="S79" s="171" t="inlineStr">
        <is>
          <t>YOUR PRACTICE
▸  Bring it to supervision: for each child on my caseload with this diagnosis, what has NOT been assessed because the diagnosis was already there?</t>
        </is>
      </c>
      <c r="T79" s="171" t="inlineStr">
        <is>
          <t>WHAT TO DO NEXT
▸  Assess separately, then refer if the threshold is met.</t>
        </is>
      </c>
      <c r="U79" s="171" t="inlineStr">
        <is>
          <t>WHERE THE EVIDENCE GOES
▸  Psychological report — state the co-occurrence and what it changes.</t>
        </is>
      </c>
      <c r="V79" s="171" t="inlineStr">
        <is>
          <t>—</t>
        </is>
      </c>
    </row>
    <row r="80" ht="169.5" customHeight="1" s="128">
      <c r="A80" s="208" t="inlineStr">
        <is>
          <t>CO-OCCURRING</t>
        </is>
      </c>
      <c r="B80" s="208" t="inlineStr">
        <is>
          <t>1. Assessment</t>
        </is>
      </c>
      <c r="C80" s="171" t="inlineStr">
        <is>
          <t>Adolescent (13–16 years)</t>
        </is>
      </c>
      <c r="D80" s="208" t="inlineStr">
        <is>
          <t>CO-OCCURS WITH AUTISM</t>
        </is>
      </c>
      <c r="E80" s="209" t="inlineStr">
        <is>
          <t>DCD</t>
        </is>
      </c>
      <c r="F80" s="208" t="inlineStr">
        <is>
          <t>see its own entry</t>
        </is>
      </c>
      <c r="G80" s="208" t="inlineStr">
        <is>
          <t>YES — assess separately</t>
        </is>
      </c>
      <c r="H80" s="171" t="inlineStr">
        <is>
          <t>WHERE THIS SITS
▸  Sits under 1. Assessment, alongside Autism.
▸  NEPS category: 4. SOCIAL — and 1. LEARNING where language or cognition is implicated</t>
        </is>
      </c>
      <c r="I80" s="171" t="inlineStr">
        <is>
          <t>HOW OFTEN IT CO-OCCURS
▸  elevated.</t>
        </is>
      </c>
      <c r="J80" s="171" t="inlineStr">
        <is>
          <t>HOW IT PRESENTS WHEN IT CO-OCCURS
▸  handwriting difficulty and PE avoidance attributed to autism rather than assessed.</t>
        </is>
      </c>
      <c r="K80" s="171" t="inlineStr">
        <is>
          <t>THE RISK
▸  Do not assume the primary diagnosis explains this.
▸  Write down before you start what the primary diagnosis does NOT explain, then assess that.
▸  Diagnostic overshadowing is the single most common error in co-occurring presentations.</t>
        </is>
      </c>
      <c r="L80" s="171" t="inlineStr">
        <is>
          <t>—</t>
        </is>
      </c>
      <c r="M80" s="171" t="inlineStr">
        <is>
          <t>—</t>
        </is>
      </c>
      <c r="N80" s="171" t="inlineStr">
        <is>
          <t>—</t>
        </is>
      </c>
      <c r="O80" s="171" t="inlineStr">
        <is>
          <t>ASSESS
▸  Assess this separately, with its own measures.
▸  Build the case for each condition independently rather than letting evidence for one carry the other.</t>
        </is>
      </c>
      <c r="P80" s="171" t="inlineStr">
        <is>
          <t>DO
▸  State in the report what would be needed to establish this second presentation.
▸  That is often a referral rather than a conclusion you can reach yourself.</t>
        </is>
      </c>
      <c r="Q80" s="171" t="inlineStr">
        <is>
          <t>—</t>
        </is>
      </c>
      <c r="R80" s="171" t="inlineStr">
        <is>
          <t>—</t>
        </is>
      </c>
      <c r="S80" s="171" t="inlineStr">
        <is>
          <t>YOUR PRACTICE
▸  Bring it to supervision: for each child on my caseload with this diagnosis, what has NOT been assessed because the diagnosis was already there?</t>
        </is>
      </c>
      <c r="T80" s="171" t="inlineStr">
        <is>
          <t>WHAT TO DO NEXT
▸  Assess separately, then refer if the threshold is met.</t>
        </is>
      </c>
      <c r="U80" s="171" t="inlineStr">
        <is>
          <t>WHERE THE EVIDENCE GOES
▸  Psychological report — state the co-occurrence and what it changes.</t>
        </is>
      </c>
      <c r="V80" s="171" t="inlineStr">
        <is>
          <t>—</t>
        </is>
      </c>
    </row>
    <row r="81" ht="169.5" customHeight="1" s="128">
      <c r="A81" s="208" t="inlineStr">
        <is>
          <t>CO-OCCURRING</t>
        </is>
      </c>
      <c r="B81" s="208" t="inlineStr">
        <is>
          <t>1. Assessment</t>
        </is>
      </c>
      <c r="C81" s="171" t="inlineStr">
        <is>
          <t>Adolescent (13–16 years)</t>
        </is>
      </c>
      <c r="D81" s="208" t="inlineStr">
        <is>
          <t>CO-OCCURS WITH AUTISM</t>
        </is>
      </c>
      <c r="E81" s="209" t="inlineStr">
        <is>
          <t>EPILEPSY</t>
        </is>
      </c>
      <c r="F81" s="208" t="inlineStr">
        <is>
          <t>see its own entry</t>
        </is>
      </c>
      <c r="G81" s="208" t="inlineStr">
        <is>
          <t>YES — assess separately</t>
        </is>
      </c>
      <c r="H81" s="171" t="inlineStr">
        <is>
          <t>WHERE THIS SITS
▸  Sits under 1. Assessment, alongside Autism.
▸  NEPS category: 4. SOCIAL — and 1. LEARNING where language or cognition is implicated</t>
        </is>
      </c>
      <c r="I81" s="171" t="inlineStr">
        <is>
          <t>HOW OFTEN IT CO-OCCURS
▸  Rate not stated in source — check before quoting.</t>
        </is>
      </c>
      <c r="J81" s="171" t="inlineStr">
        <is>
          <t>HOW IT PRESENTS WHEN IT CO-OCCURS
▸  elevated, particularly where intellectual disability co-occurs. Medical, not yours, but note it and refer.</t>
        </is>
      </c>
      <c r="K81" s="171" t="inlineStr">
        <is>
          <t>THE RISK
▸  Do not assume the primary diagnosis explains this.
▸  Write down before you start what the primary diagnosis does NOT explain, then assess that.
▸  Diagnostic overshadowing is the single most common error in co-occurring presentations.</t>
        </is>
      </c>
      <c r="L81" s="171" t="inlineStr">
        <is>
          <t>—</t>
        </is>
      </c>
      <c r="M81" s="171" t="inlineStr">
        <is>
          <t>—</t>
        </is>
      </c>
      <c r="N81" s="171" t="inlineStr">
        <is>
          <t>—</t>
        </is>
      </c>
      <c r="O81" s="171" t="inlineStr">
        <is>
          <t>ASSESS
▸  Assess this separately, with its own measures.
▸  Build the case for each condition independently rather than letting evidence for one carry the other.</t>
        </is>
      </c>
      <c r="P81" s="171" t="inlineStr">
        <is>
          <t>DO
▸  State in the report what would be needed to establish this second presentation.
▸  That is often a referral rather than a conclusion you can reach yourself.</t>
        </is>
      </c>
      <c r="Q81" s="171" t="inlineStr">
        <is>
          <t>—</t>
        </is>
      </c>
      <c r="R81" s="171" t="inlineStr">
        <is>
          <t>—</t>
        </is>
      </c>
      <c r="S81" s="171" t="inlineStr">
        <is>
          <t>YOUR PRACTICE
▸  Bring it to supervision: for each child on my caseload with this diagnosis, what has NOT been assessed because the diagnosis was already there?</t>
        </is>
      </c>
      <c r="T81" s="171" t="inlineStr">
        <is>
          <t>WHAT TO DO NEXT
▸  Assess separately, then refer if the threshold is met.</t>
        </is>
      </c>
      <c r="U81" s="171" t="inlineStr">
        <is>
          <t>WHERE THE EVIDENCE GOES
▸  Psychological report — state the co-occurrence and what it changes.</t>
        </is>
      </c>
      <c r="V81" s="171" t="inlineStr">
        <is>
          <t>—</t>
        </is>
      </c>
    </row>
    <row r="82" ht="169.5" customHeight="1" s="128">
      <c r="A82" s="208" t="inlineStr">
        <is>
          <t>CO-OCCURRING</t>
        </is>
      </c>
      <c r="B82" s="208" t="inlineStr">
        <is>
          <t>1. Assessment</t>
        </is>
      </c>
      <c r="C82" s="171" t="inlineStr">
        <is>
          <t>Adolescent (13–16 years)</t>
        </is>
      </c>
      <c r="D82" s="208" t="inlineStr">
        <is>
          <t>CO-OCCURS WITH AUTISM</t>
        </is>
      </c>
      <c r="E82" s="209" t="inlineStr">
        <is>
          <t>SLEEP DIFFICULTIES</t>
        </is>
      </c>
      <c r="F82" s="208" t="inlineStr">
        <is>
          <t>see its own entry</t>
        </is>
      </c>
      <c r="G82" s="208" t="inlineStr">
        <is>
          <t>YES — assess separately</t>
        </is>
      </c>
      <c r="H82" s="171" t="inlineStr">
        <is>
          <t>WHERE THIS SITS
▸  Sits under 1. Assessment, alongside Autism.
▸  NEPS category: 4. SOCIAL — and 1. LEARNING where language or cognition is implicated</t>
        </is>
      </c>
      <c r="I82" s="171" t="inlineStr">
        <is>
          <t>HOW OFTEN IT CO-OCCURS
▸  Rate not stated in source — check before quoting.</t>
        </is>
      </c>
      <c r="J82" s="171" t="inlineStr">
        <is>
          <t>HOW IT PRESENTS WHEN IT CO-OCCURS
▸  very common and under-treated. Ask, because a child sleeping five hours will present very differently.</t>
        </is>
      </c>
      <c r="K82" s="171" t="inlineStr">
        <is>
          <t>THE RISK
▸  Do not assume the primary diagnosis explains this.
▸  Write down before you start what the primary diagnosis does NOT explain, then assess that.
▸  Diagnostic overshadowing is the single most common error in co-occurring presentations.</t>
        </is>
      </c>
      <c r="L82" s="171" t="inlineStr">
        <is>
          <t>—</t>
        </is>
      </c>
      <c r="M82" s="171" t="inlineStr">
        <is>
          <t>—</t>
        </is>
      </c>
      <c r="N82" s="171" t="inlineStr">
        <is>
          <t>—</t>
        </is>
      </c>
      <c r="O82" s="171" t="inlineStr">
        <is>
          <t>ASSESS
▸  Assess this separately, with its own measures.
▸  Build the case for each condition independently rather than letting evidence for one carry the other.</t>
        </is>
      </c>
      <c r="P82" s="171" t="inlineStr">
        <is>
          <t>DO
▸  State in the report what would be needed to establish this second presentation.
▸  That is often a referral rather than a conclusion you can reach yourself.</t>
        </is>
      </c>
      <c r="Q82" s="171" t="inlineStr">
        <is>
          <t>—</t>
        </is>
      </c>
      <c r="R82" s="171" t="inlineStr">
        <is>
          <t>—</t>
        </is>
      </c>
      <c r="S82" s="171" t="inlineStr">
        <is>
          <t>YOUR PRACTICE
▸  Bring it to supervision: for each child on my caseload with this diagnosis, what has NOT been assessed because the diagnosis was already there?</t>
        </is>
      </c>
      <c r="T82" s="171" t="inlineStr">
        <is>
          <t>WHAT TO DO NEXT
▸  Assess separately, then refer if the threshold is met.</t>
        </is>
      </c>
      <c r="U82" s="171" t="inlineStr">
        <is>
          <t>WHERE THE EVIDENCE GOES
▸  Psychological report — state the co-occurrence and what it changes.</t>
        </is>
      </c>
      <c r="V82" s="171" t="inlineStr">
        <is>
          <t>—</t>
        </is>
      </c>
    </row>
    <row r="83" ht="408.75" customHeight="1" s="128">
      <c r="A83" s="210" t="inlineStr">
        <is>
          <t>PRESENTATION</t>
        </is>
      </c>
      <c r="B83" s="210" t="inlineStr">
        <is>
          <t>1. Assessment</t>
        </is>
      </c>
      <c r="C83" s="170" t="inlineStr">
        <is>
          <t>Adolescent (13–16 years)</t>
        </is>
      </c>
      <c r="D83" s="210" t="inlineStr">
        <is>
          <t>SYMPTOM-ONLY</t>
        </is>
      </c>
      <c r="E83" s="211" t="inlineStr">
        <is>
          <t>Presentations related to Autism — no diagnosis</t>
        </is>
      </c>
      <c r="F83" s="210" t="inlineStr">
        <is>
          <t>No DSM code</t>
        </is>
      </c>
      <c r="G83" s="210" t="inlineStr">
        <is>
          <t>YES — these present at every band</t>
        </is>
      </c>
      <c r="H83" s="170" t="inlineStr">
        <is>
          <t>WHERE THIS SITS
▸  NEPS category: as above
▸  UCD competency: 1. Assessment
▸  CORU: 3.1 · 3.2 · 5.28 · 5.29 · 5.30 · 5.31 · 5.32
▸  PSI: 2.2.2 · 2.3.1 · 1.3.1 · 1.2.8</t>
        </is>
      </c>
      <c r="I83" s="170" t="inlineStr">
        <is>
          <t>THE PRESENTATIONS — no diagnosis needed, and most referrals look like this
▸  Social communication differences without diagnosis
▸  Masking and the cost of it
▸  Loneliness without observable difficulty
▸  Pathological Demand Avoidance (PDA) profile
▸  Sensory modulation differences
▸  Rigidity and routine that is not OCD</t>
        </is>
      </c>
      <c r="J83" s="170" t="inlineStr">
        <is>
          <t>HOW COMMON
▸  No prevalence figures exist for these — they are descriptions, not categories.
▸  They are more common than the diagnosis they sit beside.</t>
        </is>
      </c>
      <c r="K83" s="170" t="inlineStr">
        <is>
          <t>THE PATHWAY
▸  No diagnostic pathway. Nobody diagnoses these.
▸  You describe them, formulate around them, and recommend. That is the whole pathway.
▸  If a parent asks who diagnoses it: nobody. Say that plainly, and say it does not make the difficulty less real or less workable.</t>
        </is>
      </c>
      <c r="L83" s="170" t="inlineStr">
        <is>
          <t>WHAT YOU SEE
▸  These are what the referral form actually describes in Section 5.
▸  Look for the pattern across settings rather than a threshold.</t>
        </is>
      </c>
      <c r="M83" s="170" t="inlineStr">
        <is>
          <t>RED FLAGS
▸  Escalating distress, withdrawal or risk indicators — follow the protocol regardless of whether a diagnosis exists.
▸  Do not let the absence of a diagnosis delay a safeguarding response.</t>
        </is>
      </c>
      <c r="N83" s="170" t="inlineStr">
        <is>
          <t>WHAT ELSE COULD IT BE
▸  Each of these can be the visible edge of the diagnosed condition above.
▸  Each can also occur entirely on its own.
▸  Test the sequence: which came first?</t>
        </is>
      </c>
      <c r="O83" s="170" t="inlineStr">
        <is>
          <t>ASSESS
▸  Observation with a comparison peer.
▸  Teacher and parent interview.
▸  Pupil interview — their account is the evidence here.
▸  Rating scales describe perception, not the presentation itself.</t>
        </is>
      </c>
      <c r="P83" s="170" t="inlineStr">
        <is>
          <t>DO
▸  Name the presentation precisely rather than reaching for a label.
▸  Recommend at the level of the behaviour, not the hypothetical diagnosis.
▸  Specify what, who, how often, for how long, and how it will be measured.
▸  Name the Continuum of Support level.</t>
        </is>
      </c>
      <c r="Q83" s="170" t="inlineStr">
        <is>
          <t>EXPLAIN
▸  To a parent: “There isn’t a diagnosis for this, and it’s still real and still workable. Here’s what we do.”
▸  To a teacher: describe the behaviour in countable terms, not in trait terms.
▸  To the child: ask what helps, and use their words in the report.</t>
        </is>
      </c>
      <c r="R83" s="170" t="inlineStr">
        <is>
          <t>CHILD’S VOICE AND QUESTIONS
▸  Talking Mats · Blob Tree · scaling on a drawn ladder · sentence completion · day mapping.
▸  Q: “So there’s nothing wrong with him?” A: “There’s a real difficulty and it doesn’t have a label. Labels help get resources; they don’t make a difficulty more or less real.”
▸  Q: “Should we get him assessed privately?” A: give the honest position on what a diagnosis would and would not change here.</t>
        </is>
      </c>
      <c r="S83" s="170" t="inlineStr">
        <is>
          <t>YOUR PRACTICE
▸  Bring a case where you were pulled toward a label the data did not support.
▸  Reflect: did I describe, or did I reach? Whose language did I use?</t>
        </is>
      </c>
      <c r="T83" s="170" t="inlineStr">
        <is>
          <t>WHAT TO DO NEXT
▸  Proceed to formulation. These belong at the behavioural level of the Interactive Factors Framework.
▸  Test whether an unmet learning need is underneath before concluding anything.</t>
        </is>
      </c>
      <c r="U83" s="170" t="inlineStr">
        <is>
          <t>WHERE THE EVIDENCE GOES
▸  Psychological report
▸  Appendix 5 entry
▸  Log sheet</t>
        </is>
      </c>
      <c r="V83" s="170" t="inlineStr">
        <is>
          <t>CITATIONS
▸  Frederickson &amp; Cline (2009)
▸  Monsen &amp; Frederickson (2008)
▸  NEPS Continuum of Support</t>
        </is>
      </c>
    </row>
    <row r="84" ht="408.75" customHeight="1" s="128">
      <c r="A84" s="205" t="inlineStr">
        <is>
          <t>CONDITION</t>
        </is>
      </c>
      <c r="B84" s="205" t="inlineStr">
        <is>
          <t>1. Assessment</t>
        </is>
      </c>
      <c r="C84" s="206" t="inlineStr">
        <is>
          <t>Adolescent (13–16 years)</t>
        </is>
      </c>
      <c r="D84" s="205" t="inlineStr">
        <is>
          <t>DIAGNOSED</t>
        </is>
      </c>
      <c r="E84" s="206" t="inlineStr">
        <is>
          <t>ADHD</t>
        </is>
      </c>
      <c r="F84" s="205" t="inlineStr">
        <is>
          <t>DSM-5-TR Attention-Deficit/Hyperactivity Disorder · ICD-11 6A05</t>
        </is>
      </c>
      <c r="G84" s="205" t="inlineStr">
        <is>
          <t>YES</t>
        </is>
      </c>
      <c r="H84" s="207" t="inlineStr">
        <is>
          <t>WHERE THIS SITS
▸  NEPS referral form category: 1. LEARNING (1.1 Attention, concentration and work skills) — and 2. BEHAVIOUR
▸  UCD competency: 1. Assessment
▸  CORU: 3.1 · 3.2 · 5.28 · 5.29 · 5.30 · 5.31 · 5.32
▸  PSI: 2.2.2 · 2.3.1 · 1.3.1 · 1.2.8
▸  Law and policy: Children First Act 2015 · EPSEN Act 2004 · Equal Status Acts 2000–2018 · GDPR</t>
        </is>
      </c>
      <c r="I84" s="207" t="inlineStr">
        <is>
          <t>WHAT IT IS, AND WHAT IT IS NOT
▸  A neurodevelopmental condition defined by a persistent pattern of INATTENTION and/or HYPERACTIVITY-IMPULSIVITY that interferes with functioning or development (APA, 2022, DSM-5-TR).
▸  Three presentations: predominantly inattentive, predominantly hyperactive/impulsive, and combined. Presentation can change with age — hyperactivity typically reduces while inattention persists.
▸  Criteria require: several symptoms present before age 12; symptoms in TWO OR MORE settings; clear interference with functioning; and not better explained by another condition.
▸  The best-supported account is of EXECUTIVE FUNCTION and DELAY AVERSION difficulties, not of a deficit of attention per se — attention is often intense on high-interest tasks. Barkley (1997) frames it as a disorder of behavioural inhibition and self-regulation.
▸  It is DIMENSIONAL. Traits are continuously distributed; the diagnostic line is a judgement about impairment.
▸  Heritability is among the highest of any psychiatric condition, commonly estimated around 70–80%.
▸  NOT caused by sugar. Wolraich, Wilson &amp; White (1995) meta-analysed this and found no effect on behaviour or cognition. The belief persists strongly.
▸  NOT caused by screens, poor parenting or bad teaching. These can worsen presentation; they do not cause it.
▸  NOT an absence of attention. Hyperfocus on high-interest activity is characteristic and is routinely used as evidence AGAINST the diagnosis by teachers and family. It is not.
▸  NOT only hyperactive boys. The predominantly inattentive presentation is under-identified, particularly in girls, who are more often quiet, disorganised and internalising.
▸  NOT outgrown. Hyperactivity reduces; inattention and executive difficulty commonly persist into adulthood.
▸  NOT resolved by medication alone. Medication is effective for core symptoms in many people and does not teach skills, organise an environment, or repair self-concept.</t>
        </is>
      </c>
      <c r="J84" s="207" t="inlineStr">
        <is>
          <t>HOW COMMON AT THIS AGE
▸  OVERALL: worldwide pooled prevalence in children and adolescents around 5–7% (Polanczyk et al., 2007, 2014 meta-analyses). Adult prevalence around 2.5%.
▸  IRELAND: ADHD Ireland cites around 5% of children. Department of Education and HSE identification figures will be lower than prevalence.
▸  ADOLESCENT 13–16: prevalence broadly stable; presentation shifts from hyperactive to inattentive and executive.
▸  SEX RATIO: clinic samples historically 3:1 to 9:1 male. Community samples closer to 2:1 or lower, indicating substantial under-identification in girls — the same diagnostic bias pattern as autism.
▸  AT OTHER AGES (for context): EARLY YEARS 0–5 · SCHOOL AGE 6–12 · ADULT</t>
        </is>
      </c>
      <c r="K84" s="207" t="inlineStr">
        <is>
          <t>THE PATHWAY AND THE TIMELINE
▸ TYPICAL AGE OF IDENTIFICATION, AND WHY THEN
   Usually 6–12. Criteria require symptoms before age 12 and in two or more settings. Identification clusters when sustained independent seatwork begins, because that is the demand the difficulty is most visible against. The inattentive presentation is identified considerably later, and girls later again.
▸ WHO DIAGNOSES IT
   Ireland: CAMHS, or Primary Care Psychology / community paediatrics depending on complexity and region. Medication is prescribed by a psychiatrist or paediatrician, never by a psychologist. Private assessment is common because of waiting times.
▸ WHO COULD HAVE WRITTEN THE REPORT IN FRONT OF YOU
   CAMHS psychiatrist or psychologist. Community paediatrician. Private psychologist or psychiatrist. A school-completed Conners or SDQ is a screening instrument, not a diagnosis.
▸ WHO YOU REFER TO
   CAMHS or Primary Care depending on complexity. GP first in many areas. OT where motor or sensory. SLT where instruction-following is the issue.
▸ 'SHOULD WE HAVE COME SOONER?'
   'Most children are identified around this age, because it's when the demands make it visible. If she's the quiet, disorganised kind rather than the disruptive kind, that's the presentation most often missed — and that's about how the system notices, not about you.'</t>
        </is>
      </c>
      <c r="L84" s="207" t="inlineStr">
        <is>
          <t>WHAT YOU SEE AT THIS AGE
▸  Hyperactivity declines; organisation and time management dominate. Self-report becomes essential. Ask about risk-taking and substance use.
▸  EARLY YEARS 0–5: rarely diagnosed and hard to distinguish from typical development. Conners EC, structured observation, developmental history. Frame as developmental rather than diagnostic.
▸  SCHOOL AGE 6–12: the main identification window, usually when sustained seatwork demands begin. Conners-4 parent and teacher, BRIEF-2, TEA-Ch2, classroom observation with a comparison peer. Parent-teacher disagreement is common and is data.
▸  ADOLESCENT 13–16: hyperactivity declines; organisation, homework and time-management difficulties dominate. Self-report becomes essential — Conners-4 self-report, BRIEF-2 self-report. Risk-taking and substance use need asking about.
▸  YOUNG ADULT 17–26: adult services, DSA for third level, workplace adjustment. Many first identified here.
▸  SPECIAL SETTING: distinguish ADHD from work pitched above the pupil's level. Rule the second out first.</t>
        </is>
      </c>
      <c r="M84" s="207" t="inlineStr">
        <is>
          <t>RED FLAGS AND BOUNDARIES
▸  RED FLAG — an adolescent with ADHD and emerging substance use, self-harm or risk-taking. Elevated risk across all three. Follow the risk protocol.
▸  RED FLAG — a child on medication whose presentation has changed sharply. Could be dose, could be something else. Medical; refer, do not adjust anything.
▸  RED FLAG — sudden onset of attention difficulty in a previously settled child. ADHD is developmental and present before 12. Sudden onset suggests something else — sleep, illness, trauma, a life event.
▸  BOUNDARY — you do not diagnose ADHD and you do not advise on medication. PSI 2.2.2, 2.2.3.
▸  WATCH — inattention is the final common pathway of many things: hearing loss, anxiety, sleep deprivation, an unidentified learning difficulty, trauma. Rule those out before concluding.</t>
        </is>
      </c>
      <c r="N84" s="207" t="inlineStr">
        <is>
          <t>WHAT ELSE COULD IT BE, AND WHAT CO-OCCURS
▸  SPECIFIC LEARNING DIFFICULTY — 30–50% overlap. PRESENTS AS: inattention during literacy work specifically. ALWAYS assess attainment; escape from an unreadable task looks identical to inattention.
▸  AUTISM — 28–44%. PRESENTS AS: social difficulty plus attention difficulty. Dual diagnosis has been permitted since DSM-5 (2013); older records may not reflect it.
▸  ODD / CONDUCT DIFFICULTY — elevated, particularly where ADHD has gone unidentified and the child has accumulated years of correction. PRESENTS AS: defiance that is often a learned response to chronic failure.
▸  ANXIETY AND LOW MOOD — elevated, usually secondary. PRESENTS AS: avoidance and somatic complaints. Treat the ADHD and much reduces, but not all.
▸  DCD — elevated. PRESENTS AS: messy, slow written work attributed to carelessness.
▸  DLD — elevated. PRESENTS AS: not following instructions, which is comprehension rather than attention.
▸  SLEEP DIFFICULTY — very common and bidirectional. Always ask; a child sleeping six hours will screen positive on everything.</t>
        </is>
      </c>
      <c r="O84" s="207" t="inlineStr">
        <is>
          <t>TOOLS VALID AT THIS BAND
▸  Conners-4 self-report — AGE 8+
     MEASURES: ADHD-related behaviour from the young person's own view.
     CANNOT TELL YOU: Diagnosis. Adolescent self-report and parent report frequently diverge.
     TIME: 15 min
▸  BRIEF-2 self-report — AGE 11:0–18:0
     MEASURES: Everyday executive function, self-rated.
     CANNOT TELL YOU: Performance-based function.
     TIME: 10–15 min
▸  RCADS self-report — AGE 8–18
     MEASURES: Anxiety and depression subscales.
     CANNOT TELL YOU: Risk. Ask directly and follow the risk protocol.
     TIME: 10–15 min
▸  MFQ (Mood and Feelings Questionnaire) — AGE 8–18
     MEASURES: Depressive symptoms, child and parent versions.
     CANNOT TELL YOU: Diagnosis. Always screen for risk alongside — see the Ethical Practice competency.
     TIME: 5–10 min
▸  Beck Youth Inventories-2 — AGE 7–18
     MEASURES: Self-concept, anxiety, depression, anger, disruptive behaviour.
     CANNOT TELL YOU: Anything without corroboration.
     TIME: 5–10 min per scale
▸  BASC-3 SRP — AGE self-report to 21:11
     MEASURES: Broad emotional and behavioural self-report.
     CANNOT TELL YOU: Why. Formulation is yours.
     TIME: 20–30 min
▸  WIAT-III UK — AGE to 25:11
     MEASURES: Attainment across reading, spelling, written expression, maths.
     CANNOT TELL YOU: Exam performance under time pressure — look at the script as well.
     TIME: 60–90 min
▸  DASH — AGE 9:0–16:11
     MEASURES: Handwriting speed.
     CANNOT TELL YOU: Whether a word processor would help — trial it.
     TIME: 20–25 min
▸  Access arrangements evidence (RACE) — AGE post-primary
     MEASURES: Evidence of need for reader, scribe, word processor, spelling and grammar waiver, extra time.
     CANNOT TELL YOU: It is an application, not an assessment. Know the current State Examinations Commission criteria before you promise anything.
     TIME: —
▸  WISC-V UK — AGE to 16:11
     MEASURES: As School Age.
     CANNOT TELL YOU: Same limits. Check the date of birth — the cut-off catches people out.
     TIME: 65–80 min
▸  WAIS-IV UK — AGE 16:0–90:11
     MEASURES: Verbal comprehension, perceptual reasoning, working memory, processing speed.
     CANNOT TELL YOU: Educational attainment. At 16:0–16:11 either battery is defensible — say which you chose and why.
     TIME: 60–90 min</t>
        </is>
      </c>
      <c r="P84" s="207" t="inlineStr">
        <is>
          <t>WHAT YOU DO, AND WHAT YOU WRITE
▸  EXTERNALISE THE EXECUTIVE FUNCTION. Visual task lists, checklists, timers, a written homework record. Do not expect internal organisation and then penalise its absence.
▸  ONE INSTRUCTION AT A TIME, or written down. Working memory is usually the bottleneck.
▸  CHUNK WORK with a visible finish line. 'Do five, then show me' beats 'do the page'.
▸  LEGITIMATE MOVEMENT built in — a job, an errand, a standing option. Movement suppressed re-emerges as disruption.
▸  PRIVATE CUES, not public correction. Agree a signal with the child in advance.
▸  SEATING and proximity to the teacher, away from high-traffic areas. Cheap and effective.
▸  ASSESS ATTAINMENT. Never treat inattention as the whole story until an unidentified learning difficulty is ruled out.
▸  SELF-MONITORING for older children — a simple tally the child keeps themselves. Evidence supports self-monitoring and it transfers ownership.
▸  HOMEWORK: negotiate volume rather than expecting the same as peers. A child taking three hours over thirty minutes' work is not learning.
▸  CONTINUUM LEVEL: School Support, or School Support Plus where outside services are involved.
▸  REFER: CAMHS or Primary Care for diagnostic assessment depending on complexity; OT where motor or sensory; SLT where instructions are the issue.
▸  DO NOT recommend diet change, omega supplements or screen elimination as treatments for core ADHD. The evidence does not support them and PSI 4.2.2 applies.</t>
        </is>
      </c>
      <c r="Q84" s="207" t="inlineStr">
        <is>
          <t>EXPLAIN
▸  TO A PARENT
▸  'ADHD is a difference in the brain's self-management system — starting things, stopping things, holding information in mind, and resisting distraction. It's not about not caring or not trying.'
▸  'The name is a bit misleading. It isn't a shortage of attention — it's difficulty DIRECTING attention to order. That's why he can spend three hours on something he loves and three minutes on homework.'
▸  'It's highly heritable. Very often a parent recognises a lot of it in themselves, and that's worth knowing rather than avoiding.'
▸  'It's not caused by sugar, screens or parenting. Those can make a hard day harder. They didn't cause this.'
▸  'What helps is structure that's external rather than expected of him — visual reminders, broken-down tasks, movement built in — plus, for some children, medication, which is a medical decision and not mine.'
▸  SIGNPOST: ADHD Ireland, and the CAMHS or Primary Care route for assessment.
▸  TO A TEACHER
▸  'The difficulty is executive function — starting, sustaining, switching and inhibiting. Think of it as a self-management difficulty rather than a listening problem.'
▸  'Hyperfocus is part of the picture, not evidence against it. Being able to concentrate on something interesting is normal for ADHD.'
▸  'Put the structure outside the child. Visual task lists, one instruction at a time, chunked work with a clear finish line, and a legitimate way to move.'
▸  'Proximity and private cues work better than public correction. Public correction costs the relationship and rarely changes the behaviour.'
▸  'Working memory is usually the bottleneck. Three-step instructions arrive as one step. Write them down or give them one at a time.'
▸  'Notice the inattentive presentation. The quiet, disorganised child who never causes trouble is the one most likely to be missed.'
▸  TO THE CHILD
▸  YOUNGER: 'Your brain is really good at noticing everything all at once. That's great for spotting things and it makes it hard when you only need to notice one thing. It also makes it tricky to get started and to stop.'
▸  OLDER: 'ADHD means the part of your brain that manages what you do next works differently. Starting things is harder, stopping is harder, and holding instructions in your head is harder. It's not about effort and it's not about being clever.'
▸  NAME THE HYPERFOCUS AS A STRENGTH, specifically: 'you spent an hour on that and got it exactly right — that's your brain doing what it does well.'
▸  ASK: 'What's the hardest part of the school day?' and 'when is it easiest?' The comparison is where the intervention comes from.
▸  BE CAREFUL WITH 'you just need to try harder' language, including your own. Children with ADHD have usually heard it for years and it is the fastest route to disengagement.
▸  ANALOGIES
▸  THE ORCHESTRA WITHOUT A CONDUCTOR: 'All the instruments are there and they're good ones. What's missing is the conductor deciding who plays when.' Barkley's inhibition account in plain terms; works well with parents and older children.
▸  THE BROWSER WITH FORTY TABS: 'Everything's open at once and something's playing music and you can't find which tab.' Good with adolescents — it is recognisable rather than pathologising.
▸  THE RAIN AND THE UMBRELLA (medication): 'Medication doesn't teach him to organise. It holds the umbrella so he can learn while it's raining.' Good for parents deciding about medication.
▸  THE INTEREST-POWERED ENGINE: 'Most engines run on petrol. This one runs on interest and urgency. When there's neither, it won't start — no matter how hard you push it.' Explains hyperfocus and homework in one image.
▸  LANGUAGE
▸  'ADHD' is the accepted term and is used by advocacy organisations including ADHD Ireland.
▸  Community preference is mixed on person-first versus identity-first; 'person with ADHD' and 'ADHDer' are both in use. Ask.
▸  Avoid: 'suffers from ADHD', 'hyper', 'ADD' (no longer a diagnostic term — it was folded into ADHD in DSM-IV).
▸  Avoid describing children as 'naughty', 'defiant' or 'lazy' in reports. These are interpretations, and PSI 1.2.8 requires labelling opinion clearly.</t>
        </is>
      </c>
      <c r="R84" s="207" t="inlineStr">
        <is>
          <t>THE CHILD’S VOICE, AND THE QUESTIONS
▸  'MY THOUGHTS ABOUT SCHOOL' (NEPS) — Irish, free, in schools already. Good because staff recognise it and it surfaces the school-day map. → https://www.gov.ie/en/publication/52ee2-neps-resources-and-publications/
▸  DAY MAPPING — the child marks a timeline of a typical day green/amber/red. Good because it locates the difficulty in time and setting rather than in the child, and generates precise targets.
▸  SCALING ON A LADDER — good because it gives a follow-up question ('what puts you at a 4?') that produces exceptions.
▸  ADHD IRELAND young people's materials — Irish context, written for young people. Good because self-understanding predicts self-advocacy in adolescence. → https://adhdireland.ie/
▸  STRENGTHS CARD SORT — the child sorts strengths cards into 'like me' / 'not like me'. Good because children with ADHD have usually accumulated years of negative feedback and direct questions about strengths produce nothing.
▸  QUESTIONS YOU WILL BE ASKED
▸  Q: 'But he can play video games for hours — so how can he have attention problems?' — A: 'That's hyperfocus and it's part of the picture rather than evidence against it. The difficulty is directing attention to order, not having none. High-interest activity supplies the direction for him.'
▸  Q: 'Is it the sugar?' — A: 'No. That's been tested properly — a meta-analysis found no effect of sugar on behaviour or cognition. It's one of the most persistent beliefs about ADHD and it isn't supported.'
▸  Q: 'Is it my parenting?' — A: 'No. It's highly heritable and present from early development. Parenting affects how hard the days are; it didn't cause this.'
▸  Q: 'Will he need medication?' — A: 'That's a medical decision and not mine to make. What I can say is that medication helps core symptoms for many children and doesn't teach organisation or repair confidence — so it's usually one part rather than the answer.'
▸  Q: 'Will he grow out of it?' — A: 'The hyperactivity usually reduces. The organisation and attention side often continues into adulthood. Most people find strategies that work.'
▸  Q: 'The teacher says he's fine when he wants to be.' — A: 'I'd want to look at when those times are, because that usually tells us exactly what he needs. If he's fine in short, structured, interesting tasks, that's the design brief rather than proof he could do it all along.'
▸  Q: 'She's quiet and does her work, so it can't be ADHD?' — A: 'The inattentive presentation looks like that — quiet, disorganised, drifting rather than disruptive. It's the one most often missed, especially in girls.'
▸  Q: 'Isn't ADHD over-diagnosed?' — A: 'It's both, in different places. Under-identified in girls and in the inattentive presentation, and there are concerns about identification in other groups. What matters here is whether this child meets criteria and is impaired, which is what the assessment looks at.'</t>
        </is>
      </c>
      <c r="S84" s="207" t="inlineStr">
        <is>
          <t>YOUR PRACTICE
▸  SUPERVISION
▸  Bring a case where parent and teacher ratings diverged sharply and ask how your supervisor reads that.
▸  Ask about the local referral route and threshold — CAMHS versus Primary Care — and what actually gets accepted.
▸  Raise any case where you suspect an unidentified learning difficulty underneath the attention referral. This is the most common formulation error in ADHD work.
▸  Discuss what you say to a parent asking about medication, word for word.
▸  Ask how your service handles a school that is treating ADHD as a behaviour problem.
▸  Bring the quiet inattentive child you nearly missed. There will be one.
▸  REFLECTION
▸  ON HOW I EXPLAINED IT — Did I explain ADHD, or did I explain what this child needs on Monday? Did the teacher leave with something specific?
▸  ON LANGUAGE — Did I use the family's terms or mine? Did I check whether the young person prefers 'has ADHD' or 'is ADHD'?
▸  ON THE HYPERFOCUS CONVERSATION — When someone said 'he can concentrate when he wants to', did I correct it clearly, or let it stand because contradicting felt awkward?
▸  ON MY OWN LANGUAGE IN THE REPORT — did I write 'refuses', 'won't', 'chooses not to'? Those are interpretations, and they follow a child for years.
▸  ON RULING OUT — did I assess attainment, ask about hearing, ask about sleep, before concluding attention? If not, my formulation is a hypothesis presented as a finding.
▸  ON THE INATTENTIVE CHILD — am I identifying the quiet ones, or only the ones the school is finding difficult?
▸  WHAT GOOD LOOKS LIKE: 'I had framed my feedback around attention, and the teacher pushed back that he concentrates fine in art. Rather than defending, I asked what art looks like — short tasks, movement, immediate feedback, high interest. That became the recommendation. My first framing would have produced an argument.'
▸  WHAT POOR LOOKS LIKE: 'Consistent with ADHD; referral recommended.' — no ruling out, no recommendations the school can act on, nothing learned.</t>
        </is>
      </c>
      <c r="T84" s="207" t="inlineStr">
        <is>
          <t>WHAT TO DO NEXT
▸  Proceed to FORMULATION using a named framework — Monsen, Interactive Factors, COMOIRA or Carr.
▸  If a learning need may be driving the presentation, proceed to attainment assessment before concluding.
▸  If risk or safeguarding emerged, none of the above — follow the protocol and tell your supervisor the same day.
▸  If the referral question is not answered by what you found, go back and renegotiate it.</t>
        </is>
      </c>
      <c r="U84" s="207" t="inlineStr">
        <is>
          <t>WHERE THE EVIDENCE GOES
▸  Psychological report
▸  Appendix 5 entry tagged 1. Assessment
▸  Appendix 7 if observed
▸  Table 3 — Adolescent
▸  Log sheet — tag the referral area and the competency</t>
        </is>
      </c>
      <c r="V84" s="207" t="inlineStr">
        <is>
          <t>CITATIONS
▸  American Psychiatric Association (2022). DSM-5-TR — Attention-Deficit/Hyperactivity Disorder.
▸  Polanczyk, G., de Lima, M. S., Horta, B. L., Biederman, J., &amp; Rohde, L. A. (2007). The worldwide prevalence of ADHD: A systematic review and metaregression analysis. American Journal of Psychiatry, 164(6), 942–948.
▸  Barkley, R. A. (1997). Behavioral inhibition, sustained attention, and executive functions. Psychological Bulletin, 121(1), 65–94.
▸  Wolraich, M. L., Wilson, D. B., &amp; White, J. W. (1995). The effect of sugar on behavior or cognition in children: A meta-analysis. JAMA, 274(20), 1617–1621.
▸  Willcutt, E. G. (2012). The prevalence of DSM-IV ADHD: A meta-analytic review. Neurotherapeutics, 9(3), 490–499.
▸  Pennington, B. F. (2006). From single to multiple deficit models of developmental disorders. Cognition, 101(2), 385–413.
▸  NICE (2018, updated). Attention deficit hyperactivity disorder: diagnosis and management. NG87.</t>
        </is>
      </c>
    </row>
    <row r="85" ht="169.5" customHeight="1" s="128">
      <c r="A85" s="208" t="inlineStr">
        <is>
          <t>CO-OCCURRING</t>
        </is>
      </c>
      <c r="B85" s="208" t="inlineStr">
        <is>
          <t>1. Assessment</t>
        </is>
      </c>
      <c r="C85" s="171" t="inlineStr">
        <is>
          <t>Adolescent (13–16 years)</t>
        </is>
      </c>
      <c r="D85" s="208" t="inlineStr">
        <is>
          <t>CO-OCCURS WITH ADHD</t>
        </is>
      </c>
      <c r="E85" s="209" t="inlineStr">
        <is>
          <t>SPECIFIC LEARNING DIFFICULTY</t>
        </is>
      </c>
      <c r="F85" s="208" t="inlineStr">
        <is>
          <t>see its own entry</t>
        </is>
      </c>
      <c r="G85" s="208" t="inlineStr">
        <is>
          <t>YES — assess separately</t>
        </is>
      </c>
      <c r="H85" s="171" t="inlineStr">
        <is>
          <t>WHERE THIS SITS
▸  Sits under 1. Assessment, alongside ADHD.
▸  NEPS category: 1. LEARNING (1.1 Attention, concentration and work skills) — and 2. BEHAVIOUR</t>
        </is>
      </c>
      <c r="I85" s="171" t="inlineStr">
        <is>
          <t>HOW OFTEN IT CO-OCCURS
▸  30–50% overlap.</t>
        </is>
      </c>
      <c r="J85" s="171" t="inlineStr">
        <is>
          <t>HOW IT PRESENTS WHEN IT CO-OCCURS
▸  inattention during literacy work specifically. ALWAYS assess attainment; escape from an unreadable task looks identical to inattention.</t>
        </is>
      </c>
      <c r="K85" s="171" t="inlineStr">
        <is>
          <t>THE RISK
▸  Do not assume the primary diagnosis explains this.
▸  Write down before you start what the primary diagnosis does NOT explain, then assess that.
▸  Diagnostic overshadowing is the single most common error in co-occurring presentations.</t>
        </is>
      </c>
      <c r="L85" s="171" t="inlineStr">
        <is>
          <t>—</t>
        </is>
      </c>
      <c r="M85" s="171" t="inlineStr">
        <is>
          <t>—</t>
        </is>
      </c>
      <c r="N85" s="171" t="inlineStr">
        <is>
          <t>—</t>
        </is>
      </c>
      <c r="O85" s="171" t="inlineStr">
        <is>
          <t>ASSESS
▸  Assess this separately, with its own measures.
▸  Build the case for each condition independently rather than letting evidence for one carry the other.</t>
        </is>
      </c>
      <c r="P85" s="171" t="inlineStr">
        <is>
          <t>DO
▸  State in the report what would be needed to establish this second presentation.
▸  That is often a referral rather than a conclusion you can reach yourself.</t>
        </is>
      </c>
      <c r="Q85" s="171" t="inlineStr">
        <is>
          <t>—</t>
        </is>
      </c>
      <c r="R85" s="171" t="inlineStr">
        <is>
          <t>—</t>
        </is>
      </c>
      <c r="S85" s="171" t="inlineStr">
        <is>
          <t>YOUR PRACTICE
▸  Bring it to supervision: for each child on my caseload with this diagnosis, what has NOT been assessed because the diagnosis was already there?</t>
        </is>
      </c>
      <c r="T85" s="171" t="inlineStr">
        <is>
          <t>WHAT TO DO NEXT
▸  Assess separately, then refer if the threshold is met.</t>
        </is>
      </c>
      <c r="U85" s="171" t="inlineStr">
        <is>
          <t>WHERE THE EVIDENCE GOES
▸  Psychological report — state the co-occurrence and what it changes.</t>
        </is>
      </c>
      <c r="V85" s="171" t="inlineStr">
        <is>
          <t>—</t>
        </is>
      </c>
    </row>
    <row r="86" ht="169.5" customHeight="1" s="128">
      <c r="A86" s="208" t="inlineStr">
        <is>
          <t>CO-OCCURRING</t>
        </is>
      </c>
      <c r="B86" s="208" t="inlineStr">
        <is>
          <t>1. Assessment</t>
        </is>
      </c>
      <c r="C86" s="171" t="inlineStr">
        <is>
          <t>Adolescent (13–16 years)</t>
        </is>
      </c>
      <c r="D86" s="208" t="inlineStr">
        <is>
          <t>CO-OCCURS WITH ADHD</t>
        </is>
      </c>
      <c r="E86" s="209" t="inlineStr">
        <is>
          <t>AUTISM</t>
        </is>
      </c>
      <c r="F86" s="208" t="inlineStr">
        <is>
          <t>see its own entry</t>
        </is>
      </c>
      <c r="G86" s="208" t="inlineStr">
        <is>
          <t>YES — assess separately</t>
        </is>
      </c>
      <c r="H86" s="171" t="inlineStr">
        <is>
          <t>WHERE THIS SITS
▸  Sits under 1. Assessment, alongside ADHD.
▸  NEPS category: 1. LEARNING (1.1 Attention, concentration and work skills) — and 2. BEHAVIOUR</t>
        </is>
      </c>
      <c r="I86" s="171" t="inlineStr">
        <is>
          <t>HOW OFTEN IT CO-OCCURS
▸  28–44%.</t>
        </is>
      </c>
      <c r="J86" s="171" t="inlineStr">
        <is>
          <t>HOW IT PRESENTS WHEN IT CO-OCCURS
▸  social difficulty plus attention difficulty. Dual diagnosis has been permitted since DSM-5 (2013); older records may not reflect it.</t>
        </is>
      </c>
      <c r="K86" s="171" t="inlineStr">
        <is>
          <t>THE RISK
▸  Do not assume the primary diagnosis explains this.
▸  Write down before you start what the primary diagnosis does NOT explain, then assess that.
▸  Diagnostic overshadowing is the single most common error in co-occurring presentations.</t>
        </is>
      </c>
      <c r="L86" s="171" t="inlineStr">
        <is>
          <t>—</t>
        </is>
      </c>
      <c r="M86" s="171" t="inlineStr">
        <is>
          <t>—</t>
        </is>
      </c>
      <c r="N86" s="171" t="inlineStr">
        <is>
          <t>—</t>
        </is>
      </c>
      <c r="O86" s="171" t="inlineStr">
        <is>
          <t>ASSESS
▸  Assess this separately, with its own measures.
▸  Build the case for each condition independently rather than letting evidence for one carry the other.</t>
        </is>
      </c>
      <c r="P86" s="171" t="inlineStr">
        <is>
          <t>DO
▸  State in the report what would be needed to establish this second presentation.
▸  That is often a referral rather than a conclusion you can reach yourself.</t>
        </is>
      </c>
      <c r="Q86" s="171" t="inlineStr">
        <is>
          <t>—</t>
        </is>
      </c>
      <c r="R86" s="171" t="inlineStr">
        <is>
          <t>—</t>
        </is>
      </c>
      <c r="S86" s="171" t="inlineStr">
        <is>
          <t>YOUR PRACTICE
▸  Bring it to supervision: for each child on my caseload with this diagnosis, what has NOT been assessed because the diagnosis was already there?</t>
        </is>
      </c>
      <c r="T86" s="171" t="inlineStr">
        <is>
          <t>WHAT TO DO NEXT
▸  Assess separately, then refer if the threshold is met.</t>
        </is>
      </c>
      <c r="U86" s="171" t="inlineStr">
        <is>
          <t>WHERE THE EVIDENCE GOES
▸  Psychological report — state the co-occurrence and what it changes.</t>
        </is>
      </c>
      <c r="V86" s="171" t="inlineStr">
        <is>
          <t>—</t>
        </is>
      </c>
    </row>
    <row r="87" ht="169.5" customHeight="1" s="128">
      <c r="A87" s="208" t="inlineStr">
        <is>
          <t>CO-OCCURRING</t>
        </is>
      </c>
      <c r="B87" s="208" t="inlineStr">
        <is>
          <t>1. Assessment</t>
        </is>
      </c>
      <c r="C87" s="171" t="inlineStr">
        <is>
          <t>Adolescent (13–16 years)</t>
        </is>
      </c>
      <c r="D87" s="208" t="inlineStr">
        <is>
          <t>CO-OCCURS WITH ADHD</t>
        </is>
      </c>
      <c r="E87" s="209" t="inlineStr">
        <is>
          <t>ODD / CONDUCT DIFFICULTY</t>
        </is>
      </c>
      <c r="F87" s="208" t="inlineStr">
        <is>
          <t>see its own entry</t>
        </is>
      </c>
      <c r="G87" s="208" t="inlineStr">
        <is>
          <t>YES — assess separately</t>
        </is>
      </c>
      <c r="H87" s="171" t="inlineStr">
        <is>
          <t>WHERE THIS SITS
▸  Sits under 1. Assessment, alongside ADHD.
▸  NEPS category: 1. LEARNING (1.1 Attention, concentration and work skills) — and 2. BEHAVIOUR</t>
        </is>
      </c>
      <c r="I87" s="171" t="inlineStr">
        <is>
          <t>HOW OFTEN IT CO-OCCURS
▸  elevated, particularly where ADHD has gone unidentified and the child has accumulated years of correction.</t>
        </is>
      </c>
      <c r="J87" s="171" t="inlineStr">
        <is>
          <t>HOW IT PRESENTS WHEN IT CO-OCCURS
▸  defiance that is often a learned response to chronic failure.</t>
        </is>
      </c>
      <c r="K87" s="171" t="inlineStr">
        <is>
          <t>THE RISK
▸  Do not assume the primary diagnosis explains this.
▸  Write down before you start what the primary diagnosis does NOT explain, then assess that.
▸  Diagnostic overshadowing is the single most common error in co-occurring presentations.</t>
        </is>
      </c>
      <c r="L87" s="171" t="inlineStr">
        <is>
          <t>—</t>
        </is>
      </c>
      <c r="M87" s="171" t="inlineStr">
        <is>
          <t>—</t>
        </is>
      </c>
      <c r="N87" s="171" t="inlineStr">
        <is>
          <t>—</t>
        </is>
      </c>
      <c r="O87" s="171" t="inlineStr">
        <is>
          <t>ASSESS
▸  Assess this separately, with its own measures.
▸  Build the case for each condition independently rather than letting evidence for one carry the other.</t>
        </is>
      </c>
      <c r="P87" s="171" t="inlineStr">
        <is>
          <t>DO
▸  State in the report what would be needed to establish this second presentation.
▸  That is often a referral rather than a conclusion you can reach yourself.</t>
        </is>
      </c>
      <c r="Q87" s="171" t="inlineStr">
        <is>
          <t>—</t>
        </is>
      </c>
      <c r="R87" s="171" t="inlineStr">
        <is>
          <t>—</t>
        </is>
      </c>
      <c r="S87" s="171" t="inlineStr">
        <is>
          <t>YOUR PRACTICE
▸  Bring it to supervision: for each child on my caseload with this diagnosis, what has NOT been assessed because the diagnosis was already there?</t>
        </is>
      </c>
      <c r="T87" s="171" t="inlineStr">
        <is>
          <t>WHAT TO DO NEXT
▸  Assess separately, then refer if the threshold is met.</t>
        </is>
      </c>
      <c r="U87" s="171" t="inlineStr">
        <is>
          <t>WHERE THE EVIDENCE GOES
▸  Psychological report — state the co-occurrence and what it changes.</t>
        </is>
      </c>
      <c r="V87" s="171" t="inlineStr">
        <is>
          <t>—</t>
        </is>
      </c>
    </row>
    <row r="88" ht="169.5" customHeight="1" s="128">
      <c r="A88" s="208" t="inlineStr">
        <is>
          <t>CO-OCCURRING</t>
        </is>
      </c>
      <c r="B88" s="208" t="inlineStr">
        <is>
          <t>1. Assessment</t>
        </is>
      </c>
      <c r="C88" s="171" t="inlineStr">
        <is>
          <t>Adolescent (13–16 years)</t>
        </is>
      </c>
      <c r="D88" s="208" t="inlineStr">
        <is>
          <t>CO-OCCURS WITH ADHD</t>
        </is>
      </c>
      <c r="E88" s="209" t="inlineStr">
        <is>
          <t>ANXIETY AND LOW MOOD</t>
        </is>
      </c>
      <c r="F88" s="208" t="inlineStr">
        <is>
          <t>see its own entry</t>
        </is>
      </c>
      <c r="G88" s="208" t="inlineStr">
        <is>
          <t>YES — assess separately</t>
        </is>
      </c>
      <c r="H88" s="171" t="inlineStr">
        <is>
          <t>WHERE THIS SITS
▸  Sits under 1. Assessment, alongside ADHD.
▸  NEPS category: 1. LEARNING (1.1 Attention, concentration and work skills) — and 2. BEHAVIOUR</t>
        </is>
      </c>
      <c r="I88" s="171" t="inlineStr">
        <is>
          <t>HOW OFTEN IT CO-OCCURS
▸  elevated, usually secondary.</t>
        </is>
      </c>
      <c r="J88" s="171" t="inlineStr">
        <is>
          <t>HOW IT PRESENTS WHEN IT CO-OCCURS
▸  avoidance and somatic complaints. Treat the ADHD and much reduces, but not all.</t>
        </is>
      </c>
      <c r="K88" s="171" t="inlineStr">
        <is>
          <t>THE RISK
▸  Do not assume the primary diagnosis explains this.
▸  Write down before you start what the primary diagnosis does NOT explain, then assess that.
▸  Diagnostic overshadowing is the single most common error in co-occurring presentations.</t>
        </is>
      </c>
      <c r="L88" s="171" t="inlineStr">
        <is>
          <t>—</t>
        </is>
      </c>
      <c r="M88" s="171" t="inlineStr">
        <is>
          <t>—</t>
        </is>
      </c>
      <c r="N88" s="171" t="inlineStr">
        <is>
          <t>—</t>
        </is>
      </c>
      <c r="O88" s="171" t="inlineStr">
        <is>
          <t>ASSESS
▸  Assess this separately, with its own measures.
▸  Build the case for each condition independently rather than letting evidence for one carry the other.</t>
        </is>
      </c>
      <c r="P88" s="171" t="inlineStr">
        <is>
          <t>DO
▸  State in the report what would be needed to establish this second presentation.
▸  That is often a referral rather than a conclusion you can reach yourself.</t>
        </is>
      </c>
      <c r="Q88" s="171" t="inlineStr">
        <is>
          <t>—</t>
        </is>
      </c>
      <c r="R88" s="171" t="inlineStr">
        <is>
          <t>—</t>
        </is>
      </c>
      <c r="S88" s="171" t="inlineStr">
        <is>
          <t>YOUR PRACTICE
▸  Bring it to supervision: for each child on my caseload with this diagnosis, what has NOT been assessed because the diagnosis was already there?</t>
        </is>
      </c>
      <c r="T88" s="171" t="inlineStr">
        <is>
          <t>WHAT TO DO NEXT
▸  Assess separately, then refer if the threshold is met.</t>
        </is>
      </c>
      <c r="U88" s="171" t="inlineStr">
        <is>
          <t>WHERE THE EVIDENCE GOES
▸  Psychological report — state the co-occurrence and what it changes.</t>
        </is>
      </c>
      <c r="V88" s="171" t="inlineStr">
        <is>
          <t>—</t>
        </is>
      </c>
    </row>
    <row r="89" ht="169.5" customHeight="1" s="128">
      <c r="A89" s="208" t="inlineStr">
        <is>
          <t>CO-OCCURRING</t>
        </is>
      </c>
      <c r="B89" s="208" t="inlineStr">
        <is>
          <t>1. Assessment</t>
        </is>
      </c>
      <c r="C89" s="171" t="inlineStr">
        <is>
          <t>Adolescent (13–16 years)</t>
        </is>
      </c>
      <c r="D89" s="208" t="inlineStr">
        <is>
          <t>CO-OCCURS WITH ADHD</t>
        </is>
      </c>
      <c r="E89" s="209" t="inlineStr">
        <is>
          <t>DCD</t>
        </is>
      </c>
      <c r="F89" s="208" t="inlineStr">
        <is>
          <t>see its own entry</t>
        </is>
      </c>
      <c r="G89" s="208" t="inlineStr">
        <is>
          <t>YES — assess separately</t>
        </is>
      </c>
      <c r="H89" s="171" t="inlineStr">
        <is>
          <t>WHERE THIS SITS
▸  Sits under 1. Assessment, alongside ADHD.
▸  NEPS category: 1. LEARNING (1.1 Attention, concentration and work skills) — and 2. BEHAVIOUR</t>
        </is>
      </c>
      <c r="I89" s="171" t="inlineStr">
        <is>
          <t>HOW OFTEN IT CO-OCCURS
▸  elevated.</t>
        </is>
      </c>
      <c r="J89" s="171" t="inlineStr">
        <is>
          <t>HOW IT PRESENTS WHEN IT CO-OCCURS
▸  messy, slow written work attributed to carelessness.</t>
        </is>
      </c>
      <c r="K89" s="171" t="inlineStr">
        <is>
          <t>THE RISK
▸  Do not assume the primary diagnosis explains this.
▸  Write down before you start what the primary diagnosis does NOT explain, then assess that.
▸  Diagnostic overshadowing is the single most common error in co-occurring presentations.</t>
        </is>
      </c>
      <c r="L89" s="171" t="inlineStr">
        <is>
          <t>—</t>
        </is>
      </c>
      <c r="M89" s="171" t="inlineStr">
        <is>
          <t>—</t>
        </is>
      </c>
      <c r="N89" s="171" t="inlineStr">
        <is>
          <t>—</t>
        </is>
      </c>
      <c r="O89" s="171" t="inlineStr">
        <is>
          <t>ASSESS
▸  Assess this separately, with its own measures.
▸  Build the case for each condition independently rather than letting evidence for one carry the other.</t>
        </is>
      </c>
      <c r="P89" s="171" t="inlineStr">
        <is>
          <t>DO
▸  State in the report what would be needed to establish this second presentation.
▸  That is often a referral rather than a conclusion you can reach yourself.</t>
        </is>
      </c>
      <c r="Q89" s="171" t="inlineStr">
        <is>
          <t>—</t>
        </is>
      </c>
      <c r="R89" s="171" t="inlineStr">
        <is>
          <t>—</t>
        </is>
      </c>
      <c r="S89" s="171" t="inlineStr">
        <is>
          <t>YOUR PRACTICE
▸  Bring it to supervision: for each child on my caseload with this diagnosis, what has NOT been assessed because the diagnosis was already there?</t>
        </is>
      </c>
      <c r="T89" s="171" t="inlineStr">
        <is>
          <t>WHAT TO DO NEXT
▸  Assess separately, then refer if the threshold is met.</t>
        </is>
      </c>
      <c r="U89" s="171" t="inlineStr">
        <is>
          <t>WHERE THE EVIDENCE GOES
▸  Psychological report — state the co-occurrence and what it changes.</t>
        </is>
      </c>
      <c r="V89" s="171" t="inlineStr">
        <is>
          <t>—</t>
        </is>
      </c>
    </row>
    <row r="90" ht="169.5" customHeight="1" s="128">
      <c r="A90" s="208" t="inlineStr">
        <is>
          <t>CO-OCCURRING</t>
        </is>
      </c>
      <c r="B90" s="208" t="inlineStr">
        <is>
          <t>1. Assessment</t>
        </is>
      </c>
      <c r="C90" s="171" t="inlineStr">
        <is>
          <t>Adolescent (13–16 years)</t>
        </is>
      </c>
      <c r="D90" s="208" t="inlineStr">
        <is>
          <t>CO-OCCURS WITH ADHD</t>
        </is>
      </c>
      <c r="E90" s="209" t="inlineStr">
        <is>
          <t>DLD</t>
        </is>
      </c>
      <c r="F90" s="208" t="inlineStr">
        <is>
          <t>see its own entry</t>
        </is>
      </c>
      <c r="G90" s="208" t="inlineStr">
        <is>
          <t>YES — assess separately</t>
        </is>
      </c>
      <c r="H90" s="171" t="inlineStr">
        <is>
          <t>WHERE THIS SITS
▸  Sits under 1. Assessment, alongside ADHD.
▸  NEPS category: 1. LEARNING (1.1 Attention, concentration and work skills) — and 2. BEHAVIOUR</t>
        </is>
      </c>
      <c r="I90" s="171" t="inlineStr">
        <is>
          <t>HOW OFTEN IT CO-OCCURS
▸  elevated.</t>
        </is>
      </c>
      <c r="J90" s="171" t="inlineStr">
        <is>
          <t>HOW IT PRESENTS WHEN IT CO-OCCURS
▸  not following instructions, which is comprehension rather than attention.</t>
        </is>
      </c>
      <c r="K90" s="171" t="inlineStr">
        <is>
          <t>THE RISK
▸  Do not assume the primary diagnosis explains this.
▸  Write down before you start what the primary diagnosis does NOT explain, then assess that.
▸  Diagnostic overshadowing is the single most common error in co-occurring presentations.</t>
        </is>
      </c>
      <c r="L90" s="171" t="inlineStr">
        <is>
          <t>—</t>
        </is>
      </c>
      <c r="M90" s="171" t="inlineStr">
        <is>
          <t>—</t>
        </is>
      </c>
      <c r="N90" s="171" t="inlineStr">
        <is>
          <t>—</t>
        </is>
      </c>
      <c r="O90" s="171" t="inlineStr">
        <is>
          <t>ASSESS
▸  Assess this separately, with its own measures.
▸  Build the case for each condition independently rather than letting evidence for one carry the other.</t>
        </is>
      </c>
      <c r="P90" s="171" t="inlineStr">
        <is>
          <t>DO
▸  State in the report what would be needed to establish this second presentation.
▸  That is often a referral rather than a conclusion you can reach yourself.</t>
        </is>
      </c>
      <c r="Q90" s="171" t="inlineStr">
        <is>
          <t>—</t>
        </is>
      </c>
      <c r="R90" s="171" t="inlineStr">
        <is>
          <t>—</t>
        </is>
      </c>
      <c r="S90" s="171" t="inlineStr">
        <is>
          <t>YOUR PRACTICE
▸  Bring it to supervision: for each child on my caseload with this diagnosis, what has NOT been assessed because the diagnosis was already there?</t>
        </is>
      </c>
      <c r="T90" s="171" t="inlineStr">
        <is>
          <t>WHAT TO DO NEXT
▸  Assess separately, then refer if the threshold is met.</t>
        </is>
      </c>
      <c r="U90" s="171" t="inlineStr">
        <is>
          <t>WHERE THE EVIDENCE GOES
▸  Psychological report — state the co-occurrence and what it changes.</t>
        </is>
      </c>
      <c r="V90" s="171" t="inlineStr">
        <is>
          <t>—</t>
        </is>
      </c>
    </row>
    <row r="91" ht="169.5" customHeight="1" s="128">
      <c r="A91" s="208" t="inlineStr">
        <is>
          <t>CO-OCCURRING</t>
        </is>
      </c>
      <c r="B91" s="208" t="inlineStr">
        <is>
          <t>1. Assessment</t>
        </is>
      </c>
      <c r="C91" s="171" t="inlineStr">
        <is>
          <t>Adolescent (13–16 years)</t>
        </is>
      </c>
      <c r="D91" s="208" t="inlineStr">
        <is>
          <t>CO-OCCURS WITH ADHD</t>
        </is>
      </c>
      <c r="E91" s="209" t="inlineStr">
        <is>
          <t>SLEEP DIFFICULTY</t>
        </is>
      </c>
      <c r="F91" s="208" t="inlineStr">
        <is>
          <t>see its own entry</t>
        </is>
      </c>
      <c r="G91" s="208" t="inlineStr">
        <is>
          <t>YES — assess separately</t>
        </is>
      </c>
      <c r="H91" s="171" t="inlineStr">
        <is>
          <t>WHERE THIS SITS
▸  Sits under 1. Assessment, alongside ADHD.
▸  NEPS category: 1. LEARNING (1.1 Attention, concentration and work skills) — and 2. BEHAVIOUR</t>
        </is>
      </c>
      <c r="I91" s="171" t="inlineStr">
        <is>
          <t>HOW OFTEN IT CO-OCCURS
▸  Rate not stated in source — check before quoting.</t>
        </is>
      </c>
      <c r="J91" s="171" t="inlineStr">
        <is>
          <t>HOW IT PRESENTS WHEN IT CO-OCCURS
▸  very common and bidirectional. Always ask; a child sleeping six hours will screen positive on everything.</t>
        </is>
      </c>
      <c r="K91" s="171" t="inlineStr">
        <is>
          <t>THE RISK
▸  Do not assume the primary diagnosis explains this.
▸  Write down before you start what the primary diagnosis does NOT explain, then assess that.
▸  Diagnostic overshadowing is the single most common error in co-occurring presentations.</t>
        </is>
      </c>
      <c r="L91" s="171" t="inlineStr">
        <is>
          <t>—</t>
        </is>
      </c>
      <c r="M91" s="171" t="inlineStr">
        <is>
          <t>—</t>
        </is>
      </c>
      <c r="N91" s="171" t="inlineStr">
        <is>
          <t>—</t>
        </is>
      </c>
      <c r="O91" s="171" t="inlineStr">
        <is>
          <t>ASSESS
▸  Assess this separately, with its own measures.
▸  Build the case for each condition independently rather than letting evidence for one carry the other.</t>
        </is>
      </c>
      <c r="P91" s="171" t="inlineStr">
        <is>
          <t>DO
▸  State in the report what would be needed to establish this second presentation.
▸  That is often a referral rather than a conclusion you can reach yourself.</t>
        </is>
      </c>
      <c r="Q91" s="171" t="inlineStr">
        <is>
          <t>—</t>
        </is>
      </c>
      <c r="R91" s="171" t="inlineStr">
        <is>
          <t>—</t>
        </is>
      </c>
      <c r="S91" s="171" t="inlineStr">
        <is>
          <t>YOUR PRACTICE
▸  Bring it to supervision: for each child on my caseload with this diagnosis, what has NOT been assessed because the diagnosis was already there?</t>
        </is>
      </c>
      <c r="T91" s="171" t="inlineStr">
        <is>
          <t>WHAT TO DO NEXT
▸  Assess separately, then refer if the threshold is met.</t>
        </is>
      </c>
      <c r="U91" s="171" t="inlineStr">
        <is>
          <t>WHERE THE EVIDENCE GOES
▸  Psychological report — state the co-occurrence and what it changes.</t>
        </is>
      </c>
      <c r="V91" s="171" t="inlineStr">
        <is>
          <t>—</t>
        </is>
      </c>
    </row>
    <row r="92" ht="408.75" customHeight="1" s="128">
      <c r="A92" s="210" t="inlineStr">
        <is>
          <t>PRESENTATION</t>
        </is>
      </c>
      <c r="B92" s="210" t="inlineStr">
        <is>
          <t>1. Assessment</t>
        </is>
      </c>
      <c r="C92" s="170" t="inlineStr">
        <is>
          <t>Adolescent (13–16 years)</t>
        </is>
      </c>
      <c r="D92" s="210" t="inlineStr">
        <is>
          <t>SYMPTOM-ONLY</t>
        </is>
      </c>
      <c r="E92" s="211" t="inlineStr">
        <is>
          <t>Presentations related to ADHD — no diagnosis</t>
        </is>
      </c>
      <c r="F92" s="210" t="inlineStr">
        <is>
          <t>No DSM code</t>
        </is>
      </c>
      <c r="G92" s="210" t="inlineStr">
        <is>
          <t>YES — these present at every band</t>
        </is>
      </c>
      <c r="H92" s="170" t="inlineStr">
        <is>
          <t>WHERE THIS SITS
▸  NEPS category: as above
▸  UCD competency: 1. Assessment
▸  CORU: 3.1 · 3.2 · 5.28 · 5.29 · 5.30 · 5.31 · 5.32
▸  PSI: 2.2.2 · 2.3.1 · 1.3.1 · 1.2.8</t>
        </is>
      </c>
      <c r="I92" s="170" t="inlineStr">
        <is>
          <t>THE PRESENTATIONS — no diagnosis needed, and most referrals look like this
▸  Working memory difficulty
▸  Inhibition difficulty
▸  Task initiation difficulty
▸  Motivation and engagement with work
▸  Work rate and pace of output
▸  Organisation of materials, books and equipment
▸  Homework completion and follow-through
▸  Fatigue, sleep and time-of-day effects on attention</t>
        </is>
      </c>
      <c r="J92" s="170" t="inlineStr">
        <is>
          <t>HOW COMMON
▸  No prevalence figures exist for these — they are descriptions, not categories.
▸  They are more common than the diagnosis they sit beside.</t>
        </is>
      </c>
      <c r="K92" s="170" t="inlineStr">
        <is>
          <t>THE PATHWAY
▸  No diagnostic pathway. Nobody diagnoses these.
▸  You describe them, formulate around them, and recommend. That is the whole pathway.
▸  If a parent asks who diagnoses it: nobody. Say that plainly, and say it does not make the difficulty less real or less workable.</t>
        </is>
      </c>
      <c r="L92" s="170" t="inlineStr">
        <is>
          <t>WHAT YOU SEE
▸  These are what the referral form actually describes in Section 5.
▸  Look for the pattern across settings rather than a threshold.</t>
        </is>
      </c>
      <c r="M92" s="170" t="inlineStr">
        <is>
          <t>RED FLAGS
▸  Escalating distress, withdrawal or risk indicators — follow the protocol regardless of whether a diagnosis exists.
▸  Do not let the absence of a diagnosis delay a safeguarding response.</t>
        </is>
      </c>
      <c r="N92" s="170" t="inlineStr">
        <is>
          <t>WHAT ELSE COULD IT BE
▸  Each of these can be the visible edge of the diagnosed condition above.
▸  Each can also occur entirely on its own.
▸  Test the sequence: which came first?</t>
        </is>
      </c>
      <c r="O92" s="170" t="inlineStr">
        <is>
          <t>ASSESS
▸  Observation with a comparison peer.
▸  Teacher and parent interview.
▸  Pupil interview — their account is the evidence here.
▸  Rating scales describe perception, not the presentation itself.</t>
        </is>
      </c>
      <c r="P92" s="170" t="inlineStr">
        <is>
          <t>DO
▸  Name the presentation precisely rather than reaching for a label.
▸  Recommend at the level of the behaviour, not the hypothetical diagnosis.
▸  Specify what, who, how often, for how long, and how it will be measured.
▸  Name the Continuum of Support level.</t>
        </is>
      </c>
      <c r="Q92" s="170" t="inlineStr">
        <is>
          <t>EXPLAIN
▸  To a parent: “There isn’t a diagnosis for this, and it’s still real and still workable. Here’s what we do.”
▸  To a teacher: describe the behaviour in countable terms, not in trait terms.
▸  To the child: ask what helps, and use their words in the report.</t>
        </is>
      </c>
      <c r="R92" s="170" t="inlineStr">
        <is>
          <t>CHILD’S VOICE AND QUESTIONS
▸  Talking Mats · Blob Tree · scaling on a drawn ladder · sentence completion · day mapping.
▸  Q: “So there’s nothing wrong with him?” A: “There’s a real difficulty and it doesn’t have a label. Labels help get resources; they don’t make a difficulty more or less real.”
▸  Q: “Should we get him assessed privately?” A: give the honest position on what a diagnosis would and would not change here.</t>
        </is>
      </c>
      <c r="S92" s="170" t="inlineStr">
        <is>
          <t>YOUR PRACTICE
▸  Bring a case where you were pulled toward a label the data did not support.
▸  Reflect: did I describe, or did I reach? Whose language did I use?</t>
        </is>
      </c>
      <c r="T92" s="170" t="inlineStr">
        <is>
          <t>WHAT TO DO NEXT
▸  Proceed to formulation. These belong at the behavioural level of the Interactive Factors Framework.
▸  Test whether an unmet learning need is underneath before concluding anything.</t>
        </is>
      </c>
      <c r="U92" s="170" t="inlineStr">
        <is>
          <t>WHERE THE EVIDENCE GOES
▸  Psychological report
▸  Appendix 5 entry
▸  Log sheet</t>
        </is>
      </c>
      <c r="V92" s="170" t="inlineStr">
        <is>
          <t>CITATIONS
▸  Frederickson &amp; Cline (2009)
▸  Monsen &amp; Frederickson (2008)
▸  NEPS Continuum of Support</t>
        </is>
      </c>
    </row>
    <row r="93" ht="408.75" customHeight="1" s="128">
      <c r="A93" s="205" t="inlineStr">
        <is>
          <t>CONDITION</t>
        </is>
      </c>
      <c r="B93" s="205" t="inlineStr">
        <is>
          <t>1. Assessment</t>
        </is>
      </c>
      <c r="C93" s="206" t="inlineStr">
        <is>
          <t>Adolescent (13–16 years)</t>
        </is>
      </c>
      <c r="D93" s="205" t="inlineStr">
        <is>
          <t>DIAGNOSED</t>
        </is>
      </c>
      <c r="E93" s="206" t="inlineStr">
        <is>
          <t>General Learning Disability (GLD) / Intellectual Disability</t>
        </is>
      </c>
      <c r="F93" s="205" t="inlineStr">
        <is>
          <t>DSM-5-TR Intellectual Developmental Disorder · ICD-11 6A00 · Irish education: mild / moderate / severe-profound GLD</t>
        </is>
      </c>
      <c r="G93" s="205" t="inlineStr">
        <is>
          <t>RETROSPECTIVE ONLY — rarely newly diagnosed</t>
        </is>
      </c>
      <c r="H93" s="207" t="inlineStr">
        <is>
          <t>WHERE THIS SITS
▸  NEPS referral form category: 1. LEARNING (1.3 Comprehension and general ability)
▸  UCD competency: 1. Assessment
▸  CORU: 3.1 · 3.2 · 5.28 · 5.29 · 5.30 · 5.31 · 5.32
▸  PSI: 2.2.2 · 2.3.1 · 1.3.1 · 1.2.8
▸  Law and policy: Children First Act 2015 · EPSEN Act 2004 · Equal Status Acts 2000–2018 · GDPR</t>
        </is>
      </c>
      <c r="I93" s="207" t="inlineStr">
        <is>
          <t>WHAT IT IS, AND WHAT IT IS NOT
▸  Defined by THREE criteria, all of which must be met (APA, 2022): (a) deficits in intellectual functioning confirmed by clinical assessment and standardised testing; (b) deficits in ADAPTIVE functioning across conceptual, social and practical domains; (c) onset during the developmental period.
▸  CRITICAL POINT: DSM-5 moved severity from IQ score to ADAPTIVE FUNCTIONING. Severity is determined by adaptive functioning, not by IQ. Many practitioners have not updated this.
▸  Irish education uses mild (approx. IQ 50–70), moderate (35–49), severe/profound (below 35) GLD as categories for resource allocation. These bands are administrative, not diagnostic.
▸  Borderline intellectual functioning (roughly 70–79) is NOT intellectual disability, has no category, and often receives no resource — while having substantial educational impact. It is a DSM-5-TR V-code.
▸  Onset in the developmental period is essential. An acquired difficulty after a brain injury is a different diagnosis.
▸  NOT the same as a specific learning difficulty. Dyslexia is a SPECIFIC difficulty against an otherwise typical profile; GLD is a GENERAL difficulty across domains. Parents and teachers confuse these constantly.
▸  NOT fixed and unchangeable. Adaptive functioning improves with teaching and support; that is the whole point of measuring it separately.
▸  NOT determined by an IQ number alone. Diagnosing on IQ without adaptive assessment is incorrect under current criteria.
▸  NOT a predictor of quality of life, relationships or employment. Support and opportunity predict those.
▸  NOT 'mental handicap', 'retardation' or any historical term. Do not use them, including when quoting older reports without flagging it.</t>
        </is>
      </c>
      <c r="J93" s="207" t="inlineStr">
        <is>
          <t>HOW COMMON AT THIS AGE
▸  OVERALL: around 1% of the population internationally (Maulik et al., 2011, meta-analysis), with mild ID accounting for the large majority.
▸  IRELAND: the National Intellectual Disability Database (NIDD), run by the Health Research Board, is the authoritative Irish source. Check the current annual report.
▸  ADOLESCENT AND ADULT: prevalence figures drop in some datasets, which reflects service disengagement rather than the condition resolving.
▸  SOCIOECONOMIC GRADIENT: mild ID is strongly associated with socioeconomic disadvantage, which is a reason for caution about attribution and for assessing opportunity as well as ability.
▸  AT OTHER AGES (for context): MILD GLD is the largest group by far and the most likely to be identified late, because the profile is less visibly distinct in early years. · MODERATE, SEVERE AND PROFOUND are usually identified in the early years, often through the CDNT rather than through school. · EARLY YEARS 0–5 · SCHOOL AGE 6–12</t>
        </is>
      </c>
      <c r="K93" s="207" t="inlineStr">
        <is>
          <t>THE PATHWAY AND THE TIMELINE
▸ TYPICAL AGE OF IDENTIFICATION, AND WHY THEN
   Moderate to profound: usually identified in the first three years, often through the Public Health Nurse or paediatrics, because developmental milestones are visibly delayed. Mild GLD: typically 6–9, because the profile is not visibly distinct until curriculum demands outpace the child. Under 5 the term used is Global Developmental Delay, because cognitive profiles are unstable and a formal ID diagnosis would be unreliable.
▸ WHO DIAGNOSES IT
   CDNT, or clinical psychology within disability services. Requires both a cognitive assessment and an adaptive assessment — neither alone is sufficient under current criteria. An educational psychologist identifies the educational profile and its implications; the diagnosis sits with the clinical team.
▸ WHO COULD HAVE WRITTEN THE REPORT IN FRONT OF YOU
   CDNT psychologist. Paediatrician. Assessment of Need report. An older NEPS report identifying 'general learning disability' for resource purposes — which is an educational categorisation, not a clinical diagnosis. Know which you are reading.
▸ WHO YOU REFER TO
   CDNT for diagnosis and adaptive support. SLT for communication. OT for motor and self-care. SENO for placement and resource. Adult disability services from 16 for transition.
▸ 'SHOULD WE HAVE COME SOONER?'
   For mild GLD: 'No. It usually isn't visible until the work gets harder than she can manage, and that's around now. Coming earlier wouldn't have shown anything different.' For moderate or above identified late: that is unusual and worth exploring gently — but frame it as a gap in the system, and check what was actually done rather than assuming.</t>
        </is>
      </c>
      <c r="L93" s="207" t="inlineStr">
        <is>
          <t>WHAT YOU SEE AT THIS AGE
▸  Almost always identified earlier. The question shifts to curriculum route (L1LP/L2LP) and transition. Adaptive assessment matters more than cognitive.
▸  EARLY YEARS 0–5: identified through developmental delay. Griffiths III or Bayley-4 via CDNT, Vineland-3 or ABAS-3. Diagnosis is often deferred — 'global developmental delay' is used under 5 because profiles are unstable.
▸  SCHOOL AGE 6–12: WISC-V plus an adaptive measure plus attainment. Both criteria must be assessed. Use GAI where index scatter exceeds 23 points.
▸  ADOLESCENT 13–16: the question shifts to curriculum route (L1LP/L2LP) and to transition. Adaptive assessment becomes more important than cognitive.
▸  YOUNG ADULT 17–26: WAIS-IV and ABAS-3 adult form for adult service eligibility. Functional and vocational focus.
▸  SPECIAL SETTING: adaptive profile against the setting curriculum is usually more informative than any IQ.</t>
        </is>
      </c>
      <c r="M93" s="207" t="inlineStr">
        <is>
          <t>RED FLAGS AND BOUNDARIES
▸  RED FLAG — regression or loss of skills. Urgent medical referral.
▸  RED FLAG — safeguarding. Children and adults with intellectual disability are at substantially elevated risk of abuse and are less likely to be believed. Take any concern seriously and follow the protocol immediately.
▸  RED FLAG — a large gap between cognitive and adaptive scores. Consider opportunity, over-support, or an underestimating cognitive assessment. Do not average them.
▸  BOUNDARY — diagnosis sits with the CDNT or clinical services. You assess and describe; you do not diagnose.
▸  DIAGNOSTIC OVERSHADOWING — mental health difficulties in people with intellectual disability are routinely missed because distress is read as part of the disability.</t>
        </is>
      </c>
      <c r="N93" s="207" t="inlineStr">
        <is>
          <t>WHAT ELSE COULD IT BE, AND WHAT CO-OCCURS
▸  MENTAL HEALTH DIFFICULTY — substantially elevated across all conditions. PRESENTS AS: behaviour change. Diagnostic overshadowing is severe here; distress is read as part of the disability and goes untreated. This is the single most important co-occurrence to hold in mind.
▸  AUTISM — around a third of people with ID. PRESENTS AS: social communication differences on top of the learning profile. Assess separately.
▸  ADHD — elevated. PRESENTS AS: attention difficulty that may simply be work pitched above the child's level. Rule that out first.
▸  EPILEPSY — strongly elevated, particularly at moderate to profound levels. Medical; note and refer.
▸  COMMUNICATION DIFFICULTY — very common and often the real barrier. SLT involvement is usually more useful than more cognitive assessment.
▸  PHYSICAL AND SENSORY IMPAIRMENT — elevated, particularly in genetic syndromes. Always check vision and hearing before attributing anything to cognition.
▸  SPECIFIC LEARNING DIFFICULTY — can co-occur. A child with GLD whose reading is far below even their own cognitive level has something additional going on.
▸  SLEEP AND FEEDING DIFFICULTIES — common, under-asked-about, and they change the whole presentation.</t>
        </is>
      </c>
      <c r="O93" s="207" t="inlineStr">
        <is>
          <t>TOOLS VALID AT THIS BAND
▸  WISC-V UK — AGE to 16:11
     MEASURES: As School Age.
     CANNOT TELL YOU: Same limits. Check the date of birth — the cut-off catches people out.
     TIME: 65–80 min
▸  WAIS-IV UK — AGE 16:0–90:11
     MEASURES: Verbal comprehension, perceptual reasoning, working memory, processing speed.
     CANNOT TELL YOU: Educational attainment. At 16:0–16:11 either battery is defensible — say which you chose and why.
     TIME: 60–90 min
▸  ABAS-3 — AGE to 89
     MEASURES: Conceptual, social, practical.
     CANNOT TELL YOU: Capacity. Post-school transition planning needs this and it is routinely skipped.
     TIME: 15–20 min</t>
        </is>
      </c>
      <c r="P93" s="207" t="inlineStr">
        <is>
          <t>WHAT YOU DO, AND WHAT YOU WRITE
▸  PITCH THE CURRICULUM TO THE CHILD, NOT THE CLASS. This is the recommendation that matters most and the one schools find hardest. Say the level explicitly.
▸  TEACH TO MASTERY with more repetition, in more contexts, over a longer period, before moving on.
▸  PLAN FOR GENERALISATION EXPLICITLY. Something learned in the SET room will not transfer to the classroom unless it is taught there too.
▸  CONCRETE BEFORE PICTORIAL BEFORE ABSTRACT, and do not rush the concrete stage.
▸  ADAPTIVE SKILLS ARE CURRICULUM. Dressing, money, time, safety, travel. For post-primary, this is more important than academic content.
▸  REDUCE LANGUAGE LOAD in instructions; check comprehension by asking for a demonstration rather than a yes.
▸  CURRICULUM ROUTE at post-primary: consider L1LP or L2LP and raise it early, not in sixth year.
▸  TRANSITION PLANNING from at least 14. Adult services have different thresholds and long lead times.
▸  WATCH FOR OVER-SUPPORT. An SNA doing the task is not the child learning the task. Build fading into the plan.
▸  CONTINUUM LEVEL: usually School Support Plus with outside involvement. Name it and justify it.
▸  REFER: CDNT for diagnosis and adaptive support; SLT for communication; OT where motor or self-care; SENO for placement and resource.</t>
        </is>
      </c>
      <c r="Q93" s="207" t="inlineStr">
        <is>
          <t>EXPLAIN
▸  TO A PARENT
▸  'A general learning disability means learning is harder across most areas, not just one. It affects how quickly new things are learned and how much repetition and support is needed.'
▸  'It's about two things together: how she reasons and problem-solves, and how she manages everyday things — dressing, money, keeping safe, getting along with others. We look at both, because the everyday side is what actually matters day to day.'
▸  'It's been there from early on. We're identifying it now; it hasn't started now.'
▸  'It doesn't tell us what she'll be able to do. It tells us how she learns best and how much support she needs while she's learning. Those are different questions.'
▸  IF THEY ASK ABOUT THE FUTURE: be honest and specific. 'I can tell you what the next two years should look like. I can't tell you about twenty years, and anyone who does is guessing.'
▸  SIGNPOST: the CDNT, Inclusion Ireland, Down Syndrome Ireland where relevant, and the SENO for placement questions.
▸  TO A TEACHER
▸  'Learning is slower across the board rather than in one area, so differentiation needs to be about level and pace, not just about extra time.'
▸  'Start from the adaptive profile as much as the cognitive one. If she can't yet follow a three-step instruction, that's the ceiling for how instructions should be given, regardless of the topic.'
▸  'More repetition, in more contexts, with more concrete materials, and longer before moving on. The curriculum level has to match where she is, not where the class is.'
▸  'Generalisation is the key difficulty. Something learned in one setting often doesn't transfer. Plan to teach it again in the place it's needed.'
▸  'Check for the L1LP and L2LP options at post-primary — the curriculum route matters more than the hours.'
▸  TO THE CHILD
▸  'Everyone learns at their own speed. You learn best when things are broken into smaller steps and when you get to practise lots of times. That's just how your brain works best.'
▸  Focus on HOW they learn, not on a label or a level. Children rarely benefit from being told an IQ band.
▸  'What are you good at?' first. Then 'what's the trickiest bit of school?' Then 'what helps when it's tricky?'
▸  Be honest if asked directly: 'Some things take you longer than other people, and that's true. It doesn't say anything about how good you are at being you.'
▸  Check what they have overheard. Children often know the word 'disability' has been used and have no idea what it means.
▸  ANALOGIES
▸  THE ROAD, NOT THE DESTINATION: 'Everyone's travelling the same road. Some people are in a faster car. It doesn't change where the road goes — it changes how many stops you make.' Good with parents; avoids implying a ceiling.
▸  BUILDING WITH SMALLER BRICKS: 'If most people build with big blocks, she's building with smaller ones. She'll build the same wall — it takes more bricks and more time, and it's just as solid.' Good for explaining repetition to teachers.
▸  THE TORCH VERSUS THE FLOODLIGHT (specific vs general): 'A specific learning difficulty is like one light being out in a room. A general learning disability is the whole room being dimmer.' Useful for the confusion parents most often have.
▸  CAUTION: avoid any analogy implying a fixed limit. Adaptive functioning is modifiable and the analogy should not say otherwise.
▸  LANGUAGE
▸  In Ireland, 'general learning disability' is the education term; 'intellectual disability' is the health and diagnostic term. You will meet both. Use the one the setting uses and define it once.
▸  Inclusion Ireland and self-advocacy organisations favour 'person with an intellectual disability' — person-first is the majority preference in this community, which is the opposite of the autism position. Do not generalise across conditions.
▸  Never: 'mental handicap', 'retardation', 'low-functioning', 'mentally disabled'.
▸  Avoid stating an IQ number in a report where a description would do the same work. Numbers get repeated out of context for years.</t>
        </is>
      </c>
      <c r="R93" s="207" t="inlineStr">
        <is>
          <t>THE CHILD’S VOICE, AND THE QUESTIONS
▸  TALKING MATS — strong evidence base specifically with people with intellectual disability. Good because it reduces the language demand of being consulted. → https://www.talkingmats.com/
▸  ONE-PAGE PROFILE — strengths-first, transfers with the child between settings. Good because staff actually read one page.
▸  PATH / MAPS — person-centred transition planning, graphic. Good for school leavers because it starts from the young person's preferred future.
▸  PHOTO-ELICITATION — the young person photographs what matters to them and talks from the photos. Good because it removes the need to generate content verbally on the spot.
▸  INCLUSION IRELAND easy-read materials — Irish, self-advocacy led. Good because easy-read is a genuine accessibility standard, not a simplification. → https://inclusionireland.ie/
▸  PREFERENCE ASSESSMENT (structured choice-making) — systematic presentation of options to establish what the person actually prefers. Good where verbal report is not available; it is the ethical alternative to assuming.
▸  QUESTIONS YOU WILL BE ASKED
▸  Q: 'What's her IQ?' — A: 'I can tell you the range, but I'd rather tell you what it means, because the number on its own is easy to misread. What it tells us is [describe]. What matters more day to day is how she manages everyday tasks, and that's the other half of the assessment.'
▸  Q: 'Will she catch up?' — A: 'She'll keep learning and keep making progress. The gap with her peers is likely to stay, and that's what the word 'disability' is describing. What changes is how much she can do independently, and that does improve a lot with the right teaching.'
▸  Q: 'Is this the same as dyslexia?' — A: 'No. Dyslexia is a specific difficulty — one area that's much harder than everything else. This is more general, affecting learning across most areas. Different profile, different supports.'
▸  Q: 'Will she go to a normal school?' — A: 'Most children with a general learning disability are in mainstream, and plenty are in special classes or special schools. It's a question of which setting can give her what she needs, not a question of category. I can walk you through what each looks like.'
▸  Q: 'Will she be able to live independently / get a job?' — A: 'Honestly, I can't tell you that from an assessment at eight. What I can tell you is what she needs over the next two years, and that the adaptive skills we work on now are exactly the ones that matter for that question later.'
▸  Q: 'Did I cause this?' — A: 'No. It's present from early development. There are lots of causes and in many cases we never identify one.'
▸  Q: 'The school says she's fine.' — A: 'She may well be coping, and coping and learning aren't the same thing. What I'm looking at is whether the work she's given is at the level she can actually access.'</t>
        </is>
      </c>
      <c r="S93" s="207" t="inlineStr">
        <is>
          <t>YOUR PRACTICE
▸  SUPERVISION
▸  Bring the report and ask: does this read as a description of a person or of a score?
▸  Ask how your supervisor answers the 'what will she be able to do?' question, in their actual words.
▸  Raise the gap between the education categories (mild/moderate/severe) and the diagnostic criteria, and how your service handles it.
▸  Discuss borderline intellectual functioning — children who fall between the categories and receive nothing. What does your service do?
▸  Ask about placement conversations specifically: how do you frame special class or special school as a question of fit rather than of category?
▸  Bring any case where the cognitive and adaptive profiles diverged sharply and ask how to write that.
▸  REFLECTION
▸  ON LANGUAGE — Did I check which term this family uses before I used one? Education says 'general learning disability', health says 'intellectual disability', and self-advocacy organisations favour person-first. Which did I use and did I decide or default?
▸  ON THE NUMBER — Did I state an IQ score where a description would have done the same work? Numbers get repeated out of context for years. Was it necessary?
▸  ON ADAPTIVE FUNCTIONING — Did I give it equal weight to the cognitive assessment, or did I treat it as the supporting document? Current criteria determine severity by adaptive functioning, not IQ. Did my report reflect that?
▸  ON THE FUTURE QUESTION — When the parent asked what this means for adulthood, what did I actually say? Did I stay within what is knowable, or did I reassure beyond the evidence?
▸  ON THE TEACHER CONVERSATION — Did I explain the difference between general and specific learning difficulty clearly enough that they could explain it to someone else? That confusion is the most common one in schools.
▸  ON MY OWN ASSUMPTIONS about what this child's life will be like. Name them. They shape what you recommend.
▸  WHAT GOOD LOOKS LIKE: 'I realised afterwards that I had described her almost entirely through the cognitive assessment, and the adaptive profile — which is where her actual strengths were — got two lines. I have rewritten the summary to lead with what she can do independently.'
▸  WHAT POOR LOOKS LIKE: 'The assessment confirmed a mild general learning disability and recommendations were made.' — no reflection, no register, nothing about how it was received.</t>
        </is>
      </c>
      <c r="T93" s="207" t="inlineStr">
        <is>
          <t>WHAT TO DO NEXT
▸  Proceed to FORMULATION using a named framework — Monsen, Interactive Factors, COMOIRA or Carr.
▸  If a learning need may be driving the presentation, proceed to attainment assessment before concluding.
▸  If risk or safeguarding emerged, none of the above — follow the protocol and tell your supervisor the same day.
▸  If the referral question is not answered by what you found, go back and renegotiate it.</t>
        </is>
      </c>
      <c r="U93" s="207" t="inlineStr">
        <is>
          <t>WHERE THE EVIDENCE GOES
▸  Psychological report
▸  Appendix 5 entry tagged 1. Assessment
▸  Appendix 7 if observed
▸  Table 3 — Adolescent
▸  Log sheet — tag the referral area and the competency</t>
        </is>
      </c>
      <c r="V93" s="207" t="inlineStr">
        <is>
          <t>CITATIONS
▸  American Psychiatric Association (2022). DSM-5-TR — Intellectual Developmental Disorder.
▸  Tassé, M. J., et al. (2012). The construct of adaptive behavior: Its conceptualization, measurement, and use. American Journal on Intellectual and Developmental Disabilities, 117(4), 291–303.
▸  Schalock, R. L., et al. (2021). Intellectual Disability: Definition, Diagnosis, Classification, and Systems of Supports (12th ed.). AAIDD.
▸  NCSE (Ireland) — policy advice and guidance on students with general learning disabilities.
▸  NCCA — Level 1 and Level 2 Learning Programmes.
▸  Burgess, A., et al. (2024). Clinical utility and psychometric properties of tools for early detection of developmental concerns. DMCN.</t>
        </is>
      </c>
    </row>
    <row r="94" ht="169.5" customHeight="1" s="128">
      <c r="A94" s="208" t="inlineStr">
        <is>
          <t>CO-OCCURRING</t>
        </is>
      </c>
      <c r="B94" s="208" t="inlineStr">
        <is>
          <t>1. Assessment</t>
        </is>
      </c>
      <c r="C94" s="171" t="inlineStr">
        <is>
          <t>Adolescent (13–16 years)</t>
        </is>
      </c>
      <c r="D94" s="208" t="inlineStr">
        <is>
          <t>CO-OCCURS WITH GENERAL LEARNING DISABILITY (GLD)</t>
        </is>
      </c>
      <c r="E94" s="209" t="inlineStr">
        <is>
          <t>MENTAL HEALTH DIFFICULTY</t>
        </is>
      </c>
      <c r="F94" s="208" t="inlineStr">
        <is>
          <t>see its own entry</t>
        </is>
      </c>
      <c r="G94" s="208" t="inlineStr">
        <is>
          <t>YES — assess separately</t>
        </is>
      </c>
      <c r="H94" s="171" t="inlineStr">
        <is>
          <t>WHERE THIS SITS
▸  Sits under 1. Assessment, alongside General Learning Disability (GLD).
▸  NEPS category: 1. LEARNING (1.3 Comprehension and general ability)</t>
        </is>
      </c>
      <c r="I94" s="171" t="inlineStr">
        <is>
          <t>HOW OFTEN IT CO-OCCURS
▸  substantially elevated across all conditions.</t>
        </is>
      </c>
      <c r="J94" s="171" t="inlineStr">
        <is>
          <t>HOW IT PRESENTS WHEN IT CO-OCCURS
▸  behaviour change. Diagnostic overshadowing is severe here; distress is read as part of the disability and goes untreated. This is the single most important co-occurrence to hold in mind.</t>
        </is>
      </c>
      <c r="K94" s="171" t="inlineStr">
        <is>
          <t>THE RISK
▸  Do not assume the primary diagnosis explains this.
▸  Write down before you start what the primary diagnosis does NOT explain, then assess that.
▸  Diagnostic overshadowing is the single most common error in co-occurring presentations.</t>
        </is>
      </c>
      <c r="L94" s="171" t="inlineStr">
        <is>
          <t>—</t>
        </is>
      </c>
      <c r="M94" s="171" t="inlineStr">
        <is>
          <t>—</t>
        </is>
      </c>
      <c r="N94" s="171" t="inlineStr">
        <is>
          <t>—</t>
        </is>
      </c>
      <c r="O94" s="171" t="inlineStr">
        <is>
          <t>ASSESS
▸  Assess this separately, with its own measures.
▸  Build the case for each condition independently rather than letting evidence for one carry the other.</t>
        </is>
      </c>
      <c r="P94" s="171" t="inlineStr">
        <is>
          <t>DO
▸  State in the report what would be needed to establish this second presentation.
▸  That is often a referral rather than a conclusion you can reach yourself.</t>
        </is>
      </c>
      <c r="Q94" s="171" t="inlineStr">
        <is>
          <t>—</t>
        </is>
      </c>
      <c r="R94" s="171" t="inlineStr">
        <is>
          <t>—</t>
        </is>
      </c>
      <c r="S94" s="171" t="inlineStr">
        <is>
          <t>YOUR PRACTICE
▸  Bring it to supervision: for each child on my caseload with this diagnosis, what has NOT been assessed because the diagnosis was already there?</t>
        </is>
      </c>
      <c r="T94" s="171" t="inlineStr">
        <is>
          <t>WHAT TO DO NEXT
▸  Assess separately, then refer if the threshold is met.</t>
        </is>
      </c>
      <c r="U94" s="171" t="inlineStr">
        <is>
          <t>WHERE THE EVIDENCE GOES
▸  Psychological report — state the co-occurrence and what it changes.</t>
        </is>
      </c>
      <c r="V94" s="171" t="inlineStr">
        <is>
          <t>—</t>
        </is>
      </c>
    </row>
    <row r="95" ht="169.5" customHeight="1" s="128">
      <c r="A95" s="208" t="inlineStr">
        <is>
          <t>CO-OCCURRING</t>
        </is>
      </c>
      <c r="B95" s="208" t="inlineStr">
        <is>
          <t>1. Assessment</t>
        </is>
      </c>
      <c r="C95" s="171" t="inlineStr">
        <is>
          <t>Adolescent (13–16 years)</t>
        </is>
      </c>
      <c r="D95" s="208" t="inlineStr">
        <is>
          <t>CO-OCCURS WITH GENERAL LEARNING DISABILITY (GLD)</t>
        </is>
      </c>
      <c r="E95" s="209" t="inlineStr">
        <is>
          <t>AUTISM</t>
        </is>
      </c>
      <c r="F95" s="208" t="inlineStr">
        <is>
          <t>see its own entry</t>
        </is>
      </c>
      <c r="G95" s="208" t="inlineStr">
        <is>
          <t>YES — assess separately</t>
        </is>
      </c>
      <c r="H95" s="171" t="inlineStr">
        <is>
          <t>WHERE THIS SITS
▸  Sits under 1. Assessment, alongside General Learning Disability (GLD).
▸  NEPS category: 1. LEARNING (1.3 Comprehension and general ability)</t>
        </is>
      </c>
      <c r="I95" s="171" t="inlineStr">
        <is>
          <t>HOW OFTEN IT CO-OCCURS
▸  around a third of people with ID.</t>
        </is>
      </c>
      <c r="J95" s="171" t="inlineStr">
        <is>
          <t>HOW IT PRESENTS WHEN IT CO-OCCURS
▸  social communication differences on top of the learning profile. Assess separately.</t>
        </is>
      </c>
      <c r="K95" s="171" t="inlineStr">
        <is>
          <t>THE RISK
▸  Do not assume the primary diagnosis explains this.
▸  Write down before you start what the primary diagnosis does NOT explain, then assess that.
▸  Diagnostic overshadowing is the single most common error in co-occurring presentations.</t>
        </is>
      </c>
      <c r="L95" s="171" t="inlineStr">
        <is>
          <t>—</t>
        </is>
      </c>
      <c r="M95" s="171" t="inlineStr">
        <is>
          <t>—</t>
        </is>
      </c>
      <c r="N95" s="171" t="inlineStr">
        <is>
          <t>—</t>
        </is>
      </c>
      <c r="O95" s="171" t="inlineStr">
        <is>
          <t>ASSESS
▸  Assess this separately, with its own measures.
▸  Build the case for each condition independently rather than letting evidence for one carry the other.</t>
        </is>
      </c>
      <c r="P95" s="171" t="inlineStr">
        <is>
          <t>DO
▸  State in the report what would be needed to establish this second presentation.
▸  That is often a referral rather than a conclusion you can reach yourself.</t>
        </is>
      </c>
      <c r="Q95" s="171" t="inlineStr">
        <is>
          <t>—</t>
        </is>
      </c>
      <c r="R95" s="171" t="inlineStr">
        <is>
          <t>—</t>
        </is>
      </c>
      <c r="S95" s="171" t="inlineStr">
        <is>
          <t>YOUR PRACTICE
▸  Bring it to supervision: for each child on my caseload with this diagnosis, what has NOT been assessed because the diagnosis was already there?</t>
        </is>
      </c>
      <c r="T95" s="171" t="inlineStr">
        <is>
          <t>WHAT TO DO NEXT
▸  Assess separately, then refer if the threshold is met.</t>
        </is>
      </c>
      <c r="U95" s="171" t="inlineStr">
        <is>
          <t>WHERE THE EVIDENCE GOES
▸  Psychological report — state the co-occurrence and what it changes.</t>
        </is>
      </c>
      <c r="V95" s="171" t="inlineStr">
        <is>
          <t>—</t>
        </is>
      </c>
    </row>
    <row r="96" ht="169.5" customHeight="1" s="128">
      <c r="A96" s="208" t="inlineStr">
        <is>
          <t>CO-OCCURRING</t>
        </is>
      </c>
      <c r="B96" s="208" t="inlineStr">
        <is>
          <t>1. Assessment</t>
        </is>
      </c>
      <c r="C96" s="171" t="inlineStr">
        <is>
          <t>Adolescent (13–16 years)</t>
        </is>
      </c>
      <c r="D96" s="208" t="inlineStr">
        <is>
          <t>CO-OCCURS WITH GENERAL LEARNING DISABILITY (GLD)</t>
        </is>
      </c>
      <c r="E96" s="209" t="inlineStr">
        <is>
          <t>ADHD</t>
        </is>
      </c>
      <c r="F96" s="208" t="inlineStr">
        <is>
          <t>see its own entry</t>
        </is>
      </c>
      <c r="G96" s="208" t="inlineStr">
        <is>
          <t>YES — assess separately</t>
        </is>
      </c>
      <c r="H96" s="171" t="inlineStr">
        <is>
          <t>WHERE THIS SITS
▸  Sits under 1. Assessment, alongside General Learning Disability (GLD).
▸  NEPS category: 1. LEARNING (1.3 Comprehension and general ability)</t>
        </is>
      </c>
      <c r="I96" s="171" t="inlineStr">
        <is>
          <t>HOW OFTEN IT CO-OCCURS
▸  elevated.</t>
        </is>
      </c>
      <c r="J96" s="171" t="inlineStr">
        <is>
          <t>HOW IT PRESENTS WHEN IT CO-OCCURS
▸  attention difficulty that may simply be work pitched above the child's level. Rule that out first.</t>
        </is>
      </c>
      <c r="K96" s="171" t="inlineStr">
        <is>
          <t>THE RISK
▸  Do not assume the primary diagnosis explains this.
▸  Write down before you start what the primary diagnosis does NOT explain, then assess that.
▸  Diagnostic overshadowing is the single most common error in co-occurring presentations.</t>
        </is>
      </c>
      <c r="L96" s="171" t="inlineStr">
        <is>
          <t>—</t>
        </is>
      </c>
      <c r="M96" s="171" t="inlineStr">
        <is>
          <t>—</t>
        </is>
      </c>
      <c r="N96" s="171" t="inlineStr">
        <is>
          <t>—</t>
        </is>
      </c>
      <c r="O96" s="171" t="inlineStr">
        <is>
          <t>ASSESS
▸  Assess this separately, with its own measures.
▸  Build the case for each condition independently rather than letting evidence for one carry the other.</t>
        </is>
      </c>
      <c r="P96" s="171" t="inlineStr">
        <is>
          <t>DO
▸  State in the report what would be needed to establish this second presentation.
▸  That is often a referral rather than a conclusion you can reach yourself.</t>
        </is>
      </c>
      <c r="Q96" s="171" t="inlineStr">
        <is>
          <t>—</t>
        </is>
      </c>
      <c r="R96" s="171" t="inlineStr">
        <is>
          <t>—</t>
        </is>
      </c>
      <c r="S96" s="171" t="inlineStr">
        <is>
          <t>YOUR PRACTICE
▸  Bring it to supervision: for each child on my caseload with this diagnosis, what has NOT been assessed because the diagnosis was already there?</t>
        </is>
      </c>
      <c r="T96" s="171" t="inlineStr">
        <is>
          <t>WHAT TO DO NEXT
▸  Assess separately, then refer if the threshold is met.</t>
        </is>
      </c>
      <c r="U96" s="171" t="inlineStr">
        <is>
          <t>WHERE THE EVIDENCE GOES
▸  Psychological report — state the co-occurrence and what it changes.</t>
        </is>
      </c>
      <c r="V96" s="171" t="inlineStr">
        <is>
          <t>—</t>
        </is>
      </c>
    </row>
    <row r="97" ht="169.5" customHeight="1" s="128">
      <c r="A97" s="208" t="inlineStr">
        <is>
          <t>CO-OCCURRING</t>
        </is>
      </c>
      <c r="B97" s="208" t="inlineStr">
        <is>
          <t>1. Assessment</t>
        </is>
      </c>
      <c r="C97" s="171" t="inlineStr">
        <is>
          <t>Adolescent (13–16 years)</t>
        </is>
      </c>
      <c r="D97" s="208" t="inlineStr">
        <is>
          <t>CO-OCCURS WITH GENERAL LEARNING DISABILITY (GLD)</t>
        </is>
      </c>
      <c r="E97" s="209" t="inlineStr">
        <is>
          <t>EPILEPSY</t>
        </is>
      </c>
      <c r="F97" s="208" t="inlineStr">
        <is>
          <t>see its own entry</t>
        </is>
      </c>
      <c r="G97" s="208" t="inlineStr">
        <is>
          <t>YES — assess separately</t>
        </is>
      </c>
      <c r="H97" s="171" t="inlineStr">
        <is>
          <t>WHERE THIS SITS
▸  Sits under 1. Assessment, alongside General Learning Disability (GLD).
▸  NEPS category: 1. LEARNING (1.3 Comprehension and general ability)</t>
        </is>
      </c>
      <c r="I97" s="171" t="inlineStr">
        <is>
          <t>HOW OFTEN IT CO-OCCURS
▸  Rate not stated in source — check before quoting.</t>
        </is>
      </c>
      <c r="J97" s="171" t="inlineStr">
        <is>
          <t>HOW IT PRESENTS WHEN IT CO-OCCURS
▸  strongly elevated, particularly at moderate to profound levels. Medical; note and refer.</t>
        </is>
      </c>
      <c r="K97" s="171" t="inlineStr">
        <is>
          <t>THE RISK
▸  Do not assume the primary diagnosis explains this.
▸  Write down before you start what the primary diagnosis does NOT explain, then assess that.
▸  Diagnostic overshadowing is the single most common error in co-occurring presentations.</t>
        </is>
      </c>
      <c r="L97" s="171" t="inlineStr">
        <is>
          <t>—</t>
        </is>
      </c>
      <c r="M97" s="171" t="inlineStr">
        <is>
          <t>—</t>
        </is>
      </c>
      <c r="N97" s="171" t="inlineStr">
        <is>
          <t>—</t>
        </is>
      </c>
      <c r="O97" s="171" t="inlineStr">
        <is>
          <t>ASSESS
▸  Assess this separately, with its own measures.
▸  Build the case for each condition independently rather than letting evidence for one carry the other.</t>
        </is>
      </c>
      <c r="P97" s="171" t="inlineStr">
        <is>
          <t>DO
▸  State in the report what would be needed to establish this second presentation.
▸  That is often a referral rather than a conclusion you can reach yourself.</t>
        </is>
      </c>
      <c r="Q97" s="171" t="inlineStr">
        <is>
          <t>—</t>
        </is>
      </c>
      <c r="R97" s="171" t="inlineStr">
        <is>
          <t>—</t>
        </is>
      </c>
      <c r="S97" s="171" t="inlineStr">
        <is>
          <t>YOUR PRACTICE
▸  Bring it to supervision: for each child on my caseload with this diagnosis, what has NOT been assessed because the diagnosis was already there?</t>
        </is>
      </c>
      <c r="T97" s="171" t="inlineStr">
        <is>
          <t>WHAT TO DO NEXT
▸  Assess separately, then refer if the threshold is met.</t>
        </is>
      </c>
      <c r="U97" s="171" t="inlineStr">
        <is>
          <t>WHERE THE EVIDENCE GOES
▸  Psychological report — state the co-occurrence and what it changes.</t>
        </is>
      </c>
      <c r="V97" s="171" t="inlineStr">
        <is>
          <t>—</t>
        </is>
      </c>
    </row>
    <row r="98" ht="169.5" customHeight="1" s="128">
      <c r="A98" s="208" t="inlineStr">
        <is>
          <t>CO-OCCURRING</t>
        </is>
      </c>
      <c r="B98" s="208" t="inlineStr">
        <is>
          <t>1. Assessment</t>
        </is>
      </c>
      <c r="C98" s="171" t="inlineStr">
        <is>
          <t>Adolescent (13–16 years)</t>
        </is>
      </c>
      <c r="D98" s="208" t="inlineStr">
        <is>
          <t>CO-OCCURS WITH GENERAL LEARNING DISABILITY (GLD)</t>
        </is>
      </c>
      <c r="E98" s="209" t="inlineStr">
        <is>
          <t>COMMUNICATION DIFFICULTY</t>
        </is>
      </c>
      <c r="F98" s="208" t="inlineStr">
        <is>
          <t>see its own entry</t>
        </is>
      </c>
      <c r="G98" s="208" t="inlineStr">
        <is>
          <t>YES — assess separately</t>
        </is>
      </c>
      <c r="H98" s="171" t="inlineStr">
        <is>
          <t>WHERE THIS SITS
▸  Sits under 1. Assessment, alongside General Learning Disability (GLD).
▸  NEPS category: 1. LEARNING (1.3 Comprehension and general ability)</t>
        </is>
      </c>
      <c r="I98" s="171" t="inlineStr">
        <is>
          <t>HOW OFTEN IT CO-OCCURS
▸  Rate not stated in source — check before quoting.</t>
        </is>
      </c>
      <c r="J98" s="171" t="inlineStr">
        <is>
          <t>HOW IT PRESENTS WHEN IT CO-OCCURS
▸  very common and often the real barrier. SLT involvement is usually more useful than more cognitive assessment.</t>
        </is>
      </c>
      <c r="K98" s="171" t="inlineStr">
        <is>
          <t>THE RISK
▸  Do not assume the primary diagnosis explains this.
▸  Write down before you start what the primary diagnosis does NOT explain, then assess that.
▸  Diagnostic overshadowing is the single most common error in co-occurring presentations.</t>
        </is>
      </c>
      <c r="L98" s="171" t="inlineStr">
        <is>
          <t>—</t>
        </is>
      </c>
      <c r="M98" s="171" t="inlineStr">
        <is>
          <t>—</t>
        </is>
      </c>
      <c r="N98" s="171" t="inlineStr">
        <is>
          <t>—</t>
        </is>
      </c>
      <c r="O98" s="171" t="inlineStr">
        <is>
          <t>ASSESS
▸  Assess this separately, with its own measures.
▸  Build the case for each condition independently rather than letting evidence for one carry the other.</t>
        </is>
      </c>
      <c r="P98" s="171" t="inlineStr">
        <is>
          <t>DO
▸  State in the report what would be needed to establish this second presentation.
▸  That is often a referral rather than a conclusion you can reach yourself.</t>
        </is>
      </c>
      <c r="Q98" s="171" t="inlineStr">
        <is>
          <t>—</t>
        </is>
      </c>
      <c r="R98" s="171" t="inlineStr">
        <is>
          <t>—</t>
        </is>
      </c>
      <c r="S98" s="171" t="inlineStr">
        <is>
          <t>YOUR PRACTICE
▸  Bring it to supervision: for each child on my caseload with this diagnosis, what has NOT been assessed because the diagnosis was already there?</t>
        </is>
      </c>
      <c r="T98" s="171" t="inlineStr">
        <is>
          <t>WHAT TO DO NEXT
▸  Assess separately, then refer if the threshold is met.</t>
        </is>
      </c>
      <c r="U98" s="171" t="inlineStr">
        <is>
          <t>WHERE THE EVIDENCE GOES
▸  Psychological report — state the co-occurrence and what it changes.</t>
        </is>
      </c>
      <c r="V98" s="171" t="inlineStr">
        <is>
          <t>—</t>
        </is>
      </c>
    </row>
    <row r="99" ht="169.5" customHeight="1" s="128">
      <c r="A99" s="208" t="inlineStr">
        <is>
          <t>CO-OCCURRING</t>
        </is>
      </c>
      <c r="B99" s="208" t="inlineStr">
        <is>
          <t>1. Assessment</t>
        </is>
      </c>
      <c r="C99" s="171" t="inlineStr">
        <is>
          <t>Adolescent (13–16 years)</t>
        </is>
      </c>
      <c r="D99" s="208" t="inlineStr">
        <is>
          <t>CO-OCCURS WITH GENERAL LEARNING DISABILITY (GLD)</t>
        </is>
      </c>
      <c r="E99" s="209" t="inlineStr">
        <is>
          <t>PHYSICAL AND SENSORY IMPAIRMENT</t>
        </is>
      </c>
      <c r="F99" s="208" t="inlineStr">
        <is>
          <t>see its own entry</t>
        </is>
      </c>
      <c r="G99" s="208" t="inlineStr">
        <is>
          <t>YES — assess separately</t>
        </is>
      </c>
      <c r="H99" s="171" t="inlineStr">
        <is>
          <t>WHERE THIS SITS
▸  Sits under 1. Assessment, alongside General Learning Disability (GLD).
▸  NEPS category: 1. LEARNING (1.3 Comprehension and general ability)</t>
        </is>
      </c>
      <c r="I99" s="171" t="inlineStr">
        <is>
          <t>HOW OFTEN IT CO-OCCURS
▸  Rate not stated in source — check before quoting.</t>
        </is>
      </c>
      <c r="J99" s="171" t="inlineStr">
        <is>
          <t>HOW IT PRESENTS WHEN IT CO-OCCURS
▸  elevated, particularly in genetic syndromes. Always check vision and hearing before attributing anything to cognition.</t>
        </is>
      </c>
      <c r="K99" s="171" t="inlineStr">
        <is>
          <t>THE RISK
▸  Do not assume the primary diagnosis explains this.
▸  Write down before you start what the primary diagnosis does NOT explain, then assess that.
▸  Diagnostic overshadowing is the single most common error in co-occurring presentations.</t>
        </is>
      </c>
      <c r="L99" s="171" t="inlineStr">
        <is>
          <t>—</t>
        </is>
      </c>
      <c r="M99" s="171" t="inlineStr">
        <is>
          <t>—</t>
        </is>
      </c>
      <c r="N99" s="171" t="inlineStr">
        <is>
          <t>—</t>
        </is>
      </c>
      <c r="O99" s="171" t="inlineStr">
        <is>
          <t>ASSESS
▸  Assess this separately, with its own measures.
▸  Build the case for each condition independently rather than letting evidence for one carry the other.</t>
        </is>
      </c>
      <c r="P99" s="171" t="inlineStr">
        <is>
          <t>DO
▸  State in the report what would be needed to establish this second presentation.
▸  That is often a referral rather than a conclusion you can reach yourself.</t>
        </is>
      </c>
      <c r="Q99" s="171" t="inlineStr">
        <is>
          <t>—</t>
        </is>
      </c>
      <c r="R99" s="171" t="inlineStr">
        <is>
          <t>—</t>
        </is>
      </c>
      <c r="S99" s="171" t="inlineStr">
        <is>
          <t>YOUR PRACTICE
▸  Bring it to supervision: for each child on my caseload with this diagnosis, what has NOT been assessed because the diagnosis was already there?</t>
        </is>
      </c>
      <c r="T99" s="171" t="inlineStr">
        <is>
          <t>WHAT TO DO NEXT
▸  Assess separately, then refer if the threshold is met.</t>
        </is>
      </c>
      <c r="U99" s="171" t="inlineStr">
        <is>
          <t>WHERE THE EVIDENCE GOES
▸  Psychological report — state the co-occurrence and what it changes.</t>
        </is>
      </c>
      <c r="V99" s="171" t="inlineStr">
        <is>
          <t>—</t>
        </is>
      </c>
    </row>
    <row r="100" ht="169.5" customHeight="1" s="128">
      <c r="A100" s="208" t="inlineStr">
        <is>
          <t>CO-OCCURRING</t>
        </is>
      </c>
      <c r="B100" s="208" t="inlineStr">
        <is>
          <t>1. Assessment</t>
        </is>
      </c>
      <c r="C100" s="171" t="inlineStr">
        <is>
          <t>Adolescent (13–16 years)</t>
        </is>
      </c>
      <c r="D100" s="208" t="inlineStr">
        <is>
          <t>CO-OCCURS WITH GENERAL LEARNING DISABILITY (GLD)</t>
        </is>
      </c>
      <c r="E100" s="209" t="inlineStr">
        <is>
          <t>SPECIFIC LEARNING DIFFICULTY</t>
        </is>
      </c>
      <c r="F100" s="208" t="inlineStr">
        <is>
          <t>see its own entry</t>
        </is>
      </c>
      <c r="G100" s="208" t="inlineStr">
        <is>
          <t>YES — assess separately</t>
        </is>
      </c>
      <c r="H100" s="171" t="inlineStr">
        <is>
          <t>WHERE THIS SITS
▸  Sits under 1. Assessment, alongside General Learning Disability (GLD).
▸  NEPS category: 1. LEARNING (1.3 Comprehension and general ability)</t>
        </is>
      </c>
      <c r="I100" s="171" t="inlineStr">
        <is>
          <t>HOW OFTEN IT CO-OCCURS
▸  Rate not stated in source — check before quoting.</t>
        </is>
      </c>
      <c r="J100" s="171" t="inlineStr">
        <is>
          <t>HOW IT PRESENTS WHEN IT CO-OCCURS
▸  can co-occur. A child with GLD whose reading is far below even their own cognitive level has something additional going on.</t>
        </is>
      </c>
      <c r="K100" s="171" t="inlineStr">
        <is>
          <t>THE RISK
▸  Do not assume the primary diagnosis explains this.
▸  Write down before you start what the primary diagnosis does NOT explain, then assess that.
▸  Diagnostic overshadowing is the single most common error in co-occurring presentations.</t>
        </is>
      </c>
      <c r="L100" s="171" t="inlineStr">
        <is>
          <t>—</t>
        </is>
      </c>
      <c r="M100" s="171" t="inlineStr">
        <is>
          <t>—</t>
        </is>
      </c>
      <c r="N100" s="171" t="inlineStr">
        <is>
          <t>—</t>
        </is>
      </c>
      <c r="O100" s="171" t="inlineStr">
        <is>
          <t>ASSESS
▸  Assess this separately, with its own measures.
▸  Build the case for each condition independently rather than letting evidence for one carry the other.</t>
        </is>
      </c>
      <c r="P100" s="171" t="inlineStr">
        <is>
          <t>DO
▸  State in the report what would be needed to establish this second presentation.
▸  That is often a referral rather than a conclusion you can reach yourself.</t>
        </is>
      </c>
      <c r="Q100" s="171" t="inlineStr">
        <is>
          <t>—</t>
        </is>
      </c>
      <c r="R100" s="171" t="inlineStr">
        <is>
          <t>—</t>
        </is>
      </c>
      <c r="S100" s="171" t="inlineStr">
        <is>
          <t>YOUR PRACTICE
▸  Bring it to supervision: for each child on my caseload with this diagnosis, what has NOT been assessed because the diagnosis was already there?</t>
        </is>
      </c>
      <c r="T100" s="171" t="inlineStr">
        <is>
          <t>WHAT TO DO NEXT
▸  Assess separately, then refer if the threshold is met.</t>
        </is>
      </c>
      <c r="U100" s="171" t="inlineStr">
        <is>
          <t>WHERE THE EVIDENCE GOES
▸  Psychological report — state the co-occurrence and what it changes.</t>
        </is>
      </c>
      <c r="V100" s="171" t="inlineStr">
        <is>
          <t>—</t>
        </is>
      </c>
    </row>
    <row r="101" ht="169.5" customHeight="1" s="128">
      <c r="A101" s="208" t="inlineStr">
        <is>
          <t>CO-OCCURRING</t>
        </is>
      </c>
      <c r="B101" s="208" t="inlineStr">
        <is>
          <t>1. Assessment</t>
        </is>
      </c>
      <c r="C101" s="171" t="inlineStr">
        <is>
          <t>Adolescent (13–16 years)</t>
        </is>
      </c>
      <c r="D101" s="208" t="inlineStr">
        <is>
          <t>CO-OCCURS WITH GENERAL LEARNING DISABILITY (GLD)</t>
        </is>
      </c>
      <c r="E101" s="209" t="inlineStr">
        <is>
          <t>SLEEP AND FEEDING DIFFICULTIES</t>
        </is>
      </c>
      <c r="F101" s="208" t="inlineStr">
        <is>
          <t>see its own entry</t>
        </is>
      </c>
      <c r="G101" s="208" t="inlineStr">
        <is>
          <t>YES — assess separately</t>
        </is>
      </c>
      <c r="H101" s="171" t="inlineStr">
        <is>
          <t>WHERE THIS SITS
▸  Sits under 1. Assessment, alongside General Learning Disability (GLD).
▸  NEPS category: 1. LEARNING (1.3 Comprehension and general ability)</t>
        </is>
      </c>
      <c r="I101" s="171" t="inlineStr">
        <is>
          <t>HOW OFTEN IT CO-OCCURS
▸  Rate not stated in source — check before quoting.</t>
        </is>
      </c>
      <c r="J101" s="171" t="inlineStr">
        <is>
          <t>HOW IT PRESENTS WHEN IT CO-OCCURS
▸  common, under-asked-about, and they change the whole presentation.</t>
        </is>
      </c>
      <c r="K101" s="171" t="inlineStr">
        <is>
          <t>THE RISK
▸  Do not assume the primary diagnosis explains this.
▸  Write down before you start what the primary diagnosis does NOT explain, then assess that.
▸  Diagnostic overshadowing is the single most common error in co-occurring presentations.</t>
        </is>
      </c>
      <c r="L101" s="171" t="inlineStr">
        <is>
          <t>—</t>
        </is>
      </c>
      <c r="M101" s="171" t="inlineStr">
        <is>
          <t>—</t>
        </is>
      </c>
      <c r="N101" s="171" t="inlineStr">
        <is>
          <t>—</t>
        </is>
      </c>
      <c r="O101" s="171" t="inlineStr">
        <is>
          <t>ASSESS
▸  Assess this separately, with its own measures.
▸  Build the case for each condition independently rather than letting evidence for one carry the other.</t>
        </is>
      </c>
      <c r="P101" s="171" t="inlineStr">
        <is>
          <t>DO
▸  State in the report what would be needed to establish this second presentation.
▸  That is often a referral rather than a conclusion you can reach yourself.</t>
        </is>
      </c>
      <c r="Q101" s="171" t="inlineStr">
        <is>
          <t>—</t>
        </is>
      </c>
      <c r="R101" s="171" t="inlineStr">
        <is>
          <t>—</t>
        </is>
      </c>
      <c r="S101" s="171" t="inlineStr">
        <is>
          <t>YOUR PRACTICE
▸  Bring it to supervision: for each child on my caseload with this diagnosis, what has NOT been assessed because the diagnosis was already there?</t>
        </is>
      </c>
      <c r="T101" s="171" t="inlineStr">
        <is>
          <t>WHAT TO DO NEXT
▸  Assess separately, then refer if the threshold is met.</t>
        </is>
      </c>
      <c r="U101" s="171" t="inlineStr">
        <is>
          <t>WHERE THE EVIDENCE GOES
▸  Psychological report — state the co-occurrence and what it changes.</t>
        </is>
      </c>
      <c r="V101" s="171" t="inlineStr">
        <is>
          <t>—</t>
        </is>
      </c>
    </row>
    <row r="102" ht="408.75" customHeight="1" s="128">
      <c r="A102" s="210" t="inlineStr">
        <is>
          <t>PRESENTATION</t>
        </is>
      </c>
      <c r="B102" s="210" t="inlineStr">
        <is>
          <t>1. Assessment</t>
        </is>
      </c>
      <c r="C102" s="170" t="inlineStr">
        <is>
          <t>Adolescent (13–16 years)</t>
        </is>
      </c>
      <c r="D102" s="210" t="inlineStr">
        <is>
          <t>SYMPTOM-ONLY</t>
        </is>
      </c>
      <c r="E102" s="211" t="inlineStr">
        <is>
          <t>Presentations related to General Learning Disability (GLD) — no diagnosis</t>
        </is>
      </c>
      <c r="F102" s="210" t="inlineStr">
        <is>
          <t>No DSM code</t>
        </is>
      </c>
      <c r="G102" s="210" t="inlineStr">
        <is>
          <t>YES — these present at every band</t>
        </is>
      </c>
      <c r="H102" s="170" t="inlineStr">
        <is>
          <t>WHERE THIS SITS
▸  NEPS category: as above
▸  UCD competency: 1. Assessment
▸  CORU: 3.1 · 3.2 · 5.28 · 5.29 · 5.30 · 5.31 · 5.32
▸  PSI: 2.2.2 · 2.3.1 · 1.3.1 · 1.2.8</t>
        </is>
      </c>
      <c r="I102" s="170" t="inlineStr">
        <is>
          <t>THE PRESENTATIONS — no diagnosis needed, and most referrals look like this
▸  Borderline intellectual functioning
▸  Underachievement not meeting SLD criteria
▸  Curriculum access at the current level
▸  Interrupted or missed schooling
▸  Twice exceptional — high ability plus a specific difficulty</t>
        </is>
      </c>
      <c r="J102" s="170" t="inlineStr">
        <is>
          <t>HOW COMMON
▸  No prevalence figures exist for these — they are descriptions, not categories.
▸  They are more common than the diagnosis they sit beside.</t>
        </is>
      </c>
      <c r="K102" s="170" t="inlineStr">
        <is>
          <t>THE PATHWAY
▸  No diagnostic pathway. Nobody diagnoses these.
▸  You describe them, formulate around them, and recommend. That is the whole pathway.
▸  If a parent asks who diagnoses it: nobody. Say that plainly, and say it does not make the difficulty less real or less workable.</t>
        </is>
      </c>
      <c r="L102" s="170" t="inlineStr">
        <is>
          <t>WHAT YOU SEE
▸  These are what the referral form actually describes in Section 5.
▸  Look for the pattern across settings rather than a threshold.</t>
        </is>
      </c>
      <c r="M102" s="170" t="inlineStr">
        <is>
          <t>RED FLAGS
▸  Escalating distress, withdrawal or risk indicators — follow the protocol regardless of whether a diagnosis exists.
▸  Do not let the absence of a diagnosis delay a safeguarding response.</t>
        </is>
      </c>
      <c r="N102" s="170" t="inlineStr">
        <is>
          <t>WHAT ELSE COULD IT BE
▸  Each of these can be the visible edge of the diagnosed condition above.
▸  Each can also occur entirely on its own.
▸  Test the sequence: which came first?</t>
        </is>
      </c>
      <c r="O102" s="170" t="inlineStr">
        <is>
          <t>ASSESS
▸  Observation with a comparison peer.
▸  Teacher and parent interview.
▸  Pupil interview — their account is the evidence here.
▸  Rating scales describe perception, not the presentation itself.</t>
        </is>
      </c>
      <c r="P102" s="170" t="inlineStr">
        <is>
          <t>DO
▸  Name the presentation precisely rather than reaching for a label.
▸  Recommend at the level of the behaviour, not the hypothetical diagnosis.
▸  Specify what, who, how often, for how long, and how it will be measured.
▸  Name the Continuum of Support level.</t>
        </is>
      </c>
      <c r="Q102" s="170" t="inlineStr">
        <is>
          <t>EXPLAIN
▸  To a parent: “There isn’t a diagnosis for this, and it’s still real and still workable. Here’s what we do.”
▸  To a teacher: describe the behaviour in countable terms, not in trait terms.
▸  To the child: ask what helps, and use their words in the report.</t>
        </is>
      </c>
      <c r="R102" s="170" t="inlineStr">
        <is>
          <t>CHILD’S VOICE AND QUESTIONS
▸  Talking Mats · Blob Tree · scaling on a drawn ladder · sentence completion · day mapping.
▸  Q: “So there’s nothing wrong with him?” A: “There’s a real difficulty and it doesn’t have a label. Labels help get resources; they don’t make a difficulty more or less real.”
▸  Q: “Should we get him assessed privately?” A: give the honest position on what a diagnosis would and would not change here.</t>
        </is>
      </c>
      <c r="S102" s="170" t="inlineStr">
        <is>
          <t>YOUR PRACTICE
▸  Bring a case where you were pulled toward a label the data did not support.
▸  Reflect: did I describe, or did I reach? Whose language did I use?</t>
        </is>
      </c>
      <c r="T102" s="170" t="inlineStr">
        <is>
          <t>WHAT TO DO NEXT
▸  Proceed to formulation. These belong at the behavioural level of the Interactive Factors Framework.
▸  Test whether an unmet learning need is underneath before concluding anything.</t>
        </is>
      </c>
      <c r="U102" s="170" t="inlineStr">
        <is>
          <t>WHERE THE EVIDENCE GOES
▸  Psychological report
▸  Appendix 5 entry
▸  Log sheet</t>
        </is>
      </c>
      <c r="V102" s="170" t="inlineStr">
        <is>
          <t>CITATIONS
▸  Frederickson &amp; Cline (2009)
▸  Monsen &amp; Frederickson (2008)
▸  NEPS Continuum of Support</t>
        </is>
      </c>
    </row>
    <row r="103" ht="408.75" customHeight="1" s="128">
      <c r="A103" s="205" t="inlineStr">
        <is>
          <t>CONDITION</t>
        </is>
      </c>
      <c r="B103" s="205" t="inlineStr">
        <is>
          <t>1. Assessment</t>
        </is>
      </c>
      <c r="C103" s="206" t="inlineStr">
        <is>
          <t>Adolescent (13–16 years)</t>
        </is>
      </c>
      <c r="D103" s="205" t="inlineStr">
        <is>
          <t>DIAGNOSED</t>
        </is>
      </c>
      <c r="E103" s="206" t="inlineStr">
        <is>
          <t>Dyslexia / Specific Learning Disorder with impairment in reading</t>
        </is>
      </c>
      <c r="F103" s="205" t="inlineStr">
        <is>
          <t>DSM-5-TR Specific Learning Disorder, with impairment in reading</t>
        </is>
      </c>
      <c r="G103" s="205" t="inlineStr">
        <is>
          <t>YES</t>
        </is>
      </c>
      <c r="H103" s="207" t="inlineStr">
        <is>
          <t>WHERE THIS SITS
▸  NEPS referral form category: 1. LEARNING (1.4 Literacy)
▸  UCD competency: 1. Assessment
▸  CORU: 3.1 · 3.2 · 5.28 · 5.29 · 5.30 · 5.31 · 5.32
▸  PSI: 2.2.2 · 2.3.1 · 1.3.1 · 1.2.8
▸  Law and policy: Children First Act 2015 · EPSEN Act 2004 · Equal Status Acts 2000–2018 · GDPR</t>
        </is>
      </c>
      <c r="I103" s="207" t="inlineStr">
        <is>
          <t>WHAT IT IS, AND WHAT IT IS NOT
▸  A SPECIFIC difficulty in accurate and/or fluent word reading, decoding and spelling, persisting despite appropriate instruction (APA, 2022).
▸  The best-supported causal account is a PHONOLOGICAL DEFICIT — difficulty representing and manipulating the sound structure of language (Snowling &amp; Hulme, 2011). Rapid automatised naming is a second reliable correlate.
▸  It is DIMENSIONAL. Pennington (2006) set out the multiple-deficit model: reading difficulty arises from several risk factors combining, not from one cause, which is why cut-offs are arbitrary and co-occurrence is the norm.
▸  'Despite appropriate instruction' is doing real work in the definition. You cannot identify dyslexia without knowing what has been taught.
▸  In Ireland the Department of Education uses 'specific learning difficulty'; the DSM term is Specific Learning Disorder. Both are in use.
▸  NOT about seeing letters backwards. Reversals are developmentally normal in early writing and are not diagnostic. This is the single most common public misconception.
▸  NOT a visual problem. Coloured overlays and tinted lenses do not have the evidence base their marketing claims; the difficulty is phonological, not optical.
▸  NOT related to intelligence. The IQ-achievement discrepancy model has been abandoned in current criteria because it under-identified children with lower cognitive scores.
▸  NOT laziness or lack of effort. Children with dyslexia typically work harder for less output.
▸  NOT cured by more of the same. If two years of unstructured reading practice has not worked, more of it will not either — the instruction has to be structured, explicit and systematic.</t>
        </is>
      </c>
      <c r="J103" s="207" t="inlineStr">
        <is>
          <t>HOW COMMON AT THIS AGE
▸  OVERALL: commonly cited at 3–7% of the population depending on cut-off, rising to around 20% if a broader definition of reading difficulty is used. The variation is because the underlying distribution is continuous and the cut-off is a decision.
▸  IRELAND: the Dyslexia Association of Ireland cites approximately 10% of the population as having dyslexia to some degree. Department of Education figures for identified specific learning difficulty will be lower because they reflect identification, not prevalence.
▸  ADOLESCENT 13–16: identification still occurs, often when exam demands expose it. By this point secondary effects on confidence and attainment are usually established.
▸  FAMILY HISTORY: heritability is substantial. A child with an affected parent has roughly a 40–60% chance of reading difficulty. Always ask.
▸  AT OTHER AGES (for context): EARLY YEARS 0–5 · SCHOOL AGE 6–12 · YOUNG ADULT 17–26</t>
        </is>
      </c>
      <c r="K103" s="207" t="inlineStr">
        <is>
          <t>THE PATHWAY AND THE TIMELINE
▸ TYPICAL AGE OF IDENTIFICATION, AND WHY THEN
   Usually 7–10. Criteria require difficulty 'despite appropriate instruction', so identification cannot precede a reasonable period of systematic teaching. In practice this is later than optimal — intervention is most effective before the attainment gap widens and before confidence is affected.
▸ WHO DIAGNOSES IT
   In Ireland, educational psychologists identify specific learning difficulties, including through NEPS. There is no medical diagnosis. Private psychologists also assess, and reports vary in quality — check what criteria were applied.
▸ WHO COULD HAVE WRITTEN THE REPORT IN FRONT OF YOU
   NEPS psychologist. Private educational psychologist. An occupational therapist report covering handwriting is not a dyslexia assessment. School screening results are not identification.
▸ WHO YOU REFER TO
   Rarely onward — this is your own competency area. SLT where oral language or comprehension is implicated. OT where handwriting is motor. Audiology where hearing history is unclear. Dyslexia Association of Ireland for family support.
▸ 'SHOULD WE HAVE COME SOONER?'
   'Not really — we can't identify it until a child has had proper phonics teaching for a reasonable time, so there's a floor on how early this happens. What I would say is that what we put in place now matters more than when we started.'</t>
        </is>
      </c>
      <c r="L103" s="207" t="inlineStr">
        <is>
          <t>WHAT YOU SEE AT THIS AGE
▸  Often exposed by exam demands. Secondary effects on confidence usually established. Priority shifts to access and accommodation.
▸  EARLY YEARS 0–5: no diagnosis. Assess precursors — phonological awareness, rhyme, alliteration, letter-sound knowledge, family history. Family history is a genuine risk indicator.
▸  SCHOOL AGE 6–12: the identification window. WIAT-III, phonological battery, cognitive comparison, and instructional history. Early identification matters — intervention is most effective before the gap widens.
▸  ADOLESCENT 13–16: the question shifts to access and accommodation. RACE evidence, assistive technology, subject choice. Remediation still works but the priority is curriculum access.
▸  YOUNG ADULT 17–26: DSA evidence for third level, workplace adjustment, WRAT-5 or WIAT-III adult norms.
▸  SPECIAL SETTING: functional literacy against the setting curriculum.</t>
        </is>
      </c>
      <c r="M103" s="207" t="inlineStr">
        <is>
          <t>RED FLAGS AND BOUNDARIES
▸  RED FLAG — a child with an unidentified reading difficulty and emerging low mood or school refusal. The sequence is usually reading first, then avoidance. Treat the reading.
▸  RED FLAG — hearing history. Glue ear during the infant classes is a plausible alternative explanation and is routinely missed. Always ask.
▸  RED FLAG — no systematic phonics instruction has ever been provided. You cannot identify a disorder 'despite appropriate instruction' if there has not been appropriate instruction.
▸  WATCH FOR co-occurrence: ADHD, DLD and DCD all co-occur with reading difficulty at well above chance.</t>
        </is>
      </c>
      <c r="N103" s="207" t="inlineStr">
        <is>
          <t>WHAT ELSE COULD IT BE, AND WHAT CO-OCCURS
▸  ADHD — co-occurs in roughly 30–50% of cases in both directions. PRESENTS AS: reading difficulty plus inattention, where each worsens the other. Pennington's multiple-deficit model (2006) explains why this is expected rather than coincidental.
▸  DLD / LANGUAGE DISORDER — strongly associated. PRESENTS AS: decoding difficulty PLUS comprehension difficulty. A child who decodes accurately and still cannot answer questions has a language problem, not a decoding one.
▸  DCD — elevated. PRESENTS AS: slow, effortful handwriting on top of spelling difficulty, compounding written output problems.
▸  DYSCALCULIA — co-occurs, though less studied. PRESENTS AS: word-problem failure that may be either reading or number sense; test them apart.
▸  ANXIETY — very common and usually SECONDARY. PRESENTS AS: avoidance of reading aloud, school reluctance, somatic complaints before literacy lessons. Treat the reading and much of it resolves.
▸  LOW SELF-CONCEPT — almost universal where identification has been late. Academic self-concept drops before global self-esteem does.
▸  GLUE EAR HISTORY — not a co-occurring condition but a competing explanation. Always ask about the infant years.</t>
        </is>
      </c>
      <c r="O103" s="207" t="inlineStr">
        <is>
          <t>TOOLS VALID AT THIS BAND
▸  WIAT-III UK — AGE to 25:11
     MEASURES: Attainment across reading, spelling, written expression, maths.
     CANNOT TELL YOU: Exam performance under time pressure — look at the script as well.
     TIME: 60–90 min
▸  DASH — AGE 9:0–16:11
     MEASURES: Handwriting speed.
     CANNOT TELL YOU: Whether a word processor would help — trial it.
     TIME: 20–25 min
▸  Access arrangements evidence (RACE) — AGE post-primary
     MEASURES: Evidence of need for reader, scribe, word processor, spelling and grammar waiver, extra time.
     CANNOT TELL YOU: It is an application, not an assessment. Know the current State Examinations Commission criteria before you promise anything.
     TIME: —
▸  WISC-V UK — AGE to 16:11
     MEASURES: As School Age.
     CANNOT TELL YOU: Same limits. Check the date of birth — the cut-off catches people out.
     TIME: 65–80 min
▸  WAIS-IV UK — AGE 16:0–90:11
     MEASURES: Verbal comprehension, perceptual reasoning, working memory, processing speed.
     CANNOT TELL YOU: Educational attainment. At 16:0–16:11 either battery is defensible — say which you chose and why.
     TIME: 60–90 min</t>
        </is>
      </c>
      <c r="P103" s="207" t="inlineStr">
        <is>
          <t>WHAT YOU DO, AND WHAT YOU WRITE
▸  IDENTIFY THE COMPONENT FIRST — phonological awareness, decoding, fluency, vocabulary or comprehension — then match the intervention to it. A programme recommended without a component is a guess.
▸  STRUCTURED, EXPLICIT, SYSTEMATIC PHONICS taught to mastery. Specify: daily, 20 minutes, group of no more than three, SET-delivered, for a term.
▸  FLUENCY: repeated reading with feedback, and paired reading. Only after decoding is secure.
▸  ASSISTIVE TECHNOLOGY NOW, not when reading improves. Text-to-speech and speech-to-text give curriculum access while remediation happens.
▸  NEVER ASK TO READ ALOUD UNPREPARED. Offer the passage in advance if the child wants to participate.
▸  SEPARATE THE READING LOAD from every other subject's assessment. If she cannot read the question, that is a reading result.
▸  MONITOR FORTNIGHTLY with something sensitive — words correct per minute, non-word reading — not the annual standardised test.
▸  RACE / EXAM ACCESS at post-primary: build the evidence early, check current State Examinations Commission criteria.
▸  ADDRESS THE SECONDARY EFFECTS explicitly — confidence, avoidance — rather than assuming they resolve on their own.
▸  DO NOT RECOMMEND coloured overlays, tinted lenses or learning-styles matching. The evidence does not support them and PSI 4.2.2 applies.
▸  CONTINUUM LEVEL: School Support, moving to School Support Plus if a term of targeted intervention produces no measurable change.
▸  REFER: SLT where comprehension or oral language is implicated; OT where handwriting is motor; audiology where hearing history is unclear.</t>
        </is>
      </c>
      <c r="Q103" s="207" t="inlineStr">
        <is>
          <t>EXPLAIN
▸  TO A PARENT
▸  'Dyslexia is a difficulty with the sound structure of words — breaking them apart and putting them together. That makes decoding new words slow and effortful, which then makes everything that depends on reading harder.'
▸  'It's nothing to do with how clever she is. Her reasoning is [describe], and her reading is where the difficulty is. That gap is actually the picture.'
▸  'It's not about seeing letters backwards — that's the bit everyone has heard and it's not accurate.'
▸  'What helps is structured, explicit phonics taught to mastery, plus assistive technology so she can access the curriculum while the reading catches up. Both, not one.'
▸  SIGNPOST: Dyslexia Association of Ireland. Give the name.
▸  TO A TEACHER
▸  'The difficulty is phonological. She needs systematic, explicit phonics — and she needs it at her level, not the class level.'
▸  'Separate the reading load from the subject. If she can't read the maths word problem, that's a reading result, not a maths result. Read it to her and see what happens.'
▸  'Assistive technology now, not later. Text-to-speech and speech-to-text let her access the curriculum while the reading is being remediated. Withholding it until she can read is withholding the curriculum.'
▸  'Never ask her to read aloud unprepared in front of the class. Give her the passage the day before if she wants to participate.'
▸  'Monitor fortnightly with something sensitive — words correct per minute — not with the annual standardised test.'
▸  TO THE CHILD
▸  'Your brain finds it harder to break words into sounds and put them back together. That's what makes reading slow — it's not about how smart you are.'
▸  'Lots of people have this. It's called dyslexia. It doesn't go away, but reading gets a lot easier with the right kind of practice, and there's technology that reads things to you.'
▸  ASK: 'What's the hardest bit about reading for you?' Their answer often tells you whether it is decoding, stamina or embarrassment — three different problems.
▸  NAME A STRENGTH SPECIFICALLY: 'You worked out that answer without being able to read the question — that's the thinking part, and that's strong.'
▸  Be honest that it is lifelong. Children find that easier than discovering it later.
▸  ANALOGIES
▸  THE FOREIGN ALPHABET: 'Imagine every page was in Greek letters. You know the language, you can think about the ideas — but turning those shapes into sounds takes all your effort, and there's nothing left for understanding the story.' Good for teachers; explains why comprehension collapses.
▸  THE JAMMED LOCK: 'Most people's brains unlock a word automatically. Yours has a lock that sticks — you can still open it, it just takes longer each time.' Good with children.
▸  THE BUCKET OF EFFORT: 'Everyone starts the day with a bucket of concentration. If reading uses half the bucket before lunch, there isn't much left for anything else. That's why she's exhausted, not lazy.' Good with parents.
▸  LANGUAGE
▸  'Dyslexia' is widely used and generally accepted by the community; the Dyslexia Association of Ireland uses it directly.
▸  'Specific learning difficulty' is the Irish Department of Education term. 'Specific Learning Disorder with impairment in reading' is the DSM-5-TR term.
▸  Avoid 'word blind', 'suffers from dyslexia', and 'struggling reader' as a euphemism — it obscures rather than protects.
▸  Be careful with 'diagnosis'. In Ireland, educational psychologists identify specific learning difficulties; frame it as identification against criteria and say what criteria.</t>
        </is>
      </c>
      <c r="R103" s="207" t="inlineStr">
        <is>
          <t>THE CHILD’S VOICE, AND THE QUESTIONS
▸  READING ATTITUDE SCALES (e.g. Elementary Reading Attitude Survey) — good because reading attitude often deteriorates before attainment does, so it catches the emotional cost early.
▸  'MY THOUGHTS ABOUT SCHOOL' (NEPS Continuum of Support materials) — Irish, free, already in schools. Good because staff recognise it. → https://www.gov.ie/en/publication/52ee2-neps-resources-and-publications/
▸  SENTENCE COMPLETION ('Reading is…', 'When the teacher asks me to read…') — good because it is quick, non-threatening, and surfaces shame that direct questions miss.
▸  DYSLEXIA ASSOCIATION OF IRELAND young people's materials — Irish, written for children about their own profile. Good because self-understanding predicts self-advocacy. → https://dyslexia.ie/
▸  SCALING ON A DRAWN LADDER — good with 6–12s because it makes an abstract judgement concrete and gives you a follow-up question ('what puts you at a 4?').
▸  QUESTIONS YOU WILL BE ASKED
▸  Q: 'Does she see letters backwards?' — A: 'That's the thing everyone's heard and it isn't accurate. Reversals are normal in early writing. The actual difficulty is with the sounds in words — breaking them apart and blending them back together.'
▸  Q: 'Would coloured overlays help?' — A: 'The evidence doesn't support them, and I'd rather you spent the money and the time on something that does. If she finds a particular background easier to read, that's fine to use — it just isn't treating the dyslexia.'
▸  Q: 'Is she just not trying?' — A: 'The opposite, usually. Children with this profile work considerably harder than their classmates for less output, which is exhausting. What looks like giving up is often running out.'
▸  Q: 'Will she grow out of it?' — A: 'No, it's lifelong. Reading gets a great deal better with the right teaching, and most people find their own strategies. The difficulty with decoding new words tends to stay.'
▸  Q: 'Does this mean she's not clever?' — A: 'No, and in fact the gap between her reasoning and her reading is part of what identifies it. Her thinking is [specific]. The reading is where the difficulty sits.'
▸  Q: 'Should she use a laptop? Isn't that giving up on reading?' — A: 'No — it's two separate things. She needs the phonics teaching to improve the reading, and she needs the technology so she can access history and science while that's happening. Doing one without the other means she falls behind in everything else.'
▸  Q: 'Will she get extra time in the Leaving Cert?' — A: 'Possibly, and the application is made by the school against criteria set by the State Examinations Commission. I can set out the evidence that supports it, but I can't promise the outcome.'
▸  Q: 'The school says she's improving, so is she fine now?' — A: 'Improving is good and it doesn't mean the difficulty has gone. The thing to watch is whether she's improving fast enough to close the gap, or improving at the same rate while the gap stays the same. That's why we measure.'</t>
        </is>
      </c>
      <c r="S103" s="207" t="inlineStr">
        <is>
          <t>YOUR PRACTICE
▸  SUPERVISION
▸  Bring a recommendations section and ask your supervisor: 'who does this on Monday morning?' If they cannot answer, rewrite it.
▸  Ask how your service handles a school with no systematic phonics programme — that is a systemic conversation and it needs a strategy.
▸  Raise the identification threshold: at what point does your service say 'specific learning difficulty' and on what basis?
▸  Discuss the RACE process and what evidence actually satisfies the State Examinations Commission this year.
▸  Bring a case where the cognitive profile was low average and ask how identification works without a discrepancy model.
▸  Ask about assistive technology — what the service recommends, what schools actually have, and how to bridge the gap.
▸  REFLECTION
▸  ON INSTRUCTIONAL HISTORY — Did I establish what had actually been taught before I concluded anything? The criteria say 'despite appropriate instruction'. If I did not check, I have not met the criteria I claimed to apply.
▸  ON THE HEARING QUESTION — Did I ask specifically about glue ear and grommets in the infant years, or did I ask a general health question and accept a general answer?
▸  ON THE TEACHER CONVERSATION — Did I say 'structured phonics' and leave, or did I specify what, who, how often, for how long, and how it would be measured? An unspecified recommendation is a wish.
▸  ON ASSISTIVE TECHNOLOGY — Did I recommend it now, or imply it should wait until reading improves? Withholding access technology until a child can read is withholding the curriculum.
▸  ON HOW I EXPLAINED IT TO THE CHILD — Did I name a strength that was specific to them, or a generic one about dyslexic people? Generic strengths are heard as consolation.
▸  ON THE REVERSALS QUESTION — When the parent mentioned letters backwards, did I correct it clearly, or did I let it pass because correcting felt awkward?
▸  WHAT GOOD LOOKS LIKE: 'I had written 'targeted literacy support' in my first draft. Reading it back I could not have acted on it myself, so I rewrote it as daily 20 minutes of structured phonics, SET-delivered, group of three, monitored fortnightly on non-word reading. The school implemented it. The first version would have been filed.'
▸  WHAT POOR LOOKS LIKE: 'Assessment indicated a specific learning difficulty in reading. Literacy support is recommended.' — nothing actionable, no component identified, no instructional history.</t>
        </is>
      </c>
      <c r="T103" s="207" t="inlineStr">
        <is>
          <t>WHAT TO DO NEXT
▸  Proceed to FORMULATION using a named framework — Monsen, Interactive Factors, COMOIRA or Carr.
▸  If a learning need may be driving the presentation, proceed to attainment assessment before concluding.
▸  If risk or safeguarding emerged, none of the above — follow the protocol and tell your supervisor the same day.
▸  If the referral question is not answered by what you found, go back and renegotiate it.</t>
        </is>
      </c>
      <c r="U103" s="207" t="inlineStr">
        <is>
          <t>WHERE THE EVIDENCE GOES
▸  Psychological report
▸  Appendix 5 entry tagged 1. Assessment
▸  Appendix 7 if observed
▸  Table 3 — Adolescent
▸  Log sheet — tag the referral area and the competency</t>
        </is>
      </c>
      <c r="V103" s="207" t="inlineStr">
        <is>
          <t>CITATIONS
▸  American Psychiatric Association (2022). DSM-5-TR — Specific Learning Disorder.
▸  Snowling, M. J., &amp; Hulme, C. (2011). Evidence-based interventions for reading and language difficulties. British Journal of Educational Psychology, 81(1), 1–23.
▸  Pennington, B. F. (2006). From single to multiple deficit models of developmental disorders. Cognition, 101(2), 385–413.
▸  Ehri, L. C. (2005). Learning to read words: Theory, findings, and issues. Scientific Studies of Reading, 9(2), 167–188.
▸  Snowling, M. J., &amp; Hulme, C. (2012). Annual research review: The nature and classification of reading disorders. JCPP, 53(5), 593–607.
▸  EEF Teaching and Learning Toolkit — phonics strand.</t>
        </is>
      </c>
    </row>
    <row r="104" ht="169.5" customHeight="1" s="128">
      <c r="A104" s="208" t="inlineStr">
        <is>
          <t>CO-OCCURRING</t>
        </is>
      </c>
      <c r="B104" s="208" t="inlineStr">
        <is>
          <t>1. Assessment</t>
        </is>
      </c>
      <c r="C104" s="171" t="inlineStr">
        <is>
          <t>Adolescent (13–16 years)</t>
        </is>
      </c>
      <c r="D104" s="208" t="inlineStr">
        <is>
          <t>CO-OCCURS WITH DYSLEXIA</t>
        </is>
      </c>
      <c r="E104" s="209" t="inlineStr">
        <is>
          <t>ADHD</t>
        </is>
      </c>
      <c r="F104" s="208" t="inlineStr">
        <is>
          <t>see its own entry</t>
        </is>
      </c>
      <c r="G104" s="208" t="inlineStr">
        <is>
          <t>YES — assess separately</t>
        </is>
      </c>
      <c r="H104" s="171" t="inlineStr">
        <is>
          <t>WHERE THIS SITS
▸  Sits under 1. Assessment, alongside Dyslexia.
▸  NEPS category: 1. LEARNING (1.4 Literacy)</t>
        </is>
      </c>
      <c r="I104" s="171" t="inlineStr">
        <is>
          <t>HOW OFTEN IT CO-OCCURS
▸  co-occurs in roughly 30–50% of cases in both directions.</t>
        </is>
      </c>
      <c r="J104" s="171" t="inlineStr">
        <is>
          <t>HOW IT PRESENTS WHEN IT CO-OCCURS
▸  reading difficulty plus inattention, where each worsens the other. Pennington's multiple-deficit model (2006) explains why this is expected rather than coincidental.</t>
        </is>
      </c>
      <c r="K104" s="171" t="inlineStr">
        <is>
          <t>THE RISK
▸  Do not assume the primary diagnosis explains this.
▸  Write down before you start what the primary diagnosis does NOT explain, then assess that.
▸  Diagnostic overshadowing is the single most common error in co-occurring presentations.</t>
        </is>
      </c>
      <c r="L104" s="171" t="inlineStr">
        <is>
          <t>—</t>
        </is>
      </c>
      <c r="M104" s="171" t="inlineStr">
        <is>
          <t>—</t>
        </is>
      </c>
      <c r="N104" s="171" t="inlineStr">
        <is>
          <t>—</t>
        </is>
      </c>
      <c r="O104" s="171" t="inlineStr">
        <is>
          <t>ASSESS
▸  Assess this separately, with its own measures.
▸  Build the case for each condition independently rather than letting evidence for one carry the other.</t>
        </is>
      </c>
      <c r="P104" s="171" t="inlineStr">
        <is>
          <t>DO
▸  State in the report what would be needed to establish this second presentation.
▸  That is often a referral rather than a conclusion you can reach yourself.</t>
        </is>
      </c>
      <c r="Q104" s="171" t="inlineStr">
        <is>
          <t>—</t>
        </is>
      </c>
      <c r="R104" s="171" t="inlineStr">
        <is>
          <t>—</t>
        </is>
      </c>
      <c r="S104" s="171" t="inlineStr">
        <is>
          <t>YOUR PRACTICE
▸  Bring it to supervision: for each child on my caseload with this diagnosis, what has NOT been assessed because the diagnosis was already there?</t>
        </is>
      </c>
      <c r="T104" s="171" t="inlineStr">
        <is>
          <t>WHAT TO DO NEXT
▸  Assess separately, then refer if the threshold is met.</t>
        </is>
      </c>
      <c r="U104" s="171" t="inlineStr">
        <is>
          <t>WHERE THE EVIDENCE GOES
▸  Psychological report — state the co-occurrence and what it changes.</t>
        </is>
      </c>
      <c r="V104" s="171" t="inlineStr">
        <is>
          <t>—</t>
        </is>
      </c>
    </row>
    <row r="105" ht="169.5" customHeight="1" s="128">
      <c r="A105" s="208" t="inlineStr">
        <is>
          <t>CO-OCCURRING</t>
        </is>
      </c>
      <c r="B105" s="208" t="inlineStr">
        <is>
          <t>1. Assessment</t>
        </is>
      </c>
      <c r="C105" s="171" t="inlineStr">
        <is>
          <t>Adolescent (13–16 years)</t>
        </is>
      </c>
      <c r="D105" s="208" t="inlineStr">
        <is>
          <t>CO-OCCURS WITH DYSLEXIA</t>
        </is>
      </c>
      <c r="E105" s="209" t="inlineStr">
        <is>
          <t>DLD / LANGUAGE DISORDER</t>
        </is>
      </c>
      <c r="F105" s="208" t="inlineStr">
        <is>
          <t>see its own entry</t>
        </is>
      </c>
      <c r="G105" s="208" t="inlineStr">
        <is>
          <t>YES — assess separately</t>
        </is>
      </c>
      <c r="H105" s="171" t="inlineStr">
        <is>
          <t>WHERE THIS SITS
▸  Sits under 1. Assessment, alongside Dyslexia.
▸  NEPS category: 1. LEARNING (1.4 Literacy)</t>
        </is>
      </c>
      <c r="I105" s="171" t="inlineStr">
        <is>
          <t>HOW OFTEN IT CO-OCCURS
▸  strongly associated.</t>
        </is>
      </c>
      <c r="J105" s="171" t="inlineStr">
        <is>
          <t>HOW IT PRESENTS WHEN IT CO-OCCURS
▸  decoding difficulty PLUS comprehension difficulty. A child who decodes accurately and still cannot answer questions has a language problem, not a decoding one.</t>
        </is>
      </c>
      <c r="K105" s="171" t="inlineStr">
        <is>
          <t>THE RISK
▸  Do not assume the primary diagnosis explains this.
▸  Write down before you start what the primary diagnosis does NOT explain, then assess that.
▸  Diagnostic overshadowing is the single most common error in co-occurring presentations.</t>
        </is>
      </c>
      <c r="L105" s="171" t="inlineStr">
        <is>
          <t>—</t>
        </is>
      </c>
      <c r="M105" s="171" t="inlineStr">
        <is>
          <t>—</t>
        </is>
      </c>
      <c r="N105" s="171" t="inlineStr">
        <is>
          <t>—</t>
        </is>
      </c>
      <c r="O105" s="171" t="inlineStr">
        <is>
          <t>ASSESS
▸  Assess this separately, with its own measures.
▸  Build the case for each condition independently rather than letting evidence for one carry the other.</t>
        </is>
      </c>
      <c r="P105" s="171" t="inlineStr">
        <is>
          <t>DO
▸  State in the report what would be needed to establish this second presentation.
▸  That is often a referral rather than a conclusion you can reach yourself.</t>
        </is>
      </c>
      <c r="Q105" s="171" t="inlineStr">
        <is>
          <t>—</t>
        </is>
      </c>
      <c r="R105" s="171" t="inlineStr">
        <is>
          <t>—</t>
        </is>
      </c>
      <c r="S105" s="171" t="inlineStr">
        <is>
          <t>YOUR PRACTICE
▸  Bring it to supervision: for each child on my caseload with this diagnosis, what has NOT been assessed because the diagnosis was already there?</t>
        </is>
      </c>
      <c r="T105" s="171" t="inlineStr">
        <is>
          <t>WHAT TO DO NEXT
▸  Assess separately, then refer if the threshold is met.</t>
        </is>
      </c>
      <c r="U105" s="171" t="inlineStr">
        <is>
          <t>WHERE THE EVIDENCE GOES
▸  Psychological report — state the co-occurrence and what it changes.</t>
        </is>
      </c>
      <c r="V105" s="171" t="inlineStr">
        <is>
          <t>—</t>
        </is>
      </c>
    </row>
    <row r="106" ht="169.5" customHeight="1" s="128">
      <c r="A106" s="208" t="inlineStr">
        <is>
          <t>CO-OCCURRING</t>
        </is>
      </c>
      <c r="B106" s="208" t="inlineStr">
        <is>
          <t>1. Assessment</t>
        </is>
      </c>
      <c r="C106" s="171" t="inlineStr">
        <is>
          <t>Adolescent (13–16 years)</t>
        </is>
      </c>
      <c r="D106" s="208" t="inlineStr">
        <is>
          <t>CO-OCCURS WITH DYSLEXIA</t>
        </is>
      </c>
      <c r="E106" s="209" t="inlineStr">
        <is>
          <t>DCD</t>
        </is>
      </c>
      <c r="F106" s="208" t="inlineStr">
        <is>
          <t>see its own entry</t>
        </is>
      </c>
      <c r="G106" s="208" t="inlineStr">
        <is>
          <t>YES — assess separately</t>
        </is>
      </c>
      <c r="H106" s="171" t="inlineStr">
        <is>
          <t>WHERE THIS SITS
▸  Sits under 1. Assessment, alongside Dyslexia.
▸  NEPS category: 1. LEARNING (1.4 Literacy)</t>
        </is>
      </c>
      <c r="I106" s="171" t="inlineStr">
        <is>
          <t>HOW OFTEN IT CO-OCCURS
▸  elevated.</t>
        </is>
      </c>
      <c r="J106" s="171" t="inlineStr">
        <is>
          <t>HOW IT PRESENTS WHEN IT CO-OCCURS
▸  slow, effortful handwriting on top of spelling difficulty, compounding written output problems.</t>
        </is>
      </c>
      <c r="K106" s="171" t="inlineStr">
        <is>
          <t>THE RISK
▸  Do not assume the primary diagnosis explains this.
▸  Write down before you start what the primary diagnosis does NOT explain, then assess that.
▸  Diagnostic overshadowing is the single most common error in co-occurring presentations.</t>
        </is>
      </c>
      <c r="L106" s="171" t="inlineStr">
        <is>
          <t>—</t>
        </is>
      </c>
      <c r="M106" s="171" t="inlineStr">
        <is>
          <t>—</t>
        </is>
      </c>
      <c r="N106" s="171" t="inlineStr">
        <is>
          <t>—</t>
        </is>
      </c>
      <c r="O106" s="171" t="inlineStr">
        <is>
          <t>ASSESS
▸  Assess this separately, with its own measures.
▸  Build the case for each condition independently rather than letting evidence for one carry the other.</t>
        </is>
      </c>
      <c r="P106" s="171" t="inlineStr">
        <is>
          <t>DO
▸  State in the report what would be needed to establish this second presentation.
▸  That is often a referral rather than a conclusion you can reach yourself.</t>
        </is>
      </c>
      <c r="Q106" s="171" t="inlineStr">
        <is>
          <t>—</t>
        </is>
      </c>
      <c r="R106" s="171" t="inlineStr">
        <is>
          <t>—</t>
        </is>
      </c>
      <c r="S106" s="171" t="inlineStr">
        <is>
          <t>YOUR PRACTICE
▸  Bring it to supervision: for each child on my caseload with this diagnosis, what has NOT been assessed because the diagnosis was already there?</t>
        </is>
      </c>
      <c r="T106" s="171" t="inlineStr">
        <is>
          <t>WHAT TO DO NEXT
▸  Assess separately, then refer if the threshold is met.</t>
        </is>
      </c>
      <c r="U106" s="171" t="inlineStr">
        <is>
          <t>WHERE THE EVIDENCE GOES
▸  Psychological report — state the co-occurrence and what it changes.</t>
        </is>
      </c>
      <c r="V106" s="171" t="inlineStr">
        <is>
          <t>—</t>
        </is>
      </c>
    </row>
    <row r="107" ht="169.5" customHeight="1" s="128">
      <c r="A107" s="208" t="inlineStr">
        <is>
          <t>CO-OCCURRING</t>
        </is>
      </c>
      <c r="B107" s="208" t="inlineStr">
        <is>
          <t>1. Assessment</t>
        </is>
      </c>
      <c r="C107" s="171" t="inlineStr">
        <is>
          <t>Adolescent (13–16 years)</t>
        </is>
      </c>
      <c r="D107" s="208" t="inlineStr">
        <is>
          <t>CO-OCCURS WITH DYSLEXIA</t>
        </is>
      </c>
      <c r="E107" s="209" t="inlineStr">
        <is>
          <t>DYSCALCULIA</t>
        </is>
      </c>
      <c r="F107" s="208" t="inlineStr">
        <is>
          <t>see its own entry</t>
        </is>
      </c>
      <c r="G107" s="208" t="inlineStr">
        <is>
          <t>YES — assess separately</t>
        </is>
      </c>
      <c r="H107" s="171" t="inlineStr">
        <is>
          <t>WHERE THIS SITS
▸  Sits under 1. Assessment, alongside Dyslexia.
▸  NEPS category: 1. LEARNING (1.4 Literacy)</t>
        </is>
      </c>
      <c r="I107" s="171" t="inlineStr">
        <is>
          <t>HOW OFTEN IT CO-OCCURS
▸  co-occurs, though less studied.</t>
        </is>
      </c>
      <c r="J107" s="171" t="inlineStr">
        <is>
          <t>HOW IT PRESENTS WHEN IT CO-OCCURS
▸  word-problem failure that may be either reading or number sense; test them apart.</t>
        </is>
      </c>
      <c r="K107" s="171" t="inlineStr">
        <is>
          <t>THE RISK
▸  Do not assume the primary diagnosis explains this.
▸  Write down before you start what the primary diagnosis does NOT explain, then assess that.
▸  Diagnostic overshadowing is the single most common error in co-occurring presentations.</t>
        </is>
      </c>
      <c r="L107" s="171" t="inlineStr">
        <is>
          <t>—</t>
        </is>
      </c>
      <c r="M107" s="171" t="inlineStr">
        <is>
          <t>—</t>
        </is>
      </c>
      <c r="N107" s="171" t="inlineStr">
        <is>
          <t>—</t>
        </is>
      </c>
      <c r="O107" s="171" t="inlineStr">
        <is>
          <t>ASSESS
▸  Assess this separately, with its own measures.
▸  Build the case for each condition independently rather than letting evidence for one carry the other.</t>
        </is>
      </c>
      <c r="P107" s="171" t="inlineStr">
        <is>
          <t>DO
▸  State in the report what would be needed to establish this second presentation.
▸  That is often a referral rather than a conclusion you can reach yourself.</t>
        </is>
      </c>
      <c r="Q107" s="171" t="inlineStr">
        <is>
          <t>—</t>
        </is>
      </c>
      <c r="R107" s="171" t="inlineStr">
        <is>
          <t>—</t>
        </is>
      </c>
      <c r="S107" s="171" t="inlineStr">
        <is>
          <t>YOUR PRACTICE
▸  Bring it to supervision: for each child on my caseload with this diagnosis, what has NOT been assessed because the diagnosis was already there?</t>
        </is>
      </c>
      <c r="T107" s="171" t="inlineStr">
        <is>
          <t>WHAT TO DO NEXT
▸  Assess separately, then refer if the threshold is met.</t>
        </is>
      </c>
      <c r="U107" s="171" t="inlineStr">
        <is>
          <t>WHERE THE EVIDENCE GOES
▸  Psychological report — state the co-occurrence and what it changes.</t>
        </is>
      </c>
      <c r="V107" s="171" t="inlineStr">
        <is>
          <t>—</t>
        </is>
      </c>
    </row>
    <row r="108" ht="169.5" customHeight="1" s="128">
      <c r="A108" s="208" t="inlineStr">
        <is>
          <t>CO-OCCURRING</t>
        </is>
      </c>
      <c r="B108" s="208" t="inlineStr">
        <is>
          <t>1. Assessment</t>
        </is>
      </c>
      <c r="C108" s="171" t="inlineStr">
        <is>
          <t>Adolescent (13–16 years)</t>
        </is>
      </c>
      <c r="D108" s="208" t="inlineStr">
        <is>
          <t>CO-OCCURS WITH DYSLEXIA</t>
        </is>
      </c>
      <c r="E108" s="209" t="inlineStr">
        <is>
          <t>ANXIETY</t>
        </is>
      </c>
      <c r="F108" s="208" t="inlineStr">
        <is>
          <t>see its own entry</t>
        </is>
      </c>
      <c r="G108" s="208" t="inlineStr">
        <is>
          <t>YES — assess separately</t>
        </is>
      </c>
      <c r="H108" s="171" t="inlineStr">
        <is>
          <t>WHERE THIS SITS
▸  Sits under 1. Assessment, alongside Dyslexia.
▸  NEPS category: 1. LEARNING (1.4 Literacy)</t>
        </is>
      </c>
      <c r="I108" s="171" t="inlineStr">
        <is>
          <t>HOW OFTEN IT CO-OCCURS
▸  very common and usually SECONDARY.</t>
        </is>
      </c>
      <c r="J108" s="171" t="inlineStr">
        <is>
          <t>HOW IT PRESENTS WHEN IT CO-OCCURS
▸  avoidance of reading aloud, school reluctance, somatic complaints before literacy lessons. Treat the reading and much of it resolves.</t>
        </is>
      </c>
      <c r="K108" s="171" t="inlineStr">
        <is>
          <t>THE RISK
▸  Do not assume the primary diagnosis explains this.
▸  Write down before you start what the primary diagnosis does NOT explain, then assess that.
▸  Diagnostic overshadowing is the single most common error in co-occurring presentations.</t>
        </is>
      </c>
      <c r="L108" s="171" t="inlineStr">
        <is>
          <t>—</t>
        </is>
      </c>
      <c r="M108" s="171" t="inlineStr">
        <is>
          <t>—</t>
        </is>
      </c>
      <c r="N108" s="171" t="inlineStr">
        <is>
          <t>—</t>
        </is>
      </c>
      <c r="O108" s="171" t="inlineStr">
        <is>
          <t>ASSESS
▸  Assess this separately, with its own measures.
▸  Build the case for each condition independently rather than letting evidence for one carry the other.</t>
        </is>
      </c>
      <c r="P108" s="171" t="inlineStr">
        <is>
          <t>DO
▸  State in the report what would be needed to establish this second presentation.
▸  That is often a referral rather than a conclusion you can reach yourself.</t>
        </is>
      </c>
      <c r="Q108" s="171" t="inlineStr">
        <is>
          <t>—</t>
        </is>
      </c>
      <c r="R108" s="171" t="inlineStr">
        <is>
          <t>—</t>
        </is>
      </c>
      <c r="S108" s="171" t="inlineStr">
        <is>
          <t>YOUR PRACTICE
▸  Bring it to supervision: for each child on my caseload with this diagnosis, what has NOT been assessed because the diagnosis was already there?</t>
        </is>
      </c>
      <c r="T108" s="171" t="inlineStr">
        <is>
          <t>WHAT TO DO NEXT
▸  Assess separately, then refer if the threshold is met.</t>
        </is>
      </c>
      <c r="U108" s="171" t="inlineStr">
        <is>
          <t>WHERE THE EVIDENCE GOES
▸  Psychological report — state the co-occurrence and what it changes.</t>
        </is>
      </c>
      <c r="V108" s="171" t="inlineStr">
        <is>
          <t>—</t>
        </is>
      </c>
    </row>
    <row r="109" ht="169.5" customHeight="1" s="128">
      <c r="A109" s="208" t="inlineStr">
        <is>
          <t>CO-OCCURRING</t>
        </is>
      </c>
      <c r="B109" s="208" t="inlineStr">
        <is>
          <t>1. Assessment</t>
        </is>
      </c>
      <c r="C109" s="171" t="inlineStr">
        <is>
          <t>Adolescent (13–16 years)</t>
        </is>
      </c>
      <c r="D109" s="208" t="inlineStr">
        <is>
          <t>CO-OCCURS WITH DYSLEXIA</t>
        </is>
      </c>
      <c r="E109" s="209" t="inlineStr">
        <is>
          <t>LOW SELF-CONCEPT</t>
        </is>
      </c>
      <c r="F109" s="208" t="inlineStr">
        <is>
          <t>see its own entry</t>
        </is>
      </c>
      <c r="G109" s="208" t="inlineStr">
        <is>
          <t>YES — assess separately</t>
        </is>
      </c>
      <c r="H109" s="171" t="inlineStr">
        <is>
          <t>WHERE THIS SITS
▸  Sits under 1. Assessment, alongside Dyslexia.
▸  NEPS category: 1. LEARNING (1.4 Literacy)</t>
        </is>
      </c>
      <c r="I109" s="171" t="inlineStr">
        <is>
          <t>HOW OFTEN IT CO-OCCURS
▸  Rate not stated in source — check before quoting.</t>
        </is>
      </c>
      <c r="J109" s="171" t="inlineStr">
        <is>
          <t>HOW IT PRESENTS WHEN IT CO-OCCURS
▸  almost universal where identification has been late. Academic self-concept drops before global self-esteem does.</t>
        </is>
      </c>
      <c r="K109" s="171" t="inlineStr">
        <is>
          <t>THE RISK
▸  Do not assume the primary diagnosis explains this.
▸  Write down before you start what the primary diagnosis does NOT explain, then assess that.
▸  Diagnostic overshadowing is the single most common error in co-occurring presentations.</t>
        </is>
      </c>
      <c r="L109" s="171" t="inlineStr">
        <is>
          <t>—</t>
        </is>
      </c>
      <c r="M109" s="171" t="inlineStr">
        <is>
          <t>—</t>
        </is>
      </c>
      <c r="N109" s="171" t="inlineStr">
        <is>
          <t>—</t>
        </is>
      </c>
      <c r="O109" s="171" t="inlineStr">
        <is>
          <t>ASSESS
▸  Assess this separately, with its own measures.
▸  Build the case for each condition independently rather than letting evidence for one carry the other.</t>
        </is>
      </c>
      <c r="P109" s="171" t="inlineStr">
        <is>
          <t>DO
▸  State in the report what would be needed to establish this second presentation.
▸  That is often a referral rather than a conclusion you can reach yourself.</t>
        </is>
      </c>
      <c r="Q109" s="171" t="inlineStr">
        <is>
          <t>—</t>
        </is>
      </c>
      <c r="R109" s="171" t="inlineStr">
        <is>
          <t>—</t>
        </is>
      </c>
      <c r="S109" s="171" t="inlineStr">
        <is>
          <t>YOUR PRACTICE
▸  Bring it to supervision: for each child on my caseload with this diagnosis, what has NOT been assessed because the diagnosis was already there?</t>
        </is>
      </c>
      <c r="T109" s="171" t="inlineStr">
        <is>
          <t>WHAT TO DO NEXT
▸  Assess separately, then refer if the threshold is met.</t>
        </is>
      </c>
      <c r="U109" s="171" t="inlineStr">
        <is>
          <t>WHERE THE EVIDENCE GOES
▸  Psychological report — state the co-occurrence and what it changes.</t>
        </is>
      </c>
      <c r="V109" s="171" t="inlineStr">
        <is>
          <t>—</t>
        </is>
      </c>
    </row>
    <row r="110" ht="169.5" customHeight="1" s="128">
      <c r="A110" s="208" t="inlineStr">
        <is>
          <t>CO-OCCURRING</t>
        </is>
      </c>
      <c r="B110" s="208" t="inlineStr">
        <is>
          <t>1. Assessment</t>
        </is>
      </c>
      <c r="C110" s="171" t="inlineStr">
        <is>
          <t>Adolescent (13–16 years)</t>
        </is>
      </c>
      <c r="D110" s="208" t="inlineStr">
        <is>
          <t>CO-OCCURS WITH DYSLEXIA</t>
        </is>
      </c>
      <c r="E110" s="209" t="inlineStr">
        <is>
          <t>GLUE EAR HISTORY</t>
        </is>
      </c>
      <c r="F110" s="208" t="inlineStr">
        <is>
          <t>see its own entry</t>
        </is>
      </c>
      <c r="G110" s="208" t="inlineStr">
        <is>
          <t>YES — assess separately</t>
        </is>
      </c>
      <c r="H110" s="171" t="inlineStr">
        <is>
          <t>WHERE THIS SITS
▸  Sits under 1. Assessment, alongside Dyslexia.
▸  NEPS category: 1. LEARNING (1.4 Literacy)</t>
        </is>
      </c>
      <c r="I110" s="171" t="inlineStr">
        <is>
          <t>HOW OFTEN IT CO-OCCURS
▸  Rate not stated in source — check before quoting.</t>
        </is>
      </c>
      <c r="J110" s="171" t="inlineStr">
        <is>
          <t>HOW IT PRESENTS WHEN IT CO-OCCURS
▸  not a co-occurring condition but a competing explanation. Always ask about the infant years.</t>
        </is>
      </c>
      <c r="K110" s="171" t="inlineStr">
        <is>
          <t>THE RISK
▸  Do not assume the primary diagnosis explains this.
▸  Write down before you start what the primary diagnosis does NOT explain, then assess that.
▸  Diagnostic overshadowing is the single most common error in co-occurring presentations.</t>
        </is>
      </c>
      <c r="L110" s="171" t="inlineStr">
        <is>
          <t>—</t>
        </is>
      </c>
      <c r="M110" s="171" t="inlineStr">
        <is>
          <t>—</t>
        </is>
      </c>
      <c r="N110" s="171" t="inlineStr">
        <is>
          <t>—</t>
        </is>
      </c>
      <c r="O110" s="171" t="inlineStr">
        <is>
          <t>ASSESS
▸  Assess this separately, with its own measures.
▸  Build the case for each condition independently rather than letting evidence for one carry the other.</t>
        </is>
      </c>
      <c r="P110" s="171" t="inlineStr">
        <is>
          <t>DO
▸  State in the report what would be needed to establish this second presentation.
▸  That is often a referral rather than a conclusion you can reach yourself.</t>
        </is>
      </c>
      <c r="Q110" s="171" t="inlineStr">
        <is>
          <t>—</t>
        </is>
      </c>
      <c r="R110" s="171" t="inlineStr">
        <is>
          <t>—</t>
        </is>
      </c>
      <c r="S110" s="171" t="inlineStr">
        <is>
          <t>YOUR PRACTICE
▸  Bring it to supervision: for each child on my caseload with this diagnosis, what has NOT been assessed because the diagnosis was already there?</t>
        </is>
      </c>
      <c r="T110" s="171" t="inlineStr">
        <is>
          <t>WHAT TO DO NEXT
▸  Assess separately, then refer if the threshold is met.</t>
        </is>
      </c>
      <c r="U110" s="171" t="inlineStr">
        <is>
          <t>WHERE THE EVIDENCE GOES
▸  Psychological report — state the co-occurrence and what it changes.</t>
        </is>
      </c>
      <c r="V110" s="171" t="inlineStr">
        <is>
          <t>—</t>
        </is>
      </c>
    </row>
    <row r="111" ht="408.75" customHeight="1" s="128">
      <c r="A111" s="210" t="inlineStr">
        <is>
          <t>PRESENTATION</t>
        </is>
      </c>
      <c r="B111" s="210" t="inlineStr">
        <is>
          <t>1. Assessment</t>
        </is>
      </c>
      <c r="C111" s="170" t="inlineStr">
        <is>
          <t>Adolescent (13–16 years)</t>
        </is>
      </c>
      <c r="D111" s="210" t="inlineStr">
        <is>
          <t>SYMPTOM-ONLY</t>
        </is>
      </c>
      <c r="E111" s="211" t="inlineStr">
        <is>
          <t>Presentations related to Dyslexia — no diagnosis</t>
        </is>
      </c>
      <c r="F111" s="210" t="inlineStr">
        <is>
          <t>No DSM code</t>
        </is>
      </c>
      <c r="G111" s="210" t="inlineStr">
        <is>
          <t>YES — these present at every band</t>
        </is>
      </c>
      <c r="H111" s="170" t="inlineStr">
        <is>
          <t>WHERE THIS SITS
▸  NEPS category: as above
▸  UCD competency: 1. Assessment
▸  CORU: 3.1 · 3.2 · 5.28 · 5.29 · 5.30 · 5.31 · 5.32
▸  PSI: 2.2.2 · 2.3.1 · 1.3.1 · 1.2.8</t>
        </is>
      </c>
      <c r="I111" s="170" t="inlineStr">
        <is>
          <t>THE PRESENTATIONS — no diagnosis needed, and most referrals look like this
▸  Literacy difficulty not meeting SLD criteria
▸  Reading stamina and avoidance of reading aloud
▸  Spelling as a barrier to written output
▸  Assistive technology not yet trialled
▸  Instruction history — what has actually been taught
▸  Glue ear history during the years phonics was taught</t>
        </is>
      </c>
      <c r="J111" s="170" t="inlineStr">
        <is>
          <t>HOW COMMON
▸  No prevalence figures exist for these — they are descriptions, not categories.
▸  They are more common than the diagnosis they sit beside.</t>
        </is>
      </c>
      <c r="K111" s="170" t="inlineStr">
        <is>
          <t>THE PATHWAY
▸  No diagnostic pathway. Nobody diagnoses these.
▸  You describe them, formulate around them, and recommend. That is the whole pathway.
▸  If a parent asks who diagnoses it: nobody. Say that plainly, and say it does not make the difficulty less real or less workable.</t>
        </is>
      </c>
      <c r="L111" s="170" t="inlineStr">
        <is>
          <t>WHAT YOU SEE
▸  These are what the referral form actually describes in Section 5.
▸  Look for the pattern across settings rather than a threshold.</t>
        </is>
      </c>
      <c r="M111" s="170" t="inlineStr">
        <is>
          <t>RED FLAGS
▸  Escalating distress, withdrawal or risk indicators — follow the protocol regardless of whether a diagnosis exists.
▸  Do not let the absence of a diagnosis delay a safeguarding response.</t>
        </is>
      </c>
      <c r="N111" s="170" t="inlineStr">
        <is>
          <t>WHAT ELSE COULD IT BE
▸  Each of these can be the visible edge of the diagnosed condition above.
▸  Each can also occur entirely on its own.
▸  Test the sequence: which came first?</t>
        </is>
      </c>
      <c r="O111" s="170" t="inlineStr">
        <is>
          <t>ASSESS
▸  Observation with a comparison peer.
▸  Teacher and parent interview.
▸  Pupil interview — their account is the evidence here.
▸  Rating scales describe perception, not the presentation itself.</t>
        </is>
      </c>
      <c r="P111" s="170" t="inlineStr">
        <is>
          <t>DO
▸  Name the presentation precisely rather than reaching for a label.
▸  Recommend at the level of the behaviour, not the hypothetical diagnosis.
▸  Specify what, who, how often, for how long, and how it will be measured.
▸  Name the Continuum of Support level.</t>
        </is>
      </c>
      <c r="Q111" s="170" t="inlineStr">
        <is>
          <t>EXPLAIN
▸  To a parent: “There isn’t a diagnosis for this, and it’s still real and still workable. Here’s what we do.”
▸  To a teacher: describe the behaviour in countable terms, not in trait terms.
▸  To the child: ask what helps, and use their words in the report.</t>
        </is>
      </c>
      <c r="R111" s="170" t="inlineStr">
        <is>
          <t>CHILD’S VOICE AND QUESTIONS
▸  Talking Mats · Blob Tree · scaling on a drawn ladder · sentence completion · day mapping.
▸  Q: “So there’s nothing wrong with him?” A: “There’s a real difficulty and it doesn’t have a label. Labels help get resources; they don’t make a difficulty more or less real.”
▸  Q: “Should we get him assessed privately?” A: give the honest position on what a diagnosis would and would not change here.</t>
        </is>
      </c>
      <c r="S111" s="170" t="inlineStr">
        <is>
          <t>YOUR PRACTICE
▸  Bring a case where you were pulled toward a label the data did not support.
▸  Reflect: did I describe, or did I reach? Whose language did I use?</t>
        </is>
      </c>
      <c r="T111" s="170" t="inlineStr">
        <is>
          <t>WHAT TO DO NEXT
▸  Proceed to formulation. These belong at the behavioural level of the Interactive Factors Framework.
▸  Test whether an unmet learning need is underneath before concluding anything.</t>
        </is>
      </c>
      <c r="U111" s="170" t="inlineStr">
        <is>
          <t>WHERE THE EVIDENCE GOES
▸  Psychological report
▸  Appendix 5 entry
▸  Log sheet</t>
        </is>
      </c>
      <c r="V111" s="170" t="inlineStr">
        <is>
          <t>CITATIONS
▸  Frederickson &amp; Cline (2009)
▸  Monsen &amp; Frederickson (2008)
▸  NEPS Continuum of Support</t>
        </is>
      </c>
    </row>
    <row r="112" ht="19.5" customHeight="1" s="128">
      <c r="A112" s="147" t="inlineStr">
        <is>
          <t>AGE BAND</t>
        </is>
      </c>
      <c r="B112" s="147" t="inlineStr">
        <is>
          <t>1. Assessment</t>
        </is>
      </c>
      <c r="C112" s="147" t="inlineStr">
        <is>
          <t>Young Adult (17–26 years)</t>
        </is>
      </c>
      <c r="D112" s="147" t="n"/>
      <c r="E112" s="147" t="inlineStr">
        <is>
          <t>Everything below is this age</t>
        </is>
      </c>
      <c r="F112" s="147" t="n"/>
      <c r="G112" s="147" t="n"/>
      <c r="H112" s="147" t="n"/>
      <c r="I112" s="147" t="n"/>
      <c r="J112" s="147" t="n"/>
      <c r="K112" s="147" t="n"/>
      <c r="L112" s="147" t="n"/>
      <c r="M112" s="147" t="n"/>
      <c r="N112" s="147" t="n"/>
      <c r="O112" s="147" t="n"/>
      <c r="P112" s="147" t="n"/>
      <c r="Q112" s="147" t="n"/>
      <c r="R112" s="147" t="n"/>
      <c r="S112" s="147" t="n"/>
      <c r="T112" s="147" t="n"/>
      <c r="U112" s="147" t="n"/>
      <c r="V112" s="147" t="n"/>
    </row>
    <row r="113" ht="408.75" customHeight="1" s="128">
      <c r="A113" s="205" t="inlineStr">
        <is>
          <t>CONDITION</t>
        </is>
      </c>
      <c r="B113" s="205" t="inlineStr">
        <is>
          <t>1. Assessment</t>
        </is>
      </c>
      <c r="C113" s="206" t="inlineStr">
        <is>
          <t>Young Adult (17–26 years)</t>
        </is>
      </c>
      <c r="D113" s="205" t="inlineStr">
        <is>
          <t>DIAGNOSED</t>
        </is>
      </c>
      <c r="E113" s="206" t="inlineStr">
        <is>
          <t>Autism</t>
        </is>
      </c>
      <c r="F113" s="205" t="inlineStr">
        <is>
          <t>DSM-5-TR Autism Spectrum Disorder · ICD-11 6A02</t>
        </is>
      </c>
      <c r="G113" s="205" t="inlineStr">
        <is>
          <t>YES — adult services</t>
        </is>
      </c>
      <c r="H113" s="207" t="inlineStr">
        <is>
          <t>WHERE THIS SITS
▸  NEPS referral form category: 4. SOCIAL — and 1. LEARNING where language or cognition is implicated
▸  UCD competency: 1. Assessment
▸  CORU: 3.1 · 3.2 · 5.28 · 5.29 · 5.30 · 5.31 · 5.32
▸  PSI: 2.2.2 · 2.3.1 · 1.3.1 · 1.2.8
▸  Law and policy: Children First Act 2015 · EPSEN Act 2004 · Equal Status Acts 2000–2018 · GDPR</t>
        </is>
      </c>
      <c r="I113" s="207" t="inlineStr">
        <is>
          <t>WHAT IT IS, AND WHAT IT IS NOT
▸  A NEURODEVELOPMENTAL DIFFERENCE present from early development, defined by two domains: (a) persistent differences in social communication and social interaction, and (b) restricted, repetitive patterns of behaviour, interests or activities — which includes sensory differences (American Psychiatric Association, 2022, DSM-5-TR).
▸  DSM-5-TR specifies three support levels — requiring support, requiring substantial support, requiring very substantial support — rated separately for each of the two domains. A person can be level 1 for one and level 3 for the other.
▸  It is lifelong. It is not an illness, and it is not something a person recovers from or grows out of.
▸  Prevalence is commonly cited around 1 in 100 internationally, with higher rates in more recent screening studies. In Ireland, NCSE and Department of Education figures are the relevant local source.
▸  IMPORTANT FOR PRACTICE: it is DIMENSIONAL, not categorical in nature — autistic traits are distributed continuously in the population and the diagnostic line is a clinical judgement about impairment, not a biological boundary.
▸  NOT a result of parenting. The 'refrigerator mother' theory (Bettelheim, 1967) was wrong and caused enormous harm. Say so plainly if a parent raises it.
▸  NOT caused by vaccines. Wakefield et al. (1998) was retracted by The Lancet in 2010 and Wakefield was struck off. Taylor, Swerdfeger &amp; Eslick (2014) meta-analysed over 1.2 million children and found no association.
▸  NOT the same as intellectual disability. They co-occur but are separate. Many autistic people have average or above-average cognitive ability.
▸  NOT usually accompanied by savant skills. Jones &amp; Sasson (2023) found that non-autistic adults frequently believed savant syndrome to be a CORE feature of autism — it is rare, and this belief is a documented misconception.
▸  NOT a lack of empathy. This is one of the most damaging myths. Autistic people frequently report strong emotional empathy; the difference is in reading and signalling, and the 'double empathy problem' (Milton, 2012) shows the mismatch runs BOTH ways — non-autistic people are equally poor at reading autistic people.
▸  NOT more common in boys to the extent historically believed. Girls are under-identified because diagnostic criteria and instruments were developed on male samples and because masking is more common.
▸  NOT something that needs to be 'normalised'. Gillespie-Lynch et al. (2017) found that greater endorsement of the importance of normalising autistic people was associated with HEIGHTENED stigma.</t>
        </is>
      </c>
      <c r="J113" s="207" t="inlineStr">
        <is>
          <t>HOW COMMON AT THIS AGE
▸  OVERALL: commonly cited around 1 in 100 worldwide (Zeidan et al., 2022, meta-analysis of global prevalence). More recent screening-based studies report higher figures.
▸  IRELAND: the 2022 Census recorded autism for the first time. Department of Education and NCSE figures are the relevant local source for school-age numbers — check the current year rather than quoting from memory.
▸  SEX RATIO: historically cited as 4:1 male to female. Loomes, Hill &amp; Mandy (2017) meta-analysed this and concluded the true ratio is closer to 3:1, with the difference explained by diagnostic bias — girls meeting criteria are disproportionately missed.
▸  AT OTHER AGES (for context): USA (CDC ADDM Network, 2023 report, 8-year-olds) · EARLY YEARS 0–5 · SCHOOL AGE 6–12 · ADOLESCENT 13–16 AND ADULTS</t>
        </is>
      </c>
      <c r="K113" s="207" t="inlineStr">
        <is>
          <t>THE PATHWAY AND THE TIMELINE
▸ TYPICAL AGE OF IDENTIFICATION, AND WHY THEN
   Commonly 3–6 in Ireland, though reliable diagnosis from 24 months is achievable. Social communication demands rise sharply at preschool and again at school entry, which is when differences become visible against peers. Girls and verbally able children are frequently identified much later — often adolescence or adulthood — because masking delays recognition rather than delaying onset.
▸ WHO DIAGNOSES IT
   Under 18 in Ireland: the Children's Disability Network Team (CDNT) under Progressing Disability Services, or CAMHS where mental health complexity dominates. Assessment of Need under the Disability Act 2005 is a separate statutory route with its own timelines. Over 18: adult diagnostic services, with significant regional variation.
▸ WHO COULD HAVE WRITTEN THE REPORT IN FRONT OF YOU
   CDNT multi-disciplinary report (psychologist, SLT, OT). Private psychologist or psychiatrist. CAMHS. An Assessment of Need report. A school's Student Support File is not a diagnostic document — check which you are holding.
▸ WHO YOU REFER TO
   CDNT for diagnostic assessment. SLT where language is implicated. OT for sensory or motor. CAMHS where mental health difficulty is present. AsIAm and Middletown for family and school resources.
▸ 'SHOULD WE HAVE COME SOONER?'
   Answer honestly and without implying fault. Typical: 'Not necessarily. Autism is usually recognised when social demands increase, and for a lot of children that's around school age. In girls especially it often isn't obvious earlier because they compensate so well. What matters now is what we put in place.' Where there has genuinely been a long wait, name it as a service issue: waiting lists, not something the parent missed.</t>
        </is>
      </c>
      <c r="L113" s="207" t="inlineStr">
        <is>
          <t>WHAT YOU SEE AT THIS AGE
▸  AQ-10 screen, adult diagnostic services, DSA evidence. The question shifts to accommodation and self-advocacy.
▸  EARLY YEARS 0–5: differences in joint attention, pointing to share, response to name, pretend play, and reaction to sensory input. Referral to CDNT. ADOS-2 Toddler/Module 1 via the team, SCQ, developmental history. Play observation does much of the work.
▸  SCHOOL AGE 6–12: social differences become more visible as peer relationships get more complex. Yard observation, SRS-2 parent and teacher, SCQ. Watch for anxiety appearing as a secondary presentation.
▸  ADOLESCENT 13–16: masking peaks, and mental health difficulties commonly emerge. SRS-2 including self-report. Under-identification in girls is at its most consequential here. A normal-range screen in a worried teacher's class does not close the question.
▸  YOUNG ADULT 17–26: adult diagnostic services, AQ-10 as a screen, DSA evidence for third level. The question shifts to accommodation and self-advocacy.
▸  SPECIAL SETTING: the question is usually fit and communication support, not identification.</t>
        </is>
      </c>
      <c r="M113" s="207" t="inlineStr">
        <is>
          <t>RED FLAGS AND BOUNDARIES
▸  RED FLAG — regression. Loss of previously acquired language or social skills at any age requires urgent medical referral, not a wait-and-see.
▸  RED FLAG — an autistic young person presenting with low mood, self-harm or suicidal thinking. Autistic people are at substantially elevated risk. Follow the risk protocol; do not attribute distress to autism and stop there.
▸  RED FLAG — an autistic child with a sudden behaviour change. Consider pain, illness, sensory change, or something that has happened. Communication difficulty means distress may present behaviourally.
▸  BOUNDARY — you do not diagnose. You describe the profile, say what it is consistent with, and refer. PSI 2.2.2 and 2.2.3.
▸  DIAGNOSTIC OVERSHADOWING — once a child has an autism diagnosis, everything gets attributed to it. Write down before you start what the diagnosis does NOT explain, and assess that.</t>
        </is>
      </c>
      <c r="N113" s="207" t="inlineStr">
        <is>
          <t>WHAT ELSE COULD IT BE, AND WHAT CO-OCCURS
▸  ADHD — co-occurs in roughly 28–44% of autistic people depending on the study. DSM-5 permitted dual diagnosis for the first time in 2013; before that it was prohibited, so older reports may under-record it. PRESENTS AS: attention difficulty that looks like disengagement, but is often sensory overload or processing delay. Assess both.
▸  INTELLECTUAL DISABILITY — around a third of autistic people, though estimates vary widely with sampling. PRESENTS AS: a flatter cognitive profile alongside social communication differences. Assess adaptive functioning separately.
▸  ANXIETY — very high. Meta-analytic estimates around 40% meeting criteria for at least one anxiety disorder (van Steensel et al., 2011). PRESENTS AS: rigidity, refusal, meltdown. Often misread as 'autistic behaviour' rather than treatable anxiety. THIS IS THE MOST COMMONLY MISSED CO-OCCURRENCE.
▸  DLD / LANGUAGE DISORDER — substantial overlap, and the two are hard to separate in young children. PRESENTS AS: apparent social difficulty that is actually comprehension failure.
▸  DCD — elevated. PRESENTS AS: handwriting difficulty and PE avoidance attributed to autism rather than assessed.
▸  EPILEPSY — elevated, particularly where intellectual disability co-occurs. Medical, not yours, but note it and refer.
▸  SLEEP DIFFICULTIES — very common and under-treated. Ask, because a child sleeping five hours will present very differently.
▸  DIAGNOSTIC OVERSHADOWING IS THE RISK THROUGHOUT. Write down before you start what the autism diagnosis does NOT explain, then assess that.</t>
        </is>
      </c>
      <c r="O113" s="207" t="inlineStr">
        <is>
          <t>TOOLS VALID AT THIS BAND
▸  AQ-10 / AQ-50 — AGE 16+
     MEASURES: Self-report autism screen.
     CANNOT TELL YOU: Diagnosis. Refer to adult diagnostic services.
     TIME: 5–15 min
▸  SRS-2 adult form — AGE 19+
     MEASURES: Social communication, informant and self-report.
     CANNOT TELL YOU: Diagnosis.
     TIME: 15–20 min
▸  ABAS-3 adult form — AGE to 89
     MEASURES: Adaptive functioning in adult life.
     CANNOT TELL YOU: Vocational aptitude.
     TIME: 20 min
▸  Vineland-3 adult — AGE to 90
     MEASURES: Adaptive behaviour.
     CANNOT TELL YOU: Cognitive ability.
     TIME: 20–60 min
▸  Adult self-report measures via the service — AGE 17+
     MEASURES: Mood, anxiety, functioning.
     CANNOT TELL YOU: This is usually adult mental health territory. Know the boundary and refer.
     TIME: —
▸  WAIS-IV UK — AGE 16:0–90:11
     MEASURES: Four index scores and FSIQ.
     CANNOT TELL YOU: Functional capacity in a course or workplace — that needs functional assessment too.
     TIME: 60–90 min</t>
        </is>
      </c>
      <c r="P113" s="207" t="inlineStr">
        <is>
          <t>WHAT YOU DO, AND WHAT YOU WRITE
▸  ENVIRONMENT FIRST: predictability (visual timetable, forewarning of change), sensory audit of the room, a designated regulation space the child can access without asking permission.
▸  PROCESSING TIME: instruction, ten-second wait, then repeat in the SAME words. Rephrasing restarts processing. This is free and it is the highest-yield single adjustment.
▸  COMMUNICATION: reduce language load, pair verbal with visual, check comprehension by asking the child to say back rather than asking 'do you understand?'
▸  SOCIAL: structured social opportunity rather than unstructured. A lunchtime club with a shared activity beats 'encourage her to join in'.
▸  MASKING: if the child is compliant at school and dysregulated at home, treat that as a finding. Reduce demand at school rather than increasing it.
▸  ASSESS AND TREAT ANXIETY SEPARATELY. Do not fold it into the autism description.
▸  STAFF: whole-staff input on autism is usually less useful than a one-page profile for this child that everyone reads.
▸  CONTINUUM LEVEL: name it. School Support or School Support Plus depending on intensity and outside involvement.
▸  MEASURE: choose something sensitive — frequency of regulation-space use, participation counts, a brief anxiety measure — with a review date in the report.
▸  REFER: CDNT for diagnostic assessment; SLT where language is implicated; OT where sensory or motor; CAMHS where mental health difficulty is present.</t>
        </is>
      </c>
      <c r="Q113" s="207" t="inlineStr">
        <is>
          <t>EXPLAIN
▸  TO A PARENT
▸  OPEN WITH WHAT THEY ALREADY KNOW: 'What have you been told about autism so far?' Then correct gently rather than lecture.
▸  'Autism is a difference in how the brain develops and processes information. It affects two main things: how a person communicates and connects with others, and how they respond to routine, change and sensory information.'
▸  'It's not caused by anything you did. It's present from early on in development, and we're recognising it now rather than it having started now.'
▸  'It's a spectrum, but not a line from mild to severe. Think of it as a set of different dials — one child might find noise very hard and social situations fine; another the reverse.'
▸  'What it doesn't tell us is how she'll do. Autism doesn't determine intelligence, or whether she'll have friends, or what she'll be able to do as an adult. What predicts those is the support around her and whether people understand her.'
▸  IF THEY ARE UPSET: 'A diagnosis doesn't change who she is. She's exactly the same child she was yesterday. What changes is that people now have a better explanation for what she needs.'
▸  SIGNPOST: AsIAm, Middletown Centre for Autism, the local CDNT. Give a name, not a category.
▸  TO A TEACHER
▸  'Autism is a difference in social communication and in how sensory information and change are processed. It's developmental and lifelong.'
▸  'For this child, the practical implications are —' then be specific to the assessment rather than generic: processing time, predictability, the sensory environment, how instructions are given.
▸  'Behaviour that looks like defiance is very often a response to demand, to sensory load, or to not having understood what was asked. Before treating it as behaviour, check comprehension and check the environment.'
▸  'Masking matters. A child who holds it together all day and falls apart at home is not fine at school — she's spending all her resources on coping.'
▸  'Processing time is the single cheapest adjustment. Ask, wait ten seconds, then ask again in the same words rather than rephrasing. Rephrasing restarts the processing.'
▸  'Routine isn't rigidity for its own sake — it's how uncertainty is managed. Warn about change rather than removing routine.'
▸  TO THE CHILD
▸  PITCH TO AGE. For a younger child: 'Everybody's brain works in its own way. Your brain is really good at noticing things other people miss, and it likes to know what's happening next. Some brains find noisy places hard work. That's called being autistic.'
▸  For an older child or adolescent: 'Autistic means your brain processes information differently — often in more detail. It can mean social stuff takes more effort, and that noise, light or change can be harder than it is for other people. It's not an illness and there's nothing wrong with you.'
▸  ALWAYS INCLUDE STRENGTHS and make them specific to this child, not generic. 'You noticed that detail that nobody else did' beats 'autistic people are good at detail.'
▸  ASK WHAT THEY THINK IT MEANS before you explain. Children often arrive with a frightening idea from a sibling or the internet.
▸  AVOID deficit framing. Botha, Dibb &amp; Frost (2020) found autistic adults describe autism as value-neutral and experience society as attaching negative meaning to it. How you explain it to a child at 9 shapes how they carry it at 19.
▸  BE HONEST about the hard parts. Children know when something is being sold to them, and an explanation that is all positives loses credibility.
▸  ANALOGIES
▸  THE VOLUME DIAL (sensory): 'Most people have a volume dial for sound, light and touch that sits at about 5. Yours might sit at 9 for sound and 2 for touch. The classroom is the same room — you're getting a different amount of it.' Grounded in the sensory criterion now formally part of DSM-5-TR.
▸  THE DIFFERENT OPERATING SYSTEM: 'It's not a broken computer. It's a different operating system. Most of the software is written for the other one, so some things take extra work — but the machine itself is fine.' Useful with adolescents and with parents; avoids deficit framing.
▸  THE TWO-WAY TRANSLATION (double empathy): 'When two people speak different languages, we don't say one of them has a language problem. Milton (2012) makes the same point about autistic and non-autistic people misreading each other — the misunderstanding goes both ways.' Use with teachers; it shifts the burden off the child.
▸  THE PHONE BATTERY (masking): 'Holding it together in school all day is like running every app at once. You get home on 4% battery. The meltdown at home isn't because home is worse — it's because the battery ran out.' Very effective with parents who are told the child is 'fine at school'.
▸  CAUTION ON ANALOGIES: check with the person. Some autistic people find machine analogies dehumanising. Ask.
▸  LANGUAGE
▸  THERE IS NO SINGLE CORRECT TERM, and this matters. Kenny et al. (2016), surveying 3,470 UK autism community members, found 'autism' and 'on the autism spectrum' most endorsed overall, with 'autistic' strongly endorsed by autistic adults and much less so by professionals.
▸  Bury et al. (2020), with 198 autistic Australian adults, found 'autistic', 'person on the autism spectrum' and 'autistic person' rated most preferred and least offensive.
▸  Bury et al. (2022) found preference relates to identity and stigma: a stronger autism identity predicted preferring identity-first language, while internalised stigma predicted finding it more offensive.
▸  Fecteau et al. (2024), in a French-Canadian sample, found a clear split — professionals preferred medical-model terms, autistic people preferred identity-first.
▸  PRACTICE RULE: ask the person or family what they use, and use that. Where you cannot ask, identity-first ('autistic person') is the majority preference among autistic adults. Mirror the family's own language in the report.
▸  Avoid: 'suffers from', 'high/low functioning' (poor predictor of actual support needs), 'a bit on the spectrum'.</t>
        </is>
      </c>
      <c r="R113" s="207" t="inlineStr">
        <is>
          <t>THE CHILD’S VOICE, AND THE QUESTIONS
▸  TALKING MATS — symbol-based framework letting a child sort topics onto a visual scale. Good because it removes the demand for spoken answers and for eye contact simultaneously, which is often what makes interviews fail. Evidence base for people with communication difficulties. → https://www.talkingmats.com/
▸  BLOB TREE (Wilson &amp; Long) — figures on a tree; the child points to which one is them. Good because it is projective rather than direct, so it does not require the child to make a claim about themselves. You used this at Grange.
▸  'ALL ABOUT ME' / ONE-PAGE PROFILE — structured template covering what people like and admire about me, what's important to me, how best to support me. Good because it is strengths-first and becomes a usable document for staff. → https://www.helensandersonassociates.co.uk/person-centred-practice/one-page-profiles/
▸  PATH and MAPS (person-centred planning) — graphic facilitation for transition planning. Good for post-primary and school-leaving because it puts the young person's own future at the centre rather than the service's.
▸  AsIAm resources (Ireland) — autistic-led, Irish context, includes materials written for children about their own diagnosis. Good because autistic-led materials avoid the deficit framing that professional materials often carry. → https://asiam.ie/
▸  MIDDLETOWN CENTRE FOR AUTISM — Irish, free research bulletins and practical resources for schools. Good because it is Irish policy context and free. → https://www.middletownautism.com/
▸  COMIC STRIP CONVERSATIONS (Gray) — drawing out what people said and thought in an incident. Good because it externalises the social situation onto paper instead of asking the child to hold it in mind and talk about it at once.
▸  QUESTIONS YOU WILL BE ASKED
▸  Q: 'Is it my fault?' — A: 'No. Autism is a difference in how the brain develops, present from very early on. Nothing you did caused it and nothing you could have done would have prevented it.' (Bettelheim's 'refrigerator mother' theory is long discredited; say so if they raise it directly.)
▸  Q: 'Will he grow out of it?' — A: 'No, it's lifelong. What changes a great deal is how well he copes and how well the people around him understand him. Those are the things we can work on.'
▸  Q: 'Does this mean he has an intellectual disability?' — A: 'Not necessarily — they're separate things. They can occur together, and plenty of autistic people have average or above-average ability. From what I've seen, [specific to this child].'
▸  Q: 'Could it be the vaccines?' — A: 'No. That claim came from a 1998 paper that was retracted and its author struck off. A meta-analysis of over 1.2 million children found no link. I know it's still out there, and I understand why people ask.'
▸  Q: 'He makes eye contact and he has a friend, so it can't be autism?' — A: 'Those are two of the most common misunderstandings. Many autistic people make eye contact, sometimes because they've learned to, and many have friendships. The diagnosis is about the pattern across social communication and about repetitive behaviour and sensory differences, not about any single behaviour.'
▸  Q: 'She's fine at school though.' — A: 'That's really common and it's called masking. Holding it together all day takes everything she has, which is why it comes out at home. Being fine at school and struggling at home is a pattern, not a contradiction.'
▸  Q: 'Does she know?' / 'Should we tell her?' — A: 'That's your decision and I can help you think it through. What we do know is that children usually already sense they're different, and having a name for it tends to be a relief rather than a blow — particularly if it comes with an explanation of strengths as well.'
▸  Q: 'What can you actually do for us?' — A: 'I can't diagnose — that's the CDNT. What I can do is describe her profile, say what it's consistent with, make the referral, and put supports in place in school now rather than waiting.'</t>
        </is>
      </c>
      <c r="S113" s="207" t="inlineStr">
        <is>
          <t>YOUR PRACTICE
▸  SUPERVISION
▸  Bring the exact words you used to explain autism to the parent. Not the summary — the words. Ask your supervisor what they would have said differently.
▸  Ask: 'when a family's language and the research consensus differ, which do you follow?' There is a defensible answer either way and you need to hear it argued.
▸  Raise any moment you were asked something you could not answer. That is the highest-value supervision item in this whole area.
▸  Ask how your service handles the gap between an identified profile and the CDNT waiting list — what do you tell a family who will wait two years?
▸  Discuss diagnostic overshadowing on your actual cases: for each autistic child on your caseload, what has NOT been assessed because autism was already there?
▸  Ask to observe your supervisor giving an autism-related feedback session, and complete the Appendix 7 the same day.
▸  If you felt out of your depth, say so in those words. PSI 2.2.4 requires consulting when you are not competent to deal with what is in front of you.
▸  REFLECTION
▸  ON HOW YOU EXPLAINED IT — Did I use LANGUAGE-FIRST or SHARED LANGUAGE? Language-first means I arrived with my terminology and the family adapted to it. Shared language means I asked what they use and built from there. Kenny et al. (2016) found no community consensus on terms, so arriving with a fixed vocabulary is a decision, not a neutral act. Which did I do, and why?
▸  ON THE TEACHER CONVERSATION — Did I explain autism, or did I explain THIS CHILD? A general explanation is easier to give and far less useful. Did the teacher leave with something to do on Monday?
▸  ON REGISTER — Did I actually change register between the parent, the teacher and the child, or did I give the same explanation three times at different speeds? Changing register means changing what is included, not simplifying vocabulary.
▸  ON MY OWN ASSUMPTIONS — What did I assume about this family's understanding before I opened my mouth? Where did that come from? CORU 5.44 requires reflecting on how my own culture and beliefs shape practice.
▸  ON THE DEFICIT PULL — Count the sentences. How many described what the child cannot do versus what they can? Botha et al. (2020) found autistic people experience society as attaching negative meaning to a neutral difference. My report is part of that society.
▸  ON WHAT I AVOIDED — Was there a question I hoped would not be asked? What would I need to know to have welcomed it?
▸  WHAT GOOD LOOKS LIKE: 'The mother used 'has autism' throughout, so I mirrored that rather than switching to 'autistic', and noted in the file that the young person's own preference should be asked at the next review. I had been defaulting to identity-first because that is what I read, without asking.'
▸  WHAT POOR LOOKS LIKE: 'I explained autism to the parent and she seemed to understand.' — no evidence of checking, no reflection on register, nothing learned.</t>
        </is>
      </c>
      <c r="T113" s="207" t="inlineStr">
        <is>
          <t>WHAT TO DO NEXT
▸  Proceed to FORMULATION using a named framework — Monsen, Interactive Factors, COMOIRA or Carr.
▸  If a learning need may be driving the presentation, proceed to attainment assessment before concluding.
▸  If risk or safeguarding emerged, none of the above — follow the protocol and tell your supervisor the same day.
▸  If the referral question is not answered by what you found, go back and renegotiate it.</t>
        </is>
      </c>
      <c r="U113" s="207" t="inlineStr">
        <is>
          <t>WHERE THE EVIDENCE GOES
▸  Psychological report
▸  Appendix 5 entry tagged 1. Assessment
▸  Appendix 7 if observed
▸  Table 3 — Young Adult
▸  Log sheet — tag the referral area and the competency</t>
        </is>
      </c>
      <c r="V113" s="207" t="inlineStr">
        <is>
          <t>CITATIONS
▸  American Psychiatric Association (2022). Diagnostic and Statistical Manual of Mental Disorders (5th ed., text rev.). DSM-5-TR.
▸  Kenny, L., Hattersley, C., Molins, B., Buckley, C., Povey, C., &amp; Pellicano, E. (2016). Which terms should be used to describe autism? Perspectives from the UK autism community. Autism, 20(4), 442–462.
▸  Bury, S. M., Jellett, R., Spoor, J. R., &amp; Hedley, D. (2020). 'It defines who I am' or 'it's something I have': What language do autistic Australian adults prefer? Journal of Autism and Developmental Disorders.
▸  Bury, S. M., et al. (2022). Understanding language preference: Autism knowledge, experience of stigma and autism identity. Autism.
▸  Gillespie-Lynch, K., Kapp, S. K., Brooks, P. J., Pickens, J., &amp; Schwartzman, B. (2017). Whose expertise is it? Evidence for autistic adults as critical autism experts. Frontiers in Psychology, 8, 438.
▸  Botha, M., Dibb, B., &amp; Frost, D. M. (2020). 'Autism is me': An investigation of how autistic individuals make sense of autism and stigma. Disability &amp; Society.
▸  Jones, D. R., &amp; Sasson, N. J. (2023). A mixed method comparison of stigma toward autism and schizophrenia. Frontiers in Psychiatry, 14, 1263525.
▸  Milton, D. E. M. (2012). On the ontological status of autism: The 'double empathy problem'. Disability &amp; Society, 27(6), 883–887.
▸  Taylor, L. E., Swerdfeger, A. L., &amp; Eslick, G. D. (2014). Vaccines are not associated with autism: An evidence-based meta-analysis. Vaccine, 32(29).
▸  Fecteau, S.-M., et al. (2024). 'Not a trouble': Autism-related language preferences by French-Canadian adults. Neurodiversity.</t>
        </is>
      </c>
    </row>
    <row r="114" ht="169.5" customHeight="1" s="128">
      <c r="A114" s="208" t="inlineStr">
        <is>
          <t>CO-OCCURRING</t>
        </is>
      </c>
      <c r="B114" s="208" t="inlineStr">
        <is>
          <t>1. Assessment</t>
        </is>
      </c>
      <c r="C114" s="171" t="inlineStr">
        <is>
          <t>Young Adult (17–26 years)</t>
        </is>
      </c>
      <c r="D114" s="208" t="inlineStr">
        <is>
          <t>CO-OCCURS WITH AUTISM</t>
        </is>
      </c>
      <c r="E114" s="209" t="inlineStr">
        <is>
          <t>ADHD</t>
        </is>
      </c>
      <c r="F114" s="208" t="inlineStr">
        <is>
          <t>see its own entry</t>
        </is>
      </c>
      <c r="G114" s="208" t="inlineStr">
        <is>
          <t>YES — assess separately</t>
        </is>
      </c>
      <c r="H114" s="171" t="inlineStr">
        <is>
          <t>WHERE THIS SITS
▸  Sits under 1. Assessment, alongside Autism.
▸  NEPS category: 4. SOCIAL — and 1. LEARNING where language or cognition is implicated</t>
        </is>
      </c>
      <c r="I114" s="171" t="inlineStr">
        <is>
          <t>HOW OFTEN IT CO-OCCURS
▸  co-occurs in roughly 28–44% of autistic people depending on the study. DSM-5 permitted dual diagnosis for the first time in 2013; before that it was prohibited, so older reports may under-record it.</t>
        </is>
      </c>
      <c r="J114" s="171" t="inlineStr">
        <is>
          <t>HOW IT PRESENTS WHEN IT CO-OCCURS
▸  attention difficulty that looks like disengagement, but is often sensory overload or processing delay. Assess both.</t>
        </is>
      </c>
      <c r="K114" s="171" t="inlineStr">
        <is>
          <t>THE RISK
▸  Do not assume the primary diagnosis explains this.
▸  Write down before you start what the primary diagnosis does NOT explain, then assess that.
▸  Diagnostic overshadowing is the single most common error in co-occurring presentations.</t>
        </is>
      </c>
      <c r="L114" s="171" t="inlineStr">
        <is>
          <t>—</t>
        </is>
      </c>
      <c r="M114" s="171" t="inlineStr">
        <is>
          <t>—</t>
        </is>
      </c>
      <c r="N114" s="171" t="inlineStr">
        <is>
          <t>—</t>
        </is>
      </c>
      <c r="O114" s="171" t="inlineStr">
        <is>
          <t>ASSESS
▸  Assess this separately, with its own measures.
▸  Build the case for each condition independently rather than letting evidence for one carry the other.</t>
        </is>
      </c>
      <c r="P114" s="171" t="inlineStr">
        <is>
          <t>DO
▸  State in the report what would be needed to establish this second presentation.
▸  That is often a referral rather than a conclusion you can reach yourself.</t>
        </is>
      </c>
      <c r="Q114" s="171" t="inlineStr">
        <is>
          <t>—</t>
        </is>
      </c>
      <c r="R114" s="171" t="inlineStr">
        <is>
          <t>—</t>
        </is>
      </c>
      <c r="S114" s="171" t="inlineStr">
        <is>
          <t>YOUR PRACTICE
▸  Bring it to supervision: for each child on my caseload with this diagnosis, what has NOT been assessed because the diagnosis was already there?</t>
        </is>
      </c>
      <c r="T114" s="171" t="inlineStr">
        <is>
          <t>WHAT TO DO NEXT
▸  Assess separately, then refer if the threshold is met.</t>
        </is>
      </c>
      <c r="U114" s="171" t="inlineStr">
        <is>
          <t>WHERE THE EVIDENCE GOES
▸  Psychological report — state the co-occurrence and what it changes.</t>
        </is>
      </c>
      <c r="V114" s="171" t="inlineStr">
        <is>
          <t>—</t>
        </is>
      </c>
    </row>
    <row r="115" ht="169.5" customHeight="1" s="128">
      <c r="A115" s="208" t="inlineStr">
        <is>
          <t>CO-OCCURRING</t>
        </is>
      </c>
      <c r="B115" s="208" t="inlineStr">
        <is>
          <t>1. Assessment</t>
        </is>
      </c>
      <c r="C115" s="171" t="inlineStr">
        <is>
          <t>Young Adult (17–26 years)</t>
        </is>
      </c>
      <c r="D115" s="208" t="inlineStr">
        <is>
          <t>CO-OCCURS WITH AUTISM</t>
        </is>
      </c>
      <c r="E115" s="209" t="inlineStr">
        <is>
          <t>INTELLECTUAL DISABILITY</t>
        </is>
      </c>
      <c r="F115" s="208" t="inlineStr">
        <is>
          <t>see its own entry</t>
        </is>
      </c>
      <c r="G115" s="208" t="inlineStr">
        <is>
          <t>YES — assess separately</t>
        </is>
      </c>
      <c r="H115" s="171" t="inlineStr">
        <is>
          <t>WHERE THIS SITS
▸  Sits under 1. Assessment, alongside Autism.
▸  NEPS category: 4. SOCIAL — and 1. LEARNING where language or cognition is implicated</t>
        </is>
      </c>
      <c r="I115" s="171" t="inlineStr">
        <is>
          <t>HOW OFTEN IT CO-OCCURS
▸  around a third of autistic people, though estimates vary widely with sampling.</t>
        </is>
      </c>
      <c r="J115" s="171" t="inlineStr">
        <is>
          <t>HOW IT PRESENTS WHEN IT CO-OCCURS
▸  a flatter cognitive profile alongside social communication differences. Assess adaptive functioning separately.</t>
        </is>
      </c>
      <c r="K115" s="171" t="inlineStr">
        <is>
          <t>THE RISK
▸  Do not assume the primary diagnosis explains this.
▸  Write down before you start what the primary diagnosis does NOT explain, then assess that.
▸  Diagnostic overshadowing is the single most common error in co-occurring presentations.</t>
        </is>
      </c>
      <c r="L115" s="171" t="inlineStr">
        <is>
          <t>—</t>
        </is>
      </c>
      <c r="M115" s="171" t="inlineStr">
        <is>
          <t>—</t>
        </is>
      </c>
      <c r="N115" s="171" t="inlineStr">
        <is>
          <t>—</t>
        </is>
      </c>
      <c r="O115" s="171" t="inlineStr">
        <is>
          <t>ASSESS
▸  Assess this separately, with its own measures.
▸  Build the case for each condition independently rather than letting evidence for one carry the other.</t>
        </is>
      </c>
      <c r="P115" s="171" t="inlineStr">
        <is>
          <t>DO
▸  State in the report what would be needed to establish this second presentation.
▸  That is often a referral rather than a conclusion you can reach yourself.</t>
        </is>
      </c>
      <c r="Q115" s="171" t="inlineStr">
        <is>
          <t>—</t>
        </is>
      </c>
      <c r="R115" s="171" t="inlineStr">
        <is>
          <t>—</t>
        </is>
      </c>
      <c r="S115" s="171" t="inlineStr">
        <is>
          <t>YOUR PRACTICE
▸  Bring it to supervision: for each child on my caseload with this diagnosis, what has NOT been assessed because the diagnosis was already there?</t>
        </is>
      </c>
      <c r="T115" s="171" t="inlineStr">
        <is>
          <t>WHAT TO DO NEXT
▸  Assess separately, then refer if the threshold is met.</t>
        </is>
      </c>
      <c r="U115" s="171" t="inlineStr">
        <is>
          <t>WHERE THE EVIDENCE GOES
▸  Psychological report — state the co-occurrence and what it changes.</t>
        </is>
      </c>
      <c r="V115" s="171" t="inlineStr">
        <is>
          <t>—</t>
        </is>
      </c>
    </row>
    <row r="116" ht="169.5" customHeight="1" s="128">
      <c r="A116" s="208" t="inlineStr">
        <is>
          <t>CO-OCCURRING</t>
        </is>
      </c>
      <c r="B116" s="208" t="inlineStr">
        <is>
          <t>1. Assessment</t>
        </is>
      </c>
      <c r="C116" s="171" t="inlineStr">
        <is>
          <t>Young Adult (17–26 years)</t>
        </is>
      </c>
      <c r="D116" s="208" t="inlineStr">
        <is>
          <t>CO-OCCURS WITH AUTISM</t>
        </is>
      </c>
      <c r="E116" s="209" t="inlineStr">
        <is>
          <t>ANXIETY</t>
        </is>
      </c>
      <c r="F116" s="208" t="inlineStr">
        <is>
          <t>see its own entry</t>
        </is>
      </c>
      <c r="G116" s="208" t="inlineStr">
        <is>
          <t>YES — assess separately</t>
        </is>
      </c>
      <c r="H116" s="171" t="inlineStr">
        <is>
          <t>WHERE THIS SITS
▸  Sits under 1. Assessment, alongside Autism.
▸  NEPS category: 4. SOCIAL — and 1. LEARNING where language or cognition is implicated</t>
        </is>
      </c>
      <c r="I116" s="171" t="inlineStr">
        <is>
          <t>HOW OFTEN IT CO-OCCURS
▸  very high. Meta-analytic estimates around 40% meeting criteria for at least one anxiety disorder (van Steensel et al., 2011).</t>
        </is>
      </c>
      <c r="J116" s="171" t="inlineStr">
        <is>
          <t>HOW IT PRESENTS WHEN IT CO-OCCURS
▸  rigidity, refusal, meltdown. Often misread as 'autistic behaviour' rather than treatable anxiety. THIS IS THE MOST COMMONLY MISSED CO-OCCURRENCE.</t>
        </is>
      </c>
      <c r="K116" s="171" t="inlineStr">
        <is>
          <t>THE RISK
▸  Do not assume the primary diagnosis explains this.
▸  Write down before you start what the primary diagnosis does NOT explain, then assess that.
▸  Diagnostic overshadowing is the single most common error in co-occurring presentations.</t>
        </is>
      </c>
      <c r="L116" s="171" t="inlineStr">
        <is>
          <t>—</t>
        </is>
      </c>
      <c r="M116" s="171" t="inlineStr">
        <is>
          <t>—</t>
        </is>
      </c>
      <c r="N116" s="171" t="inlineStr">
        <is>
          <t>—</t>
        </is>
      </c>
      <c r="O116" s="171" t="inlineStr">
        <is>
          <t>ASSESS
▸  Assess this separately, with its own measures.
▸  Build the case for each condition independently rather than letting evidence for one carry the other.</t>
        </is>
      </c>
      <c r="P116" s="171" t="inlineStr">
        <is>
          <t>DO
▸  State in the report what would be needed to establish this second presentation.
▸  That is often a referral rather than a conclusion you can reach yourself.</t>
        </is>
      </c>
      <c r="Q116" s="171" t="inlineStr">
        <is>
          <t>—</t>
        </is>
      </c>
      <c r="R116" s="171" t="inlineStr">
        <is>
          <t>—</t>
        </is>
      </c>
      <c r="S116" s="171" t="inlineStr">
        <is>
          <t>YOUR PRACTICE
▸  Bring it to supervision: for each child on my caseload with this diagnosis, what has NOT been assessed because the diagnosis was already there?</t>
        </is>
      </c>
      <c r="T116" s="171" t="inlineStr">
        <is>
          <t>WHAT TO DO NEXT
▸  Assess separately, then refer if the threshold is met.</t>
        </is>
      </c>
      <c r="U116" s="171" t="inlineStr">
        <is>
          <t>WHERE THE EVIDENCE GOES
▸  Psychological report — state the co-occurrence and what it changes.</t>
        </is>
      </c>
      <c r="V116" s="171" t="inlineStr">
        <is>
          <t>—</t>
        </is>
      </c>
    </row>
    <row r="117" ht="169.5" customHeight="1" s="128">
      <c r="A117" s="208" t="inlineStr">
        <is>
          <t>CO-OCCURRING</t>
        </is>
      </c>
      <c r="B117" s="208" t="inlineStr">
        <is>
          <t>1. Assessment</t>
        </is>
      </c>
      <c r="C117" s="171" t="inlineStr">
        <is>
          <t>Young Adult (17–26 years)</t>
        </is>
      </c>
      <c r="D117" s="208" t="inlineStr">
        <is>
          <t>CO-OCCURS WITH AUTISM</t>
        </is>
      </c>
      <c r="E117" s="209" t="inlineStr">
        <is>
          <t>DLD / LANGUAGE DISORDER</t>
        </is>
      </c>
      <c r="F117" s="208" t="inlineStr">
        <is>
          <t>see its own entry</t>
        </is>
      </c>
      <c r="G117" s="208" t="inlineStr">
        <is>
          <t>YES — assess separately</t>
        </is>
      </c>
      <c r="H117" s="171" t="inlineStr">
        <is>
          <t>WHERE THIS SITS
▸  Sits under 1. Assessment, alongside Autism.
▸  NEPS category: 4. SOCIAL — and 1. LEARNING where language or cognition is implicated</t>
        </is>
      </c>
      <c r="I117" s="171" t="inlineStr">
        <is>
          <t>HOW OFTEN IT CO-OCCURS
▸  substantial overlap, and the two are hard to separate in young children.</t>
        </is>
      </c>
      <c r="J117" s="171" t="inlineStr">
        <is>
          <t>HOW IT PRESENTS WHEN IT CO-OCCURS
▸  apparent social difficulty that is actually comprehension failure.</t>
        </is>
      </c>
      <c r="K117" s="171" t="inlineStr">
        <is>
          <t>THE RISK
▸  Do not assume the primary diagnosis explains this.
▸  Write down before you start what the primary diagnosis does NOT explain, then assess that.
▸  Diagnostic overshadowing is the single most common error in co-occurring presentations.</t>
        </is>
      </c>
      <c r="L117" s="171" t="inlineStr">
        <is>
          <t>—</t>
        </is>
      </c>
      <c r="M117" s="171" t="inlineStr">
        <is>
          <t>—</t>
        </is>
      </c>
      <c r="N117" s="171" t="inlineStr">
        <is>
          <t>—</t>
        </is>
      </c>
      <c r="O117" s="171" t="inlineStr">
        <is>
          <t>ASSESS
▸  Assess this separately, with its own measures.
▸  Build the case for each condition independently rather than letting evidence for one carry the other.</t>
        </is>
      </c>
      <c r="P117" s="171" t="inlineStr">
        <is>
          <t>DO
▸  State in the report what would be needed to establish this second presentation.
▸  That is often a referral rather than a conclusion you can reach yourself.</t>
        </is>
      </c>
      <c r="Q117" s="171" t="inlineStr">
        <is>
          <t>—</t>
        </is>
      </c>
      <c r="R117" s="171" t="inlineStr">
        <is>
          <t>—</t>
        </is>
      </c>
      <c r="S117" s="171" t="inlineStr">
        <is>
          <t>YOUR PRACTICE
▸  Bring it to supervision: for each child on my caseload with this diagnosis, what has NOT been assessed because the diagnosis was already there?</t>
        </is>
      </c>
      <c r="T117" s="171" t="inlineStr">
        <is>
          <t>WHAT TO DO NEXT
▸  Assess separately, then refer if the threshold is met.</t>
        </is>
      </c>
      <c r="U117" s="171" t="inlineStr">
        <is>
          <t>WHERE THE EVIDENCE GOES
▸  Psychological report — state the co-occurrence and what it changes.</t>
        </is>
      </c>
      <c r="V117" s="171" t="inlineStr">
        <is>
          <t>—</t>
        </is>
      </c>
    </row>
    <row r="118" ht="169.5" customHeight="1" s="128">
      <c r="A118" s="208" t="inlineStr">
        <is>
          <t>CO-OCCURRING</t>
        </is>
      </c>
      <c r="B118" s="208" t="inlineStr">
        <is>
          <t>1. Assessment</t>
        </is>
      </c>
      <c r="C118" s="171" t="inlineStr">
        <is>
          <t>Young Adult (17–26 years)</t>
        </is>
      </c>
      <c r="D118" s="208" t="inlineStr">
        <is>
          <t>CO-OCCURS WITH AUTISM</t>
        </is>
      </c>
      <c r="E118" s="209" t="inlineStr">
        <is>
          <t>DCD</t>
        </is>
      </c>
      <c r="F118" s="208" t="inlineStr">
        <is>
          <t>see its own entry</t>
        </is>
      </c>
      <c r="G118" s="208" t="inlineStr">
        <is>
          <t>YES — assess separately</t>
        </is>
      </c>
      <c r="H118" s="171" t="inlineStr">
        <is>
          <t>WHERE THIS SITS
▸  Sits under 1. Assessment, alongside Autism.
▸  NEPS category: 4. SOCIAL — and 1. LEARNING where language or cognition is implicated</t>
        </is>
      </c>
      <c r="I118" s="171" t="inlineStr">
        <is>
          <t>HOW OFTEN IT CO-OCCURS
▸  elevated.</t>
        </is>
      </c>
      <c r="J118" s="171" t="inlineStr">
        <is>
          <t>HOW IT PRESENTS WHEN IT CO-OCCURS
▸  handwriting difficulty and PE avoidance attributed to autism rather than assessed.</t>
        </is>
      </c>
      <c r="K118" s="171" t="inlineStr">
        <is>
          <t>THE RISK
▸  Do not assume the primary diagnosis explains this.
▸  Write down before you start what the primary diagnosis does NOT explain, then assess that.
▸  Diagnostic overshadowing is the single most common error in co-occurring presentations.</t>
        </is>
      </c>
      <c r="L118" s="171" t="inlineStr">
        <is>
          <t>—</t>
        </is>
      </c>
      <c r="M118" s="171" t="inlineStr">
        <is>
          <t>—</t>
        </is>
      </c>
      <c r="N118" s="171" t="inlineStr">
        <is>
          <t>—</t>
        </is>
      </c>
      <c r="O118" s="171" t="inlineStr">
        <is>
          <t>ASSESS
▸  Assess this separately, with its own measures.
▸  Build the case for each condition independently rather than letting evidence for one carry the other.</t>
        </is>
      </c>
      <c r="P118" s="171" t="inlineStr">
        <is>
          <t>DO
▸  State in the report what would be needed to establish this second presentation.
▸  That is often a referral rather than a conclusion you can reach yourself.</t>
        </is>
      </c>
      <c r="Q118" s="171" t="inlineStr">
        <is>
          <t>—</t>
        </is>
      </c>
      <c r="R118" s="171" t="inlineStr">
        <is>
          <t>—</t>
        </is>
      </c>
      <c r="S118" s="171" t="inlineStr">
        <is>
          <t>YOUR PRACTICE
▸  Bring it to supervision: for each child on my caseload with this diagnosis, what has NOT been assessed because the diagnosis was already there?</t>
        </is>
      </c>
      <c r="T118" s="171" t="inlineStr">
        <is>
          <t>WHAT TO DO NEXT
▸  Assess separately, then refer if the threshold is met.</t>
        </is>
      </c>
      <c r="U118" s="171" t="inlineStr">
        <is>
          <t>WHERE THE EVIDENCE GOES
▸  Psychological report — state the co-occurrence and what it changes.</t>
        </is>
      </c>
      <c r="V118" s="171" t="inlineStr">
        <is>
          <t>—</t>
        </is>
      </c>
    </row>
    <row r="119" ht="169.5" customHeight="1" s="128">
      <c r="A119" s="208" t="inlineStr">
        <is>
          <t>CO-OCCURRING</t>
        </is>
      </c>
      <c r="B119" s="208" t="inlineStr">
        <is>
          <t>1. Assessment</t>
        </is>
      </c>
      <c r="C119" s="171" t="inlineStr">
        <is>
          <t>Young Adult (17–26 years)</t>
        </is>
      </c>
      <c r="D119" s="208" t="inlineStr">
        <is>
          <t>CO-OCCURS WITH AUTISM</t>
        </is>
      </c>
      <c r="E119" s="209" t="inlineStr">
        <is>
          <t>EPILEPSY</t>
        </is>
      </c>
      <c r="F119" s="208" t="inlineStr">
        <is>
          <t>see its own entry</t>
        </is>
      </c>
      <c r="G119" s="208" t="inlineStr">
        <is>
          <t>YES — assess separately</t>
        </is>
      </c>
      <c r="H119" s="171" t="inlineStr">
        <is>
          <t>WHERE THIS SITS
▸  Sits under 1. Assessment, alongside Autism.
▸  NEPS category: 4. SOCIAL — and 1. LEARNING where language or cognition is implicated</t>
        </is>
      </c>
      <c r="I119" s="171" t="inlineStr">
        <is>
          <t>HOW OFTEN IT CO-OCCURS
▸  Rate not stated in source — check before quoting.</t>
        </is>
      </c>
      <c r="J119" s="171" t="inlineStr">
        <is>
          <t>HOW IT PRESENTS WHEN IT CO-OCCURS
▸  elevated, particularly where intellectual disability co-occurs. Medical, not yours, but note it and refer.</t>
        </is>
      </c>
      <c r="K119" s="171" t="inlineStr">
        <is>
          <t>THE RISK
▸  Do not assume the primary diagnosis explains this.
▸  Write down before you start what the primary diagnosis does NOT explain, then assess that.
▸  Diagnostic overshadowing is the single most common error in co-occurring presentations.</t>
        </is>
      </c>
      <c r="L119" s="171" t="inlineStr">
        <is>
          <t>—</t>
        </is>
      </c>
      <c r="M119" s="171" t="inlineStr">
        <is>
          <t>—</t>
        </is>
      </c>
      <c r="N119" s="171" t="inlineStr">
        <is>
          <t>—</t>
        </is>
      </c>
      <c r="O119" s="171" t="inlineStr">
        <is>
          <t>ASSESS
▸  Assess this separately, with its own measures.
▸  Build the case for each condition independently rather than letting evidence for one carry the other.</t>
        </is>
      </c>
      <c r="P119" s="171" t="inlineStr">
        <is>
          <t>DO
▸  State in the report what would be needed to establish this second presentation.
▸  That is often a referral rather than a conclusion you can reach yourself.</t>
        </is>
      </c>
      <c r="Q119" s="171" t="inlineStr">
        <is>
          <t>—</t>
        </is>
      </c>
      <c r="R119" s="171" t="inlineStr">
        <is>
          <t>—</t>
        </is>
      </c>
      <c r="S119" s="171" t="inlineStr">
        <is>
          <t>YOUR PRACTICE
▸  Bring it to supervision: for each child on my caseload with this diagnosis, what has NOT been assessed because the diagnosis was already there?</t>
        </is>
      </c>
      <c r="T119" s="171" t="inlineStr">
        <is>
          <t>WHAT TO DO NEXT
▸  Assess separately, then refer if the threshold is met.</t>
        </is>
      </c>
      <c r="U119" s="171" t="inlineStr">
        <is>
          <t>WHERE THE EVIDENCE GOES
▸  Psychological report — state the co-occurrence and what it changes.</t>
        </is>
      </c>
      <c r="V119" s="171" t="inlineStr">
        <is>
          <t>—</t>
        </is>
      </c>
    </row>
    <row r="120" ht="169.5" customHeight="1" s="128">
      <c r="A120" s="208" t="inlineStr">
        <is>
          <t>CO-OCCURRING</t>
        </is>
      </c>
      <c r="B120" s="208" t="inlineStr">
        <is>
          <t>1. Assessment</t>
        </is>
      </c>
      <c r="C120" s="171" t="inlineStr">
        <is>
          <t>Young Adult (17–26 years)</t>
        </is>
      </c>
      <c r="D120" s="208" t="inlineStr">
        <is>
          <t>CO-OCCURS WITH AUTISM</t>
        </is>
      </c>
      <c r="E120" s="209" t="inlineStr">
        <is>
          <t>SLEEP DIFFICULTIES</t>
        </is>
      </c>
      <c r="F120" s="208" t="inlineStr">
        <is>
          <t>see its own entry</t>
        </is>
      </c>
      <c r="G120" s="208" t="inlineStr">
        <is>
          <t>YES — assess separately</t>
        </is>
      </c>
      <c r="H120" s="171" t="inlineStr">
        <is>
          <t>WHERE THIS SITS
▸  Sits under 1. Assessment, alongside Autism.
▸  NEPS category: 4. SOCIAL — and 1. LEARNING where language or cognition is implicated</t>
        </is>
      </c>
      <c r="I120" s="171" t="inlineStr">
        <is>
          <t>HOW OFTEN IT CO-OCCURS
▸  Rate not stated in source — check before quoting.</t>
        </is>
      </c>
      <c r="J120" s="171" t="inlineStr">
        <is>
          <t>HOW IT PRESENTS WHEN IT CO-OCCURS
▸  very common and under-treated. Ask, because a child sleeping five hours will present very differently.</t>
        </is>
      </c>
      <c r="K120" s="171" t="inlineStr">
        <is>
          <t>THE RISK
▸  Do not assume the primary diagnosis explains this.
▸  Write down before you start what the primary diagnosis does NOT explain, then assess that.
▸  Diagnostic overshadowing is the single most common error in co-occurring presentations.</t>
        </is>
      </c>
      <c r="L120" s="171" t="inlineStr">
        <is>
          <t>—</t>
        </is>
      </c>
      <c r="M120" s="171" t="inlineStr">
        <is>
          <t>—</t>
        </is>
      </c>
      <c r="N120" s="171" t="inlineStr">
        <is>
          <t>—</t>
        </is>
      </c>
      <c r="O120" s="171" t="inlineStr">
        <is>
          <t>ASSESS
▸  Assess this separately, with its own measures.
▸  Build the case for each condition independently rather than letting evidence for one carry the other.</t>
        </is>
      </c>
      <c r="P120" s="171" t="inlineStr">
        <is>
          <t>DO
▸  State in the report what would be needed to establish this second presentation.
▸  That is often a referral rather than a conclusion you can reach yourself.</t>
        </is>
      </c>
      <c r="Q120" s="171" t="inlineStr">
        <is>
          <t>—</t>
        </is>
      </c>
      <c r="R120" s="171" t="inlineStr">
        <is>
          <t>—</t>
        </is>
      </c>
      <c r="S120" s="171" t="inlineStr">
        <is>
          <t>YOUR PRACTICE
▸  Bring it to supervision: for each child on my caseload with this diagnosis, what has NOT been assessed because the diagnosis was already there?</t>
        </is>
      </c>
      <c r="T120" s="171" t="inlineStr">
        <is>
          <t>WHAT TO DO NEXT
▸  Assess separately, then refer if the threshold is met.</t>
        </is>
      </c>
      <c r="U120" s="171" t="inlineStr">
        <is>
          <t>WHERE THE EVIDENCE GOES
▸  Psychological report — state the co-occurrence and what it changes.</t>
        </is>
      </c>
      <c r="V120" s="171" t="inlineStr">
        <is>
          <t>—</t>
        </is>
      </c>
    </row>
    <row r="121" ht="408.75" customHeight="1" s="128">
      <c r="A121" s="210" t="inlineStr">
        <is>
          <t>PRESENTATION</t>
        </is>
      </c>
      <c r="B121" s="210" t="inlineStr">
        <is>
          <t>1. Assessment</t>
        </is>
      </c>
      <c r="C121" s="170" t="inlineStr">
        <is>
          <t>Young Adult (17–26 years)</t>
        </is>
      </c>
      <c r="D121" s="210" t="inlineStr">
        <is>
          <t>SYMPTOM-ONLY</t>
        </is>
      </c>
      <c r="E121" s="211" t="inlineStr">
        <is>
          <t>Presentations related to Autism — no diagnosis</t>
        </is>
      </c>
      <c r="F121" s="210" t="inlineStr">
        <is>
          <t>No DSM code</t>
        </is>
      </c>
      <c r="G121" s="210" t="inlineStr">
        <is>
          <t>YES — these present at every band</t>
        </is>
      </c>
      <c r="H121" s="170" t="inlineStr">
        <is>
          <t>WHERE THIS SITS
▸  NEPS category: as above
▸  UCD competency: 1. Assessment
▸  CORU: 3.1 · 3.2 · 5.28 · 5.29 · 5.30 · 5.31 · 5.32
▸  PSI: 2.2.2 · 2.3.1 · 1.3.1 · 1.2.8</t>
        </is>
      </c>
      <c r="I121" s="170" t="inlineStr">
        <is>
          <t>THE PRESENTATIONS — no diagnosis needed, and most referrals look like this
▸  Social communication differences without diagnosis
▸  Masking and the cost of it
▸  Loneliness without observable difficulty
▸  Pathological Demand Avoidance (PDA) profile
▸  Sensory modulation differences
▸  Rigidity and routine that is not OCD</t>
        </is>
      </c>
      <c r="J121" s="170" t="inlineStr">
        <is>
          <t>HOW COMMON
▸  No prevalence figures exist for these — they are descriptions, not categories.
▸  They are more common than the diagnosis they sit beside.</t>
        </is>
      </c>
      <c r="K121" s="170" t="inlineStr">
        <is>
          <t>THE PATHWAY
▸  No diagnostic pathway. Nobody diagnoses these.
▸  You describe them, formulate around them, and recommend. That is the whole pathway.
▸  If a parent asks who diagnoses it: nobody. Say that plainly, and say it does not make the difficulty less real or less workable.</t>
        </is>
      </c>
      <c r="L121" s="170" t="inlineStr">
        <is>
          <t>WHAT YOU SEE
▸  These are what the referral form actually describes in Section 5.
▸  Look for the pattern across settings rather than a threshold.</t>
        </is>
      </c>
      <c r="M121" s="170" t="inlineStr">
        <is>
          <t>RED FLAGS
▸  Escalating distress, withdrawal or risk indicators — follow the protocol regardless of whether a diagnosis exists.
▸  Do not let the absence of a diagnosis delay a safeguarding response.</t>
        </is>
      </c>
      <c r="N121" s="170" t="inlineStr">
        <is>
          <t>WHAT ELSE COULD IT BE
▸  Each of these can be the visible edge of the diagnosed condition above.
▸  Each can also occur entirely on its own.
▸  Test the sequence: which came first?</t>
        </is>
      </c>
      <c r="O121" s="170" t="inlineStr">
        <is>
          <t>ASSESS
▸  Observation with a comparison peer.
▸  Teacher and parent interview.
▸  Pupil interview — their account is the evidence here.
▸  Rating scales describe perception, not the presentation itself.</t>
        </is>
      </c>
      <c r="P121" s="170" t="inlineStr">
        <is>
          <t>DO
▸  Name the presentation precisely rather than reaching for a label.
▸  Recommend at the level of the behaviour, not the hypothetical diagnosis.
▸  Specify what, who, how often, for how long, and how it will be measured.
▸  Name the Continuum of Support level.</t>
        </is>
      </c>
      <c r="Q121" s="170" t="inlineStr">
        <is>
          <t>EXPLAIN
▸  To a parent: “There isn’t a diagnosis for this, and it’s still real and still workable. Here’s what we do.”
▸  To a teacher: describe the behaviour in countable terms, not in trait terms.
▸  To the child: ask what helps, and use their words in the report.</t>
        </is>
      </c>
      <c r="R121" s="170" t="inlineStr">
        <is>
          <t>CHILD’S VOICE AND QUESTIONS
▸  Talking Mats · Blob Tree · scaling on a drawn ladder · sentence completion · day mapping.
▸  Q: “So there’s nothing wrong with him?” A: “There’s a real difficulty and it doesn’t have a label. Labels help get resources; they don’t make a difficulty more or less real.”
▸  Q: “Should we get him assessed privately?” A: give the honest position on what a diagnosis would and would not change here.</t>
        </is>
      </c>
      <c r="S121" s="170" t="inlineStr">
        <is>
          <t>YOUR PRACTICE
▸  Bring a case where you were pulled toward a label the data did not support.
▸  Reflect: did I describe, or did I reach? Whose language did I use?</t>
        </is>
      </c>
      <c r="T121" s="170" t="inlineStr">
        <is>
          <t>WHAT TO DO NEXT
▸  Proceed to formulation. These belong at the behavioural level of the Interactive Factors Framework.
▸  Test whether an unmet learning need is underneath before concluding anything.</t>
        </is>
      </c>
      <c r="U121" s="170" t="inlineStr">
        <is>
          <t>WHERE THE EVIDENCE GOES
▸  Psychological report
▸  Appendix 5 entry
▸  Log sheet</t>
        </is>
      </c>
      <c r="V121" s="170" t="inlineStr">
        <is>
          <t>CITATIONS
▸  Frederickson &amp; Cline (2009)
▸  Monsen &amp; Frederickson (2008)
▸  NEPS Continuum of Support</t>
        </is>
      </c>
    </row>
    <row r="122" ht="408.75" customHeight="1" s="128">
      <c r="A122" s="205" t="inlineStr">
        <is>
          <t>CONDITION</t>
        </is>
      </c>
      <c r="B122" s="205" t="inlineStr">
        <is>
          <t>1. Assessment</t>
        </is>
      </c>
      <c r="C122" s="206" t="inlineStr">
        <is>
          <t>Young Adult (17–26 years)</t>
        </is>
      </c>
      <c r="D122" s="205" t="inlineStr">
        <is>
          <t>DIAGNOSED</t>
        </is>
      </c>
      <c r="E122" s="206" t="inlineStr">
        <is>
          <t>ADHD</t>
        </is>
      </c>
      <c r="F122" s="205" t="inlineStr">
        <is>
          <t>DSM-5-TR Attention-Deficit/Hyperactivity Disorder · ICD-11 6A05</t>
        </is>
      </c>
      <c r="G122" s="205" t="inlineStr">
        <is>
          <t>YES — many first identified here</t>
        </is>
      </c>
      <c r="H122" s="207" t="inlineStr">
        <is>
          <t>WHERE THIS SITS
▸  NEPS referral form category: 1. LEARNING (1.1 Attention, concentration and work skills) — and 2. BEHAVIOUR
▸  UCD competency: 1. Assessment
▸  CORU: 3.1 · 3.2 · 5.28 · 5.29 · 5.30 · 5.31 · 5.32
▸  PSI: 2.2.2 · 2.3.1 · 1.3.1 · 1.2.8
▸  Law and policy: Children First Act 2015 · EPSEN Act 2004 · Equal Status Acts 2000–2018 · GDPR</t>
        </is>
      </c>
      <c r="I122" s="207" t="inlineStr">
        <is>
          <t>WHAT IT IS, AND WHAT IT IS NOT
▸  A neurodevelopmental condition defined by a persistent pattern of INATTENTION and/or HYPERACTIVITY-IMPULSIVITY that interferes with functioning or development (APA, 2022, DSM-5-TR).
▸  Three presentations: predominantly inattentive, predominantly hyperactive/impulsive, and combined. Presentation can change with age — hyperactivity typically reduces while inattention persists.
▸  Criteria require: several symptoms present before age 12; symptoms in TWO OR MORE settings; clear interference with functioning; and not better explained by another condition.
▸  The best-supported account is of EXECUTIVE FUNCTION and DELAY AVERSION difficulties, not of a deficit of attention per se — attention is often intense on high-interest tasks. Barkley (1997) frames it as a disorder of behavioural inhibition and self-regulation.
▸  It is DIMENSIONAL. Traits are continuously distributed; the diagnostic line is a judgement about impairment.
▸  Heritability is among the highest of any psychiatric condition, commonly estimated around 70–80%.
▸  NOT caused by sugar. Wolraich, Wilson &amp; White (1995) meta-analysed this and found no effect on behaviour or cognition. The belief persists strongly.
▸  NOT caused by screens, poor parenting or bad teaching. These can worsen presentation; they do not cause it.
▸  NOT an absence of attention. Hyperfocus on high-interest activity is characteristic and is routinely used as evidence AGAINST the diagnosis by teachers and family. It is not.
▸  NOT only hyperactive boys. The predominantly inattentive presentation is under-identified, particularly in girls, who are more often quiet, disorganised and internalising.
▸  NOT outgrown. Hyperactivity reduces; inattention and executive difficulty commonly persist into adulthood.
▸  NOT resolved by medication alone. Medication is effective for core symptoms in many people and does not teach skills, organise an environment, or repair self-concept.</t>
        </is>
      </c>
      <c r="J122" s="207" t="inlineStr">
        <is>
          <t>HOW COMMON AT THIS AGE
▸  OVERALL: worldwide pooled prevalence in children and adolescents around 5–7% (Polanczyk et al., 2007, 2014 meta-analyses). Adult prevalence around 2.5%.
▸  IRELAND: ADHD Ireland cites around 5% of children. Department of Education and HSE identification figures will be lower than prevalence.
▸  SEX RATIO: clinic samples historically 3:1 to 9:1 male. Community samples closer to 2:1 or lower, indicating substantial under-identification in girls — the same diagnostic bias pattern as autism.
▸  AT OTHER AGES (for context): EARLY YEARS 0–5 · SCHOOL AGE 6–12 · ADOLESCENT 13–16 · ADULT</t>
        </is>
      </c>
      <c r="K122" s="207" t="inlineStr">
        <is>
          <t>THE PATHWAY AND THE TIMELINE
▸ TYPICAL AGE OF IDENTIFICATION, AND WHY THEN
   Usually 6–12. Criteria require symptoms before age 12 and in two or more settings. Identification clusters when sustained independent seatwork begins, because that is the demand the difficulty is most visible against. The inattentive presentation is identified considerably later, and girls later again.
▸ WHO DIAGNOSES IT
   Ireland: CAMHS, or Primary Care Psychology / community paediatrics depending on complexity and region. Medication is prescribed by a psychiatrist or paediatrician, never by a psychologist. Private assessment is common because of waiting times.
▸ WHO COULD HAVE WRITTEN THE REPORT IN FRONT OF YOU
   CAMHS psychiatrist or psychologist. Community paediatrician. Private psychologist or psychiatrist. A school-completed Conners or SDQ is a screening instrument, not a diagnosis.
▸ WHO YOU REFER TO
   CAMHS or Primary Care depending on complexity. GP first in many areas. OT where motor or sensory. SLT where instruction-following is the issue.
▸ 'SHOULD WE HAVE COME SOONER?'
   'Most children are identified around this age, because it's when the demands make it visible. If she's the quiet, disorganised kind rather than the disruptive kind, that's the presentation most often missed — and that's about how the system notices, not about you.'</t>
        </is>
      </c>
      <c r="L122" s="207" t="inlineStr">
        <is>
          <t>WHAT YOU SEE AT THIS AGE
▸  Adult services, DSA for third level, workplace adjustment.
▸  EARLY YEARS 0–5: rarely diagnosed and hard to distinguish from typical development. Conners EC, structured observation, developmental history. Frame as developmental rather than diagnostic.
▸  SCHOOL AGE 6–12: the main identification window, usually when sustained seatwork demands begin. Conners-4 parent and teacher, BRIEF-2, TEA-Ch2, classroom observation with a comparison peer. Parent-teacher disagreement is common and is data.
▸  ADOLESCENT 13–16: hyperactivity declines; organisation, homework and time-management difficulties dominate. Self-report becomes essential — Conners-4 self-report, BRIEF-2 self-report. Risk-taking and substance use need asking about.
▸  YOUNG ADULT 17–26: adult services, DSA for third level, workplace adjustment. Many first identified here.
▸  SPECIAL SETTING: distinguish ADHD from work pitched above the pupil's level. Rule the second out first.</t>
        </is>
      </c>
      <c r="M122" s="207" t="inlineStr">
        <is>
          <t>RED FLAGS AND BOUNDARIES
▸  RED FLAG — an adolescent with ADHD and emerging substance use, self-harm or risk-taking. Elevated risk across all three. Follow the risk protocol.
▸  RED FLAG — a child on medication whose presentation has changed sharply. Could be dose, could be something else. Medical; refer, do not adjust anything.
▸  RED FLAG — sudden onset of attention difficulty in a previously settled child. ADHD is developmental and present before 12. Sudden onset suggests something else — sleep, illness, trauma, a life event.
▸  BOUNDARY — you do not diagnose ADHD and you do not advise on medication. PSI 2.2.2, 2.2.3.
▸  WATCH — inattention is the final common pathway of many things: hearing loss, anxiety, sleep deprivation, an unidentified learning difficulty, trauma. Rule those out before concluding.</t>
        </is>
      </c>
      <c r="N122" s="207" t="inlineStr">
        <is>
          <t>WHAT ELSE COULD IT BE, AND WHAT CO-OCCURS
▸  SPECIFIC LEARNING DIFFICULTY — 30–50% overlap. PRESENTS AS: inattention during literacy work specifically. ALWAYS assess attainment; escape from an unreadable task looks identical to inattention.
▸  AUTISM — 28–44%. PRESENTS AS: social difficulty plus attention difficulty. Dual diagnosis has been permitted since DSM-5 (2013); older records may not reflect it.
▸  ODD / CONDUCT DIFFICULTY — elevated, particularly where ADHD has gone unidentified and the child has accumulated years of correction. PRESENTS AS: defiance that is often a learned response to chronic failure.
▸  ANXIETY AND LOW MOOD — elevated, usually secondary. PRESENTS AS: avoidance and somatic complaints. Treat the ADHD and much reduces, but not all.
▸  DCD — elevated. PRESENTS AS: messy, slow written work attributed to carelessness.
▸  DLD — elevated. PRESENTS AS: not following instructions, which is comprehension rather than attention.
▸  SLEEP DIFFICULTY — very common and bidirectional. Always ask; a child sleeping six hours will screen positive on everything.</t>
        </is>
      </c>
      <c r="O122" s="207" t="inlineStr">
        <is>
          <t>TOOLS VALID AT THIS BAND
▸  Adult self-report measures via the service — AGE 17+
     MEASURES: Mood, anxiety, functioning.
     CANNOT TELL YOU: This is usually adult mental health territory. Know the boundary and refer.
     TIME: —
▸  WIAT-III UK — AGE to 25:11
     MEASURES: Attainment, adult norms at the top of the range.
     CANNOT TELL YOU: Third-level demands specifically.
     TIME: 60–90 min
▸  WRAT-5 — AGE 5–85+
     MEASURES: Word reading, spelling, sentence comprehension, maths computation.
     CANNOT TELL YOU: It is brief. Brief means less information, not less time-consuming to interpret.
     TIME: 15–45 min
▸  DASH-17+ — AGE 17:0–25:0
     MEASURES: Handwriting speed, adult norms.
     CANNOT TELL YOU: Whether assistive technology is the better answer — trial it.
     TIME: 20–25 min
▸  WAIS-IV UK — AGE 16:0–90:11
     MEASURES: Four index scores and FSIQ.
     CANNOT TELL YOU: Functional capacity in a course or workplace — that needs functional assessment too.
     TIME: 60–90 min</t>
        </is>
      </c>
      <c r="P122" s="207" t="inlineStr">
        <is>
          <t>WHAT YOU DO, AND WHAT YOU WRITE
▸  EXTERNALISE THE EXECUTIVE FUNCTION. Visual task lists, checklists, timers, a written homework record. Do not expect internal organisation and then penalise its absence.
▸  ONE INSTRUCTION AT A TIME, or written down. Working memory is usually the bottleneck.
▸  CHUNK WORK with a visible finish line. 'Do five, then show me' beats 'do the page'.
▸  LEGITIMATE MOVEMENT built in — a job, an errand, a standing option. Movement suppressed re-emerges as disruption.
▸  PRIVATE CUES, not public correction. Agree a signal with the child in advance.
▸  SEATING and proximity to the teacher, away from high-traffic areas. Cheap and effective.
▸  ASSESS ATTAINMENT. Never treat inattention as the whole story until an unidentified learning difficulty is ruled out.
▸  SELF-MONITORING for older children — a simple tally the child keeps themselves. Evidence supports self-monitoring and it transfers ownership.
▸  HOMEWORK: negotiate volume rather than expecting the same as peers. A child taking three hours over thirty minutes' work is not learning.
▸  CONTINUUM LEVEL: School Support, or School Support Plus where outside services are involved.
▸  REFER: CAMHS or Primary Care for diagnostic assessment depending on complexity; OT where motor or sensory; SLT where instructions are the issue.
▸  DO NOT recommend diet change, omega supplements or screen elimination as treatments for core ADHD. The evidence does not support them and PSI 4.2.2 applies.</t>
        </is>
      </c>
      <c r="Q122" s="207" t="inlineStr">
        <is>
          <t>EXPLAIN
▸  TO A PARENT
▸  'ADHD is a difference in the brain's self-management system — starting things, stopping things, holding information in mind, and resisting distraction. It's not about not caring or not trying.'
▸  'The name is a bit misleading. It isn't a shortage of attention — it's difficulty DIRECTING attention to order. That's why he can spend three hours on something he loves and three minutes on homework.'
▸  'It's highly heritable. Very often a parent recognises a lot of it in themselves, and that's worth knowing rather than avoiding.'
▸  'It's not caused by sugar, screens or parenting. Those can make a hard day harder. They didn't cause this.'
▸  'What helps is structure that's external rather than expected of him — visual reminders, broken-down tasks, movement built in — plus, for some children, medication, which is a medical decision and not mine.'
▸  SIGNPOST: ADHD Ireland, and the CAMHS or Primary Care route for assessment.
▸  TO A TEACHER
▸  'The difficulty is executive function — starting, sustaining, switching and inhibiting. Think of it as a self-management difficulty rather than a listening problem.'
▸  'Hyperfocus is part of the picture, not evidence against it. Being able to concentrate on something interesting is normal for ADHD.'
▸  'Put the structure outside the child. Visual task lists, one instruction at a time, chunked work with a clear finish line, and a legitimate way to move.'
▸  'Proximity and private cues work better than public correction. Public correction costs the relationship and rarely changes the behaviour.'
▸  'Working memory is usually the bottleneck. Three-step instructions arrive as one step. Write them down or give them one at a time.'
▸  'Notice the inattentive presentation. The quiet, disorganised child who never causes trouble is the one most likely to be missed.'
▸  TO THE CHILD
▸  YOUNGER: 'Your brain is really good at noticing everything all at once. That's great for spotting things and it makes it hard when you only need to notice one thing. It also makes it tricky to get started and to stop.'
▸  OLDER: 'ADHD means the part of your brain that manages what you do next works differently. Starting things is harder, stopping is harder, and holding instructions in your head is harder. It's not about effort and it's not about being clever.'
▸  NAME THE HYPERFOCUS AS A STRENGTH, specifically: 'you spent an hour on that and got it exactly right — that's your brain doing what it does well.'
▸  ASK: 'What's the hardest part of the school day?' and 'when is it easiest?' The comparison is where the intervention comes from.
▸  BE CAREFUL WITH 'you just need to try harder' language, including your own. Children with ADHD have usually heard it for years and it is the fastest route to disengagement.
▸  ANALOGIES
▸  THE ORCHESTRA WITHOUT A CONDUCTOR: 'All the instruments are there and they're good ones. What's missing is the conductor deciding who plays when.' Barkley's inhibition account in plain terms; works well with parents and older children.
▸  THE BROWSER WITH FORTY TABS: 'Everything's open at once and something's playing music and you can't find which tab.' Good with adolescents — it is recognisable rather than pathologising.
▸  THE RAIN AND THE UMBRELLA (medication): 'Medication doesn't teach him to organise. It holds the umbrella so he can learn while it's raining.' Good for parents deciding about medication.
▸  THE INTEREST-POWERED ENGINE: 'Most engines run on petrol. This one runs on interest and urgency. When there's neither, it won't start — no matter how hard you push it.' Explains hyperfocus and homework in one image.
▸  LANGUAGE
▸  'ADHD' is the accepted term and is used by advocacy organisations including ADHD Ireland.
▸  Community preference is mixed on person-first versus identity-first; 'person with ADHD' and 'ADHDer' are both in use. Ask.
▸  Avoid: 'suffers from ADHD', 'hyper', 'ADD' (no longer a diagnostic term — it was folded into ADHD in DSM-IV).
▸  Avoid describing children as 'naughty', 'defiant' or 'lazy' in reports. These are interpretations, and PSI 1.2.8 requires labelling opinion clearly.</t>
        </is>
      </c>
      <c r="R122" s="207" t="inlineStr">
        <is>
          <t>THE CHILD’S VOICE, AND THE QUESTIONS
▸  'MY THOUGHTS ABOUT SCHOOL' (NEPS) — Irish, free, in schools already. Good because staff recognise it and it surfaces the school-day map. → https://www.gov.ie/en/publication/52ee2-neps-resources-and-publications/
▸  DAY MAPPING — the child marks a timeline of a typical day green/amber/red. Good because it locates the difficulty in time and setting rather than in the child, and generates precise targets.
▸  SCALING ON A LADDER — good because it gives a follow-up question ('what puts you at a 4?') that produces exceptions.
▸  ADHD IRELAND young people's materials — Irish context, written for young people. Good because self-understanding predicts self-advocacy in adolescence. → https://adhdireland.ie/
▸  STRENGTHS CARD SORT — the child sorts strengths cards into 'like me' / 'not like me'. Good because children with ADHD have usually accumulated years of negative feedback and direct questions about strengths produce nothing.
▸  QUESTIONS YOU WILL BE ASKED
▸  Q: 'But he can play video games for hours — so how can he have attention problems?' — A: 'That's hyperfocus and it's part of the picture rather than evidence against it. The difficulty is directing attention to order, not having none. High-interest activity supplies the direction for him.'
▸  Q: 'Is it the sugar?' — A: 'No. That's been tested properly — a meta-analysis found no effect of sugar on behaviour or cognition. It's one of the most persistent beliefs about ADHD and it isn't supported.'
▸  Q: 'Is it my parenting?' — A: 'No. It's highly heritable and present from early development. Parenting affects how hard the days are; it didn't cause this.'
▸  Q: 'Will he need medication?' — A: 'That's a medical decision and not mine to make. What I can say is that medication helps core symptoms for many children and doesn't teach organisation or repair confidence — so it's usually one part rather than the answer.'
▸  Q: 'Will he grow out of it?' — A: 'The hyperactivity usually reduces. The organisation and attention side often continues into adulthood. Most people find strategies that work.'
▸  Q: 'The teacher says he's fine when he wants to be.' — A: 'I'd want to look at when those times are, because that usually tells us exactly what he needs. If he's fine in short, structured, interesting tasks, that's the design brief rather than proof he could do it all along.'
▸  Q: 'She's quiet and does her work, so it can't be ADHD?' — A: 'The inattentive presentation looks like that — quiet, disorganised, drifting rather than disruptive. It's the one most often missed, especially in girls.'
▸  Q: 'Isn't ADHD over-diagnosed?' — A: 'It's both, in different places. Under-identified in girls and in the inattentive presentation, and there are concerns about identification in other groups. What matters here is whether this child meets criteria and is impaired, which is what the assessment looks at.'</t>
        </is>
      </c>
      <c r="S122" s="207" t="inlineStr">
        <is>
          <t>YOUR PRACTICE
▸  SUPERVISION
▸  Bring a case where parent and teacher ratings diverged sharply and ask how your supervisor reads that.
▸  Ask about the local referral route and threshold — CAMHS versus Primary Care — and what actually gets accepted.
▸  Raise any case where you suspect an unidentified learning difficulty underneath the attention referral. This is the most common formulation error in ADHD work.
▸  Discuss what you say to a parent asking about medication, word for word.
▸  Ask how your service handles a school that is treating ADHD as a behaviour problem.
▸  Bring the quiet inattentive child you nearly missed. There will be one.
▸  REFLECTION
▸  ON HOW I EXPLAINED IT — Did I explain ADHD, or did I explain what this child needs on Monday? Did the teacher leave with something specific?
▸  ON LANGUAGE — Did I use the family's terms or mine? Did I check whether the young person prefers 'has ADHD' or 'is ADHD'?
▸  ON THE HYPERFOCUS CONVERSATION — When someone said 'he can concentrate when he wants to', did I correct it clearly, or let it stand because contradicting felt awkward?
▸  ON MY OWN LANGUAGE IN THE REPORT — did I write 'refuses', 'won't', 'chooses not to'? Those are interpretations, and they follow a child for years.
▸  ON RULING OUT — did I assess attainment, ask about hearing, ask about sleep, before concluding attention? If not, my formulation is a hypothesis presented as a finding.
▸  ON THE INATTENTIVE CHILD — am I identifying the quiet ones, or only the ones the school is finding difficult?
▸  WHAT GOOD LOOKS LIKE: 'I had framed my feedback around attention, and the teacher pushed back that he concentrates fine in art. Rather than defending, I asked what art looks like — short tasks, movement, immediate feedback, high interest. That became the recommendation. My first framing would have produced an argument.'
▸  WHAT POOR LOOKS LIKE: 'Consistent with ADHD; referral recommended.' — no ruling out, no recommendations the school can act on, nothing learned.</t>
        </is>
      </c>
      <c r="T122" s="207" t="inlineStr">
        <is>
          <t>WHAT TO DO NEXT
▸  Proceed to FORMULATION using a named framework — Monsen, Interactive Factors, COMOIRA or Carr.
▸  If a learning need may be driving the presentation, proceed to attainment assessment before concluding.
▸  If risk or safeguarding emerged, none of the above — follow the protocol and tell your supervisor the same day.
▸  If the referral question is not answered by what you found, go back and renegotiate it.</t>
        </is>
      </c>
      <c r="U122" s="207" t="inlineStr">
        <is>
          <t>WHERE THE EVIDENCE GOES
▸  Psychological report
▸  Appendix 5 entry tagged 1. Assessment
▸  Appendix 7 if observed
▸  Table 3 — Young Adult
▸  Log sheet — tag the referral area and the competency</t>
        </is>
      </c>
      <c r="V122" s="207" t="inlineStr">
        <is>
          <t>CITATIONS
▸  American Psychiatric Association (2022). DSM-5-TR — Attention-Deficit/Hyperactivity Disorder.
▸  Polanczyk, G., de Lima, M. S., Horta, B. L., Biederman, J., &amp; Rohde, L. A. (2007). The worldwide prevalence of ADHD: A systematic review and metaregression analysis. American Journal of Psychiatry, 164(6), 942–948.
▸  Barkley, R. A. (1997). Behavioral inhibition, sustained attention, and executive functions. Psychological Bulletin, 121(1), 65–94.
▸  Wolraich, M. L., Wilson, D. B., &amp; White, J. W. (1995). The effect of sugar on behavior or cognition in children: A meta-analysis. JAMA, 274(20), 1617–1621.
▸  Willcutt, E. G. (2012). The prevalence of DSM-IV ADHD: A meta-analytic review. Neurotherapeutics, 9(3), 490–499.
▸  Pennington, B. F. (2006). From single to multiple deficit models of developmental disorders. Cognition, 101(2), 385–413.
▸  NICE (2018, updated). Attention deficit hyperactivity disorder: diagnosis and management. NG87.</t>
        </is>
      </c>
    </row>
    <row r="123" ht="169.5" customHeight="1" s="128">
      <c r="A123" s="208" t="inlineStr">
        <is>
          <t>CO-OCCURRING</t>
        </is>
      </c>
      <c r="B123" s="208" t="inlineStr">
        <is>
          <t>1. Assessment</t>
        </is>
      </c>
      <c r="C123" s="171" t="inlineStr">
        <is>
          <t>Young Adult (17–26 years)</t>
        </is>
      </c>
      <c r="D123" s="208" t="inlineStr">
        <is>
          <t>CO-OCCURS WITH ADHD</t>
        </is>
      </c>
      <c r="E123" s="209" t="inlineStr">
        <is>
          <t>SPECIFIC LEARNING DIFFICULTY</t>
        </is>
      </c>
      <c r="F123" s="208" t="inlineStr">
        <is>
          <t>see its own entry</t>
        </is>
      </c>
      <c r="G123" s="208" t="inlineStr">
        <is>
          <t>YES — assess separately</t>
        </is>
      </c>
      <c r="H123" s="171" t="inlineStr">
        <is>
          <t>WHERE THIS SITS
▸  Sits under 1. Assessment, alongside ADHD.
▸  NEPS category: 1. LEARNING (1.1 Attention, concentration and work skills) — and 2. BEHAVIOUR</t>
        </is>
      </c>
      <c r="I123" s="171" t="inlineStr">
        <is>
          <t>HOW OFTEN IT CO-OCCURS
▸  30–50% overlap.</t>
        </is>
      </c>
      <c r="J123" s="171" t="inlineStr">
        <is>
          <t>HOW IT PRESENTS WHEN IT CO-OCCURS
▸  inattention during literacy work specifically. ALWAYS assess attainment; escape from an unreadable task looks identical to inattention.</t>
        </is>
      </c>
      <c r="K123" s="171" t="inlineStr">
        <is>
          <t>THE RISK
▸  Do not assume the primary diagnosis explains this.
▸  Write down before you start what the primary diagnosis does NOT explain, then assess that.
▸  Diagnostic overshadowing is the single most common error in co-occurring presentations.</t>
        </is>
      </c>
      <c r="L123" s="171" t="inlineStr">
        <is>
          <t>—</t>
        </is>
      </c>
      <c r="M123" s="171" t="inlineStr">
        <is>
          <t>—</t>
        </is>
      </c>
      <c r="N123" s="171" t="inlineStr">
        <is>
          <t>—</t>
        </is>
      </c>
      <c r="O123" s="171" t="inlineStr">
        <is>
          <t>ASSESS
▸  Assess this separately, with its own measures.
▸  Build the case for each condition independently rather than letting evidence for one carry the other.</t>
        </is>
      </c>
      <c r="P123" s="171" t="inlineStr">
        <is>
          <t>DO
▸  State in the report what would be needed to establish this second presentation.
▸  That is often a referral rather than a conclusion you can reach yourself.</t>
        </is>
      </c>
      <c r="Q123" s="171" t="inlineStr">
        <is>
          <t>—</t>
        </is>
      </c>
      <c r="R123" s="171" t="inlineStr">
        <is>
          <t>—</t>
        </is>
      </c>
      <c r="S123" s="171" t="inlineStr">
        <is>
          <t>YOUR PRACTICE
▸  Bring it to supervision: for each child on my caseload with this diagnosis, what has NOT been assessed because the diagnosis was already there?</t>
        </is>
      </c>
      <c r="T123" s="171" t="inlineStr">
        <is>
          <t>WHAT TO DO NEXT
▸  Assess separately, then refer if the threshold is met.</t>
        </is>
      </c>
      <c r="U123" s="171" t="inlineStr">
        <is>
          <t>WHERE THE EVIDENCE GOES
▸  Psychological report — state the co-occurrence and what it changes.</t>
        </is>
      </c>
      <c r="V123" s="171" t="inlineStr">
        <is>
          <t>—</t>
        </is>
      </c>
    </row>
    <row r="124" ht="169.5" customHeight="1" s="128">
      <c r="A124" s="208" t="inlineStr">
        <is>
          <t>CO-OCCURRING</t>
        </is>
      </c>
      <c r="B124" s="208" t="inlineStr">
        <is>
          <t>1. Assessment</t>
        </is>
      </c>
      <c r="C124" s="171" t="inlineStr">
        <is>
          <t>Young Adult (17–26 years)</t>
        </is>
      </c>
      <c r="D124" s="208" t="inlineStr">
        <is>
          <t>CO-OCCURS WITH ADHD</t>
        </is>
      </c>
      <c r="E124" s="209" t="inlineStr">
        <is>
          <t>AUTISM</t>
        </is>
      </c>
      <c r="F124" s="208" t="inlineStr">
        <is>
          <t>see its own entry</t>
        </is>
      </c>
      <c r="G124" s="208" t="inlineStr">
        <is>
          <t>YES — assess separately</t>
        </is>
      </c>
      <c r="H124" s="171" t="inlineStr">
        <is>
          <t>WHERE THIS SITS
▸  Sits under 1. Assessment, alongside ADHD.
▸  NEPS category: 1. LEARNING (1.1 Attention, concentration and work skills) — and 2. BEHAVIOUR</t>
        </is>
      </c>
      <c r="I124" s="171" t="inlineStr">
        <is>
          <t>HOW OFTEN IT CO-OCCURS
▸  28–44%.</t>
        </is>
      </c>
      <c r="J124" s="171" t="inlineStr">
        <is>
          <t>HOW IT PRESENTS WHEN IT CO-OCCURS
▸  social difficulty plus attention difficulty. Dual diagnosis has been permitted since DSM-5 (2013); older records may not reflect it.</t>
        </is>
      </c>
      <c r="K124" s="171" t="inlineStr">
        <is>
          <t>THE RISK
▸  Do not assume the primary diagnosis explains this.
▸  Write down before you start what the primary diagnosis does NOT explain, then assess that.
▸  Diagnostic overshadowing is the single most common error in co-occurring presentations.</t>
        </is>
      </c>
      <c r="L124" s="171" t="inlineStr">
        <is>
          <t>—</t>
        </is>
      </c>
      <c r="M124" s="171" t="inlineStr">
        <is>
          <t>—</t>
        </is>
      </c>
      <c r="N124" s="171" t="inlineStr">
        <is>
          <t>—</t>
        </is>
      </c>
      <c r="O124" s="171" t="inlineStr">
        <is>
          <t>ASSESS
▸  Assess this separately, with its own measures.
▸  Build the case for each condition independently rather than letting evidence for one carry the other.</t>
        </is>
      </c>
      <c r="P124" s="171" t="inlineStr">
        <is>
          <t>DO
▸  State in the report what would be needed to establish this second presentation.
▸  That is often a referral rather than a conclusion you can reach yourself.</t>
        </is>
      </c>
      <c r="Q124" s="171" t="inlineStr">
        <is>
          <t>—</t>
        </is>
      </c>
      <c r="R124" s="171" t="inlineStr">
        <is>
          <t>—</t>
        </is>
      </c>
      <c r="S124" s="171" t="inlineStr">
        <is>
          <t>YOUR PRACTICE
▸  Bring it to supervision: for each child on my caseload with this diagnosis, what has NOT been assessed because the diagnosis was already there?</t>
        </is>
      </c>
      <c r="T124" s="171" t="inlineStr">
        <is>
          <t>WHAT TO DO NEXT
▸  Assess separately, then refer if the threshold is met.</t>
        </is>
      </c>
      <c r="U124" s="171" t="inlineStr">
        <is>
          <t>WHERE THE EVIDENCE GOES
▸  Psychological report — state the co-occurrence and what it changes.</t>
        </is>
      </c>
      <c r="V124" s="171" t="inlineStr">
        <is>
          <t>—</t>
        </is>
      </c>
    </row>
    <row r="125" ht="169.5" customHeight="1" s="128">
      <c r="A125" s="208" t="inlineStr">
        <is>
          <t>CO-OCCURRING</t>
        </is>
      </c>
      <c r="B125" s="208" t="inlineStr">
        <is>
          <t>1. Assessment</t>
        </is>
      </c>
      <c r="C125" s="171" t="inlineStr">
        <is>
          <t>Young Adult (17–26 years)</t>
        </is>
      </c>
      <c r="D125" s="208" t="inlineStr">
        <is>
          <t>CO-OCCURS WITH ADHD</t>
        </is>
      </c>
      <c r="E125" s="209" t="inlineStr">
        <is>
          <t>ODD / CONDUCT DIFFICULTY</t>
        </is>
      </c>
      <c r="F125" s="208" t="inlineStr">
        <is>
          <t>see its own entry</t>
        </is>
      </c>
      <c r="G125" s="208" t="inlineStr">
        <is>
          <t>YES — assess separately</t>
        </is>
      </c>
      <c r="H125" s="171" t="inlineStr">
        <is>
          <t>WHERE THIS SITS
▸  Sits under 1. Assessment, alongside ADHD.
▸  NEPS category: 1. LEARNING (1.1 Attention, concentration and work skills) — and 2. BEHAVIOUR</t>
        </is>
      </c>
      <c r="I125" s="171" t="inlineStr">
        <is>
          <t>HOW OFTEN IT CO-OCCURS
▸  elevated, particularly where ADHD has gone unidentified and the child has accumulated years of correction.</t>
        </is>
      </c>
      <c r="J125" s="171" t="inlineStr">
        <is>
          <t>HOW IT PRESENTS WHEN IT CO-OCCURS
▸  defiance that is often a learned response to chronic failure.</t>
        </is>
      </c>
      <c r="K125" s="171" t="inlineStr">
        <is>
          <t>THE RISK
▸  Do not assume the primary diagnosis explains this.
▸  Write down before you start what the primary diagnosis does NOT explain, then assess that.
▸  Diagnostic overshadowing is the single most common error in co-occurring presentations.</t>
        </is>
      </c>
      <c r="L125" s="171" t="inlineStr">
        <is>
          <t>—</t>
        </is>
      </c>
      <c r="M125" s="171" t="inlineStr">
        <is>
          <t>—</t>
        </is>
      </c>
      <c r="N125" s="171" t="inlineStr">
        <is>
          <t>—</t>
        </is>
      </c>
      <c r="O125" s="171" t="inlineStr">
        <is>
          <t>ASSESS
▸  Assess this separately, with its own measures.
▸  Build the case for each condition independently rather than letting evidence for one carry the other.</t>
        </is>
      </c>
      <c r="P125" s="171" t="inlineStr">
        <is>
          <t>DO
▸  State in the report what would be needed to establish this second presentation.
▸  That is often a referral rather than a conclusion you can reach yourself.</t>
        </is>
      </c>
      <c r="Q125" s="171" t="inlineStr">
        <is>
          <t>—</t>
        </is>
      </c>
      <c r="R125" s="171" t="inlineStr">
        <is>
          <t>—</t>
        </is>
      </c>
      <c r="S125" s="171" t="inlineStr">
        <is>
          <t>YOUR PRACTICE
▸  Bring it to supervision: for each child on my caseload with this diagnosis, what has NOT been assessed because the diagnosis was already there?</t>
        </is>
      </c>
      <c r="T125" s="171" t="inlineStr">
        <is>
          <t>WHAT TO DO NEXT
▸  Assess separately, then refer if the threshold is met.</t>
        </is>
      </c>
      <c r="U125" s="171" t="inlineStr">
        <is>
          <t>WHERE THE EVIDENCE GOES
▸  Psychological report — state the co-occurrence and what it changes.</t>
        </is>
      </c>
      <c r="V125" s="171" t="inlineStr">
        <is>
          <t>—</t>
        </is>
      </c>
    </row>
    <row r="126" ht="169.5" customHeight="1" s="128">
      <c r="A126" s="208" t="inlineStr">
        <is>
          <t>CO-OCCURRING</t>
        </is>
      </c>
      <c r="B126" s="208" t="inlineStr">
        <is>
          <t>1. Assessment</t>
        </is>
      </c>
      <c r="C126" s="171" t="inlineStr">
        <is>
          <t>Young Adult (17–26 years)</t>
        </is>
      </c>
      <c r="D126" s="208" t="inlineStr">
        <is>
          <t>CO-OCCURS WITH ADHD</t>
        </is>
      </c>
      <c r="E126" s="209" t="inlineStr">
        <is>
          <t>ANXIETY AND LOW MOOD</t>
        </is>
      </c>
      <c r="F126" s="208" t="inlineStr">
        <is>
          <t>see its own entry</t>
        </is>
      </c>
      <c r="G126" s="208" t="inlineStr">
        <is>
          <t>YES — assess separately</t>
        </is>
      </c>
      <c r="H126" s="171" t="inlineStr">
        <is>
          <t>WHERE THIS SITS
▸  Sits under 1. Assessment, alongside ADHD.
▸  NEPS category: 1. LEARNING (1.1 Attention, concentration and work skills) — and 2. BEHAVIOUR</t>
        </is>
      </c>
      <c r="I126" s="171" t="inlineStr">
        <is>
          <t>HOW OFTEN IT CO-OCCURS
▸  elevated, usually secondary.</t>
        </is>
      </c>
      <c r="J126" s="171" t="inlineStr">
        <is>
          <t>HOW IT PRESENTS WHEN IT CO-OCCURS
▸  avoidance and somatic complaints. Treat the ADHD and much reduces, but not all.</t>
        </is>
      </c>
      <c r="K126" s="171" t="inlineStr">
        <is>
          <t>THE RISK
▸  Do not assume the primary diagnosis explains this.
▸  Write down before you start what the primary diagnosis does NOT explain, then assess that.
▸  Diagnostic overshadowing is the single most common error in co-occurring presentations.</t>
        </is>
      </c>
      <c r="L126" s="171" t="inlineStr">
        <is>
          <t>—</t>
        </is>
      </c>
      <c r="M126" s="171" t="inlineStr">
        <is>
          <t>—</t>
        </is>
      </c>
      <c r="N126" s="171" t="inlineStr">
        <is>
          <t>—</t>
        </is>
      </c>
      <c r="O126" s="171" t="inlineStr">
        <is>
          <t>ASSESS
▸  Assess this separately, with its own measures.
▸  Build the case for each condition independently rather than letting evidence for one carry the other.</t>
        </is>
      </c>
      <c r="P126" s="171" t="inlineStr">
        <is>
          <t>DO
▸  State in the report what would be needed to establish this second presentation.
▸  That is often a referral rather than a conclusion you can reach yourself.</t>
        </is>
      </c>
      <c r="Q126" s="171" t="inlineStr">
        <is>
          <t>—</t>
        </is>
      </c>
      <c r="R126" s="171" t="inlineStr">
        <is>
          <t>—</t>
        </is>
      </c>
      <c r="S126" s="171" t="inlineStr">
        <is>
          <t>YOUR PRACTICE
▸  Bring it to supervision: for each child on my caseload with this diagnosis, what has NOT been assessed because the diagnosis was already there?</t>
        </is>
      </c>
      <c r="T126" s="171" t="inlineStr">
        <is>
          <t>WHAT TO DO NEXT
▸  Assess separately, then refer if the threshold is met.</t>
        </is>
      </c>
      <c r="U126" s="171" t="inlineStr">
        <is>
          <t>WHERE THE EVIDENCE GOES
▸  Psychological report — state the co-occurrence and what it changes.</t>
        </is>
      </c>
      <c r="V126" s="171" t="inlineStr">
        <is>
          <t>—</t>
        </is>
      </c>
    </row>
    <row r="127" ht="169.5" customHeight="1" s="128">
      <c r="A127" s="208" t="inlineStr">
        <is>
          <t>CO-OCCURRING</t>
        </is>
      </c>
      <c r="B127" s="208" t="inlineStr">
        <is>
          <t>1. Assessment</t>
        </is>
      </c>
      <c r="C127" s="171" t="inlineStr">
        <is>
          <t>Young Adult (17–26 years)</t>
        </is>
      </c>
      <c r="D127" s="208" t="inlineStr">
        <is>
          <t>CO-OCCURS WITH ADHD</t>
        </is>
      </c>
      <c r="E127" s="209" t="inlineStr">
        <is>
          <t>DCD</t>
        </is>
      </c>
      <c r="F127" s="208" t="inlineStr">
        <is>
          <t>see its own entry</t>
        </is>
      </c>
      <c r="G127" s="208" t="inlineStr">
        <is>
          <t>YES — assess separately</t>
        </is>
      </c>
      <c r="H127" s="171" t="inlineStr">
        <is>
          <t>WHERE THIS SITS
▸  Sits under 1. Assessment, alongside ADHD.
▸  NEPS category: 1. LEARNING (1.1 Attention, concentration and work skills) — and 2. BEHAVIOUR</t>
        </is>
      </c>
      <c r="I127" s="171" t="inlineStr">
        <is>
          <t>HOW OFTEN IT CO-OCCURS
▸  elevated.</t>
        </is>
      </c>
      <c r="J127" s="171" t="inlineStr">
        <is>
          <t>HOW IT PRESENTS WHEN IT CO-OCCURS
▸  messy, slow written work attributed to carelessness.</t>
        </is>
      </c>
      <c r="K127" s="171" t="inlineStr">
        <is>
          <t>THE RISK
▸  Do not assume the primary diagnosis explains this.
▸  Write down before you start what the primary diagnosis does NOT explain, then assess that.
▸  Diagnostic overshadowing is the single most common error in co-occurring presentations.</t>
        </is>
      </c>
      <c r="L127" s="171" t="inlineStr">
        <is>
          <t>—</t>
        </is>
      </c>
      <c r="M127" s="171" t="inlineStr">
        <is>
          <t>—</t>
        </is>
      </c>
      <c r="N127" s="171" t="inlineStr">
        <is>
          <t>—</t>
        </is>
      </c>
      <c r="O127" s="171" t="inlineStr">
        <is>
          <t>ASSESS
▸  Assess this separately, with its own measures.
▸  Build the case for each condition independently rather than letting evidence for one carry the other.</t>
        </is>
      </c>
      <c r="P127" s="171" t="inlineStr">
        <is>
          <t>DO
▸  State in the report what would be needed to establish this second presentation.
▸  That is often a referral rather than a conclusion you can reach yourself.</t>
        </is>
      </c>
      <c r="Q127" s="171" t="inlineStr">
        <is>
          <t>—</t>
        </is>
      </c>
      <c r="R127" s="171" t="inlineStr">
        <is>
          <t>—</t>
        </is>
      </c>
      <c r="S127" s="171" t="inlineStr">
        <is>
          <t>YOUR PRACTICE
▸  Bring it to supervision: for each child on my caseload with this diagnosis, what has NOT been assessed because the diagnosis was already there?</t>
        </is>
      </c>
      <c r="T127" s="171" t="inlineStr">
        <is>
          <t>WHAT TO DO NEXT
▸  Assess separately, then refer if the threshold is met.</t>
        </is>
      </c>
      <c r="U127" s="171" t="inlineStr">
        <is>
          <t>WHERE THE EVIDENCE GOES
▸  Psychological report — state the co-occurrence and what it changes.</t>
        </is>
      </c>
      <c r="V127" s="171" t="inlineStr">
        <is>
          <t>—</t>
        </is>
      </c>
    </row>
    <row r="128" ht="169.5" customHeight="1" s="128">
      <c r="A128" s="208" t="inlineStr">
        <is>
          <t>CO-OCCURRING</t>
        </is>
      </c>
      <c r="B128" s="208" t="inlineStr">
        <is>
          <t>1. Assessment</t>
        </is>
      </c>
      <c r="C128" s="171" t="inlineStr">
        <is>
          <t>Young Adult (17–26 years)</t>
        </is>
      </c>
      <c r="D128" s="208" t="inlineStr">
        <is>
          <t>CO-OCCURS WITH ADHD</t>
        </is>
      </c>
      <c r="E128" s="209" t="inlineStr">
        <is>
          <t>DLD</t>
        </is>
      </c>
      <c r="F128" s="208" t="inlineStr">
        <is>
          <t>see its own entry</t>
        </is>
      </c>
      <c r="G128" s="208" t="inlineStr">
        <is>
          <t>YES — assess separately</t>
        </is>
      </c>
      <c r="H128" s="171" t="inlineStr">
        <is>
          <t>WHERE THIS SITS
▸  Sits under 1. Assessment, alongside ADHD.
▸  NEPS category: 1. LEARNING (1.1 Attention, concentration and work skills) — and 2. BEHAVIOUR</t>
        </is>
      </c>
      <c r="I128" s="171" t="inlineStr">
        <is>
          <t>HOW OFTEN IT CO-OCCURS
▸  elevated.</t>
        </is>
      </c>
      <c r="J128" s="171" t="inlineStr">
        <is>
          <t>HOW IT PRESENTS WHEN IT CO-OCCURS
▸  not following instructions, which is comprehension rather than attention.</t>
        </is>
      </c>
      <c r="K128" s="171" t="inlineStr">
        <is>
          <t>THE RISK
▸  Do not assume the primary diagnosis explains this.
▸  Write down before you start what the primary diagnosis does NOT explain, then assess that.
▸  Diagnostic overshadowing is the single most common error in co-occurring presentations.</t>
        </is>
      </c>
      <c r="L128" s="171" t="inlineStr">
        <is>
          <t>—</t>
        </is>
      </c>
      <c r="M128" s="171" t="inlineStr">
        <is>
          <t>—</t>
        </is>
      </c>
      <c r="N128" s="171" t="inlineStr">
        <is>
          <t>—</t>
        </is>
      </c>
      <c r="O128" s="171" t="inlineStr">
        <is>
          <t>ASSESS
▸  Assess this separately, with its own measures.
▸  Build the case for each condition independently rather than letting evidence for one carry the other.</t>
        </is>
      </c>
      <c r="P128" s="171" t="inlineStr">
        <is>
          <t>DO
▸  State in the report what would be needed to establish this second presentation.
▸  That is often a referral rather than a conclusion you can reach yourself.</t>
        </is>
      </c>
      <c r="Q128" s="171" t="inlineStr">
        <is>
          <t>—</t>
        </is>
      </c>
      <c r="R128" s="171" t="inlineStr">
        <is>
          <t>—</t>
        </is>
      </c>
      <c r="S128" s="171" t="inlineStr">
        <is>
          <t>YOUR PRACTICE
▸  Bring it to supervision: for each child on my caseload with this diagnosis, what has NOT been assessed because the diagnosis was already there?</t>
        </is>
      </c>
      <c r="T128" s="171" t="inlineStr">
        <is>
          <t>WHAT TO DO NEXT
▸  Assess separately, then refer if the threshold is met.</t>
        </is>
      </c>
      <c r="U128" s="171" t="inlineStr">
        <is>
          <t>WHERE THE EVIDENCE GOES
▸  Psychological report — state the co-occurrence and what it changes.</t>
        </is>
      </c>
      <c r="V128" s="171" t="inlineStr">
        <is>
          <t>—</t>
        </is>
      </c>
    </row>
    <row r="129" ht="169.5" customHeight="1" s="128">
      <c r="A129" s="208" t="inlineStr">
        <is>
          <t>CO-OCCURRING</t>
        </is>
      </c>
      <c r="B129" s="208" t="inlineStr">
        <is>
          <t>1. Assessment</t>
        </is>
      </c>
      <c r="C129" s="171" t="inlineStr">
        <is>
          <t>Young Adult (17–26 years)</t>
        </is>
      </c>
      <c r="D129" s="208" t="inlineStr">
        <is>
          <t>CO-OCCURS WITH ADHD</t>
        </is>
      </c>
      <c r="E129" s="209" t="inlineStr">
        <is>
          <t>SLEEP DIFFICULTY</t>
        </is>
      </c>
      <c r="F129" s="208" t="inlineStr">
        <is>
          <t>see its own entry</t>
        </is>
      </c>
      <c r="G129" s="208" t="inlineStr">
        <is>
          <t>YES — assess separately</t>
        </is>
      </c>
      <c r="H129" s="171" t="inlineStr">
        <is>
          <t>WHERE THIS SITS
▸  Sits under 1. Assessment, alongside ADHD.
▸  NEPS category: 1. LEARNING (1.1 Attention, concentration and work skills) — and 2. BEHAVIOUR</t>
        </is>
      </c>
      <c r="I129" s="171" t="inlineStr">
        <is>
          <t>HOW OFTEN IT CO-OCCURS
▸  Rate not stated in source — check before quoting.</t>
        </is>
      </c>
      <c r="J129" s="171" t="inlineStr">
        <is>
          <t>HOW IT PRESENTS WHEN IT CO-OCCURS
▸  very common and bidirectional. Always ask; a child sleeping six hours will screen positive on everything.</t>
        </is>
      </c>
      <c r="K129" s="171" t="inlineStr">
        <is>
          <t>THE RISK
▸  Do not assume the primary diagnosis explains this.
▸  Write down before you start what the primary diagnosis does NOT explain, then assess that.
▸  Diagnostic overshadowing is the single most common error in co-occurring presentations.</t>
        </is>
      </c>
      <c r="L129" s="171" t="inlineStr">
        <is>
          <t>—</t>
        </is>
      </c>
      <c r="M129" s="171" t="inlineStr">
        <is>
          <t>—</t>
        </is>
      </c>
      <c r="N129" s="171" t="inlineStr">
        <is>
          <t>—</t>
        </is>
      </c>
      <c r="O129" s="171" t="inlineStr">
        <is>
          <t>ASSESS
▸  Assess this separately, with its own measures.
▸  Build the case for each condition independently rather than letting evidence for one carry the other.</t>
        </is>
      </c>
      <c r="P129" s="171" t="inlineStr">
        <is>
          <t>DO
▸  State in the report what would be needed to establish this second presentation.
▸  That is often a referral rather than a conclusion you can reach yourself.</t>
        </is>
      </c>
      <c r="Q129" s="171" t="inlineStr">
        <is>
          <t>—</t>
        </is>
      </c>
      <c r="R129" s="171" t="inlineStr">
        <is>
          <t>—</t>
        </is>
      </c>
      <c r="S129" s="171" t="inlineStr">
        <is>
          <t>YOUR PRACTICE
▸  Bring it to supervision: for each child on my caseload with this diagnosis, what has NOT been assessed because the diagnosis was already there?</t>
        </is>
      </c>
      <c r="T129" s="171" t="inlineStr">
        <is>
          <t>WHAT TO DO NEXT
▸  Assess separately, then refer if the threshold is met.</t>
        </is>
      </c>
      <c r="U129" s="171" t="inlineStr">
        <is>
          <t>WHERE THE EVIDENCE GOES
▸  Psychological report — state the co-occurrence and what it changes.</t>
        </is>
      </c>
      <c r="V129" s="171" t="inlineStr">
        <is>
          <t>—</t>
        </is>
      </c>
    </row>
    <row r="130" ht="408.75" customHeight="1" s="128">
      <c r="A130" s="210" t="inlineStr">
        <is>
          <t>PRESENTATION</t>
        </is>
      </c>
      <c r="B130" s="210" t="inlineStr">
        <is>
          <t>1. Assessment</t>
        </is>
      </c>
      <c r="C130" s="170" t="inlineStr">
        <is>
          <t>Young Adult (17–26 years)</t>
        </is>
      </c>
      <c r="D130" s="210" t="inlineStr">
        <is>
          <t>SYMPTOM-ONLY</t>
        </is>
      </c>
      <c r="E130" s="211" t="inlineStr">
        <is>
          <t>Presentations related to ADHD — no diagnosis</t>
        </is>
      </c>
      <c r="F130" s="210" t="inlineStr">
        <is>
          <t>No DSM code</t>
        </is>
      </c>
      <c r="G130" s="210" t="inlineStr">
        <is>
          <t>YES — these present at every band</t>
        </is>
      </c>
      <c r="H130" s="170" t="inlineStr">
        <is>
          <t>WHERE THIS SITS
▸  NEPS category: as above
▸  UCD competency: 1. Assessment
▸  CORU: 3.1 · 3.2 · 5.28 · 5.29 · 5.30 · 5.31 · 5.32
▸  PSI: 2.2.2 · 2.3.1 · 1.3.1 · 1.2.8</t>
        </is>
      </c>
      <c r="I130" s="170" t="inlineStr">
        <is>
          <t>THE PRESENTATIONS — no diagnosis needed, and most referrals look like this
▸  Working memory difficulty
▸  Inhibition difficulty
▸  Task initiation difficulty
▸  Motivation and engagement with work
▸  Work rate and pace of output
▸  Organisation of materials, books and equipment
▸  Homework completion and follow-through
▸  Fatigue, sleep and time-of-day effects on attention</t>
        </is>
      </c>
      <c r="J130" s="170" t="inlineStr">
        <is>
          <t>HOW COMMON
▸  No prevalence figures exist for these — they are descriptions, not categories.
▸  They are more common than the diagnosis they sit beside.</t>
        </is>
      </c>
      <c r="K130" s="170" t="inlineStr">
        <is>
          <t>THE PATHWAY
▸  No diagnostic pathway. Nobody diagnoses these.
▸  You describe them, formulate around them, and recommend. That is the whole pathway.
▸  If a parent asks who diagnoses it: nobody. Say that plainly, and say it does not make the difficulty less real or less workable.</t>
        </is>
      </c>
      <c r="L130" s="170" t="inlineStr">
        <is>
          <t>WHAT YOU SEE
▸  These are what the referral form actually describes in Section 5.
▸  Look for the pattern across settings rather than a threshold.</t>
        </is>
      </c>
      <c r="M130" s="170" t="inlineStr">
        <is>
          <t>RED FLAGS
▸  Escalating distress, withdrawal or risk indicators — follow the protocol regardless of whether a diagnosis exists.
▸  Do not let the absence of a diagnosis delay a safeguarding response.</t>
        </is>
      </c>
      <c r="N130" s="170" t="inlineStr">
        <is>
          <t>WHAT ELSE COULD IT BE
▸  Each of these can be the visible edge of the diagnosed condition above.
▸  Each can also occur entirely on its own.
▸  Test the sequence: which came first?</t>
        </is>
      </c>
      <c r="O130" s="170" t="inlineStr">
        <is>
          <t>ASSESS
▸  Observation with a comparison peer.
▸  Teacher and parent interview.
▸  Pupil interview — their account is the evidence here.
▸  Rating scales describe perception, not the presentation itself.</t>
        </is>
      </c>
      <c r="P130" s="170" t="inlineStr">
        <is>
          <t>DO
▸  Name the presentation precisely rather than reaching for a label.
▸  Recommend at the level of the behaviour, not the hypothetical diagnosis.
▸  Specify what, who, how often, for how long, and how it will be measured.
▸  Name the Continuum of Support level.</t>
        </is>
      </c>
      <c r="Q130" s="170" t="inlineStr">
        <is>
          <t>EXPLAIN
▸  To a parent: “There isn’t a diagnosis for this, and it’s still real and still workable. Here’s what we do.”
▸  To a teacher: describe the behaviour in countable terms, not in trait terms.
▸  To the child: ask what helps, and use their words in the report.</t>
        </is>
      </c>
      <c r="R130" s="170" t="inlineStr">
        <is>
          <t>CHILD’S VOICE AND QUESTIONS
▸  Talking Mats · Blob Tree · scaling on a drawn ladder · sentence completion · day mapping.
▸  Q: “So there’s nothing wrong with him?” A: “There’s a real difficulty and it doesn’t have a label. Labels help get resources; they don’t make a difficulty more or less real.”
▸  Q: “Should we get him assessed privately?” A: give the honest position on what a diagnosis would and would not change here.</t>
        </is>
      </c>
      <c r="S130" s="170" t="inlineStr">
        <is>
          <t>YOUR PRACTICE
▸  Bring a case where you were pulled toward a label the data did not support.
▸  Reflect: did I describe, or did I reach? Whose language did I use?</t>
        </is>
      </c>
      <c r="T130" s="170" t="inlineStr">
        <is>
          <t>WHAT TO DO NEXT
▸  Proceed to formulation. These belong at the behavioural level of the Interactive Factors Framework.
▸  Test whether an unmet learning need is underneath before concluding anything.</t>
        </is>
      </c>
      <c r="U130" s="170" t="inlineStr">
        <is>
          <t>WHERE THE EVIDENCE GOES
▸  Psychological report
▸  Appendix 5 entry
▸  Log sheet</t>
        </is>
      </c>
      <c r="V130" s="170" t="inlineStr">
        <is>
          <t>CITATIONS
▸  Frederickson &amp; Cline (2009)
▸  Monsen &amp; Frederickson (2008)
▸  NEPS Continuum of Support</t>
        </is>
      </c>
    </row>
    <row r="131" ht="408.75" customHeight="1" s="128">
      <c r="A131" s="205" t="inlineStr">
        <is>
          <t>CONDITION</t>
        </is>
      </c>
      <c r="B131" s="205" t="inlineStr">
        <is>
          <t>1. Assessment</t>
        </is>
      </c>
      <c r="C131" s="206" t="inlineStr">
        <is>
          <t>Young Adult (17–26 years)</t>
        </is>
      </c>
      <c r="D131" s="205" t="inlineStr">
        <is>
          <t>DIAGNOSED</t>
        </is>
      </c>
      <c r="E131" s="206" t="inlineStr">
        <is>
          <t>General Learning Disability (GLD) / Intellectual Disability</t>
        </is>
      </c>
      <c r="F131" s="205" t="inlineStr">
        <is>
          <t>DSM-5-TR Intellectual Developmental Disorder · ICD-11 6A00 · Irish education: mild / moderate / severe-profound GLD</t>
        </is>
      </c>
      <c r="G131" s="205" t="inlineStr">
        <is>
          <t>RETROSPECTIVE ONLY</t>
        </is>
      </c>
      <c r="H131" s="207" t="inlineStr">
        <is>
          <t>WHERE THIS SITS
▸  NEPS referral form category: 1. LEARNING (1.3 Comprehension and general ability)
▸  UCD competency: 1. Assessment
▸  CORU: 3.1 · 3.2 · 5.28 · 5.29 · 5.30 · 5.31 · 5.32
▸  PSI: 2.2.2 · 2.3.1 · 1.3.1 · 1.2.8
▸  Law and policy: Children First Act 2015 · EPSEN Act 2004 · Equal Status Acts 2000–2018 · GDPR</t>
        </is>
      </c>
      <c r="I131" s="207" t="inlineStr">
        <is>
          <t>WHAT IT IS, AND WHAT IT IS NOT
▸  Defined by THREE criteria, all of which must be met (APA, 2022): (a) deficits in intellectual functioning confirmed by clinical assessment and standardised testing; (b) deficits in ADAPTIVE functioning across conceptual, social and practical domains; (c) onset during the developmental period.
▸  CRITICAL POINT: DSM-5 moved severity from IQ score to ADAPTIVE FUNCTIONING. Severity is determined by adaptive functioning, not by IQ. Many practitioners have not updated this.
▸  Irish education uses mild (approx. IQ 50–70), moderate (35–49), severe/profound (below 35) GLD as categories for resource allocation. These bands are administrative, not diagnostic.
▸  Borderline intellectual functioning (roughly 70–79) is NOT intellectual disability, has no category, and often receives no resource — while having substantial educational impact. It is a DSM-5-TR V-code.
▸  Onset in the developmental period is essential. An acquired difficulty after a brain injury is a different diagnosis.
▸  NOT the same as a specific learning difficulty. Dyslexia is a SPECIFIC difficulty against an otherwise typical profile; GLD is a GENERAL difficulty across domains. Parents and teachers confuse these constantly.
▸  NOT fixed and unchangeable. Adaptive functioning improves with teaching and support; that is the whole point of measuring it separately.
▸  NOT determined by an IQ number alone. Diagnosing on IQ without adaptive assessment is incorrect under current criteria.
▸  NOT a predictor of quality of life, relationships or employment. Support and opportunity predict those.
▸  NOT 'mental handicap', 'retardation' or any historical term. Do not use them, including when quoting older reports without flagging it.</t>
        </is>
      </c>
      <c r="J131" s="207" t="inlineStr">
        <is>
          <t>HOW COMMON AT THIS AGE
▸  OVERALL: around 1% of the population internationally (Maulik et al., 2011, meta-analysis), with mild ID accounting for the large majority.
▸  IRELAND: the National Intellectual Disability Database (NIDD), run by the Health Research Board, is the authoritative Irish source. Check the current annual report.
▸  SOCIOECONOMIC GRADIENT: mild ID is strongly associated with socioeconomic disadvantage, which is a reason for caution about attribution and for assessing opportunity as well as ability.
▸  AT OTHER AGES (for context): MILD GLD is the largest group by far and the most likely to be identified late, because the profile is less visibly distinct in early years. · MODERATE, SEVERE AND PROFOUND are usually identified in the early years, often through the CDNT rather than through school. · EARLY YEARS 0–5 · SCHOOL AGE 6–12 · ADOLESCENT AND ADULT</t>
        </is>
      </c>
      <c r="K131" s="207" t="inlineStr">
        <is>
          <t>THE PATHWAY AND THE TIMELINE
▸ TYPICAL AGE OF IDENTIFICATION, AND WHY THEN
   Moderate to profound: usually identified in the first three years, often through the Public Health Nurse or paediatrics, because developmental milestones are visibly delayed. Mild GLD: typically 6–9, because the profile is not visibly distinct until curriculum demands outpace the child. Under 5 the term used is Global Developmental Delay, because cognitive profiles are unstable and a formal ID diagnosis would be unreliable.
▸ WHO DIAGNOSES IT
   CDNT, or clinical psychology within disability services. Requires both a cognitive assessment and an adaptive assessment — neither alone is sufficient under current criteria. An educational psychologist identifies the educational profile and its implications; the diagnosis sits with the clinical team.
▸ WHO COULD HAVE WRITTEN THE REPORT IN FRONT OF YOU
   CDNT psychologist. Paediatrician. Assessment of Need report. An older NEPS report identifying 'general learning disability' for resource purposes — which is an educational categorisation, not a clinical diagnosis. Know which you are reading.
▸ WHO YOU REFER TO
   CDNT for diagnosis and adaptive support. SLT for communication. OT for motor and self-care. SENO for placement and resource. Adult disability services from 16 for transition.
▸ 'SHOULD WE HAVE COME SOONER?'
   For mild GLD: 'No. It usually isn't visible until the work gets harder than she can manage, and that's around now. Coming earlier wouldn't have shown anything different.' For moderate or above identified late: that is unusual and worth exploring gently — but frame it as a gap in the system, and check what was actually done rather than assuming.</t>
        </is>
      </c>
      <c r="L131" s="207" t="inlineStr">
        <is>
          <t>WHAT YOU SEE AT THIS AGE
▸  WAIS-IV and ABAS-3 adult form for adult service eligibility. Functional and vocational focus.
▸  EARLY YEARS 0–5: identified through developmental delay. Griffiths III or Bayley-4 via CDNT, Vineland-3 or ABAS-3. Diagnosis is often deferred — 'global developmental delay' is used under 5 because profiles are unstable.
▸  SCHOOL AGE 6–12: WISC-V plus an adaptive measure plus attainment. Both criteria must be assessed. Use GAI where index scatter exceeds 23 points.
▸  ADOLESCENT 13–16: the question shifts to curriculum route (L1LP/L2LP) and to transition. Adaptive assessment becomes more important than cognitive.
▸  YOUNG ADULT 17–26: WAIS-IV and ABAS-3 adult form for adult service eligibility. Functional and vocational focus.
▸  SPECIAL SETTING: adaptive profile against the setting curriculum is usually more informative than any IQ.</t>
        </is>
      </c>
      <c r="M131" s="207" t="inlineStr">
        <is>
          <t>RED FLAGS AND BOUNDARIES
▸  RED FLAG — regression or loss of skills. Urgent medical referral.
▸  RED FLAG — safeguarding. Children and adults with intellectual disability are at substantially elevated risk of abuse and are less likely to be believed. Take any concern seriously and follow the protocol immediately.
▸  RED FLAG — a large gap between cognitive and adaptive scores. Consider opportunity, over-support, or an underestimating cognitive assessment. Do not average them.
▸  BOUNDARY — diagnosis sits with the CDNT or clinical services. You assess and describe; you do not diagnose.
▸  DIAGNOSTIC OVERSHADOWING — mental health difficulties in people with intellectual disability are routinely missed because distress is read as part of the disability.</t>
        </is>
      </c>
      <c r="N131" s="207" t="inlineStr">
        <is>
          <t>WHAT ELSE COULD IT BE, AND WHAT CO-OCCURS
▸  MENTAL HEALTH DIFFICULTY — substantially elevated across all conditions. PRESENTS AS: behaviour change. Diagnostic overshadowing is severe here; distress is read as part of the disability and goes untreated. This is the single most important co-occurrence to hold in mind.
▸  AUTISM — around a third of people with ID. PRESENTS AS: social communication differences on top of the learning profile. Assess separately.
▸  ADHD — elevated. PRESENTS AS: attention difficulty that may simply be work pitched above the child's level. Rule that out first.
▸  EPILEPSY — strongly elevated, particularly at moderate to profound levels. Medical; note and refer.
▸  COMMUNICATION DIFFICULTY — very common and often the real barrier. SLT involvement is usually more useful than more cognitive assessment.
▸  PHYSICAL AND SENSORY IMPAIRMENT — elevated, particularly in genetic syndromes. Always check vision and hearing before attributing anything to cognition.
▸  SPECIFIC LEARNING DIFFICULTY — can co-occur. A child with GLD whose reading is far below even their own cognitive level has something additional going on.
▸  SLEEP AND FEEDING DIFFICULTIES — common, under-asked-about, and they change the whole presentation.</t>
        </is>
      </c>
      <c r="O131" s="207" t="inlineStr">
        <is>
          <t>TOOLS VALID AT THIS BAND
▸  WAIS-IV UK — AGE 16:0–90:11
     MEASURES: Four index scores and FSIQ.
     CANNOT TELL YOU: Functional capacity in a course or workplace — that needs functional assessment too.
     TIME: 60–90 min
▸  ABAS-3 adult form — AGE to 89
     MEASURES: Adaptive functioning in adult life.
     CANNOT TELL YOU: Vocational aptitude.
     TIME: 20 min
▸  Vineland-3 adult — AGE to 90
     MEASURES: Adaptive behaviour.
     CANNOT TELL YOU: Cognitive ability.
     TIME: 20–60 min</t>
        </is>
      </c>
      <c r="P131" s="207" t="inlineStr">
        <is>
          <t>WHAT YOU DO, AND WHAT YOU WRITE
▸  PITCH THE CURRICULUM TO THE CHILD, NOT THE CLASS. This is the recommendation that matters most and the one schools find hardest. Say the level explicitly.
▸  TEACH TO MASTERY with more repetition, in more contexts, over a longer period, before moving on.
▸  PLAN FOR GENERALISATION EXPLICITLY. Something learned in the SET room will not transfer to the classroom unless it is taught there too.
▸  CONCRETE BEFORE PICTORIAL BEFORE ABSTRACT, and do not rush the concrete stage.
▸  ADAPTIVE SKILLS ARE CURRICULUM. Dressing, money, time, safety, travel. For post-primary, this is more important than academic content.
▸  REDUCE LANGUAGE LOAD in instructions; check comprehension by asking for a demonstration rather than a yes.
▸  CURRICULUM ROUTE at post-primary: consider L1LP or L2LP and raise it early, not in sixth year.
▸  TRANSITION PLANNING from at least 14. Adult services have different thresholds and long lead times.
▸  WATCH FOR OVER-SUPPORT. An SNA doing the task is not the child learning the task. Build fading into the plan.
▸  CONTINUUM LEVEL: usually School Support Plus with outside involvement. Name it and justify it.
▸  REFER: CDNT for diagnosis and adaptive support; SLT for communication; OT where motor or self-care; SENO for placement and resource.</t>
        </is>
      </c>
      <c r="Q131" s="207" t="inlineStr">
        <is>
          <t>EXPLAIN
▸  TO A PARENT
▸  'A general learning disability means learning is harder across most areas, not just one. It affects how quickly new things are learned and how much repetition and support is needed.'
▸  'It's about two things together: how she reasons and problem-solves, and how she manages everyday things — dressing, money, keeping safe, getting along with others. We look at both, because the everyday side is what actually matters day to day.'
▸  'It's been there from early on. We're identifying it now; it hasn't started now.'
▸  'It doesn't tell us what she'll be able to do. It tells us how she learns best and how much support she needs while she's learning. Those are different questions.'
▸  IF THEY ASK ABOUT THE FUTURE: be honest and specific. 'I can tell you what the next two years should look like. I can't tell you about twenty years, and anyone who does is guessing.'
▸  SIGNPOST: the CDNT, Inclusion Ireland, Down Syndrome Ireland where relevant, and the SENO for placement questions.
▸  TO A TEACHER
▸  'Learning is slower across the board rather than in one area, so differentiation needs to be about level and pace, not just about extra time.'
▸  'Start from the adaptive profile as much as the cognitive one. If she can't yet follow a three-step instruction, that's the ceiling for how instructions should be given, regardless of the topic.'
▸  'More repetition, in more contexts, with more concrete materials, and longer before moving on. The curriculum level has to match where she is, not where the class is.'
▸  'Generalisation is the key difficulty. Something learned in one setting often doesn't transfer. Plan to teach it again in the place it's needed.'
▸  'Check for the L1LP and L2LP options at post-primary — the curriculum route matters more than the hours.'
▸  TO THE CHILD
▸  'Everyone learns at their own speed. You learn best when things are broken into smaller steps and when you get to practise lots of times. That's just how your brain works best.'
▸  Focus on HOW they learn, not on a label or a level. Children rarely benefit from being told an IQ band.
▸  'What are you good at?' first. Then 'what's the trickiest bit of school?' Then 'what helps when it's tricky?'
▸  Be honest if asked directly: 'Some things take you longer than other people, and that's true. It doesn't say anything about how good you are at being you.'
▸  Check what they have overheard. Children often know the word 'disability' has been used and have no idea what it means.
▸  ANALOGIES
▸  THE ROAD, NOT THE DESTINATION: 'Everyone's travelling the same road. Some people are in a faster car. It doesn't change where the road goes — it changes how many stops you make.' Good with parents; avoids implying a ceiling.
▸  BUILDING WITH SMALLER BRICKS: 'If most people build with big blocks, she's building with smaller ones. She'll build the same wall — it takes more bricks and more time, and it's just as solid.' Good for explaining repetition to teachers.
▸  THE TORCH VERSUS THE FLOODLIGHT (specific vs general): 'A specific learning difficulty is like one light being out in a room. A general learning disability is the whole room being dimmer.' Useful for the confusion parents most often have.
▸  CAUTION: avoid any analogy implying a fixed limit. Adaptive functioning is modifiable and the analogy should not say otherwise.
▸  LANGUAGE
▸  In Ireland, 'general learning disability' is the education term; 'intellectual disability' is the health and diagnostic term. You will meet both. Use the one the setting uses and define it once.
▸  Inclusion Ireland and self-advocacy organisations favour 'person with an intellectual disability' — person-first is the majority preference in this community, which is the opposite of the autism position. Do not generalise across conditions.
▸  Never: 'mental handicap', 'retardation', 'low-functioning', 'mentally disabled'.
▸  Avoid stating an IQ number in a report where a description would do the same work. Numbers get repeated out of context for years.</t>
        </is>
      </c>
      <c r="R131" s="207" t="inlineStr">
        <is>
          <t>THE CHILD’S VOICE, AND THE QUESTIONS
▸  TALKING MATS — strong evidence base specifically with people with intellectual disability. Good because it reduces the language demand of being consulted. → https://www.talkingmats.com/
▸  ONE-PAGE PROFILE — strengths-first, transfers with the child between settings. Good because staff actually read one page.
▸  PATH / MAPS — person-centred transition planning, graphic. Good for school leavers because it starts from the young person's preferred future.
▸  PHOTO-ELICITATION — the young person photographs what matters to them and talks from the photos. Good because it removes the need to generate content verbally on the spot.
▸  INCLUSION IRELAND easy-read materials — Irish, self-advocacy led. Good because easy-read is a genuine accessibility standard, not a simplification. → https://inclusionireland.ie/
▸  PREFERENCE ASSESSMENT (structured choice-making) — systematic presentation of options to establish what the person actually prefers. Good where verbal report is not available; it is the ethical alternative to assuming.
▸  QUESTIONS YOU WILL BE ASKED
▸  Q: 'What's her IQ?' — A: 'I can tell you the range, but I'd rather tell you what it means, because the number on its own is easy to misread. What it tells us is [describe]. What matters more day to day is how she manages everyday tasks, and that's the other half of the assessment.'
▸  Q: 'Will she catch up?' — A: 'She'll keep learning and keep making progress. The gap with her peers is likely to stay, and that's what the word 'disability' is describing. What changes is how much she can do independently, and that does improve a lot with the right teaching.'
▸  Q: 'Is this the same as dyslexia?' — A: 'No. Dyslexia is a specific difficulty — one area that's much harder than everything else. This is more general, affecting learning across most areas. Different profile, different supports.'
▸  Q: 'Will she go to a normal school?' — A: 'Most children with a general learning disability are in mainstream, and plenty are in special classes or special schools. It's a question of which setting can give her what she needs, not a question of category. I can walk you through what each looks like.'
▸  Q: 'Will she be able to live independently / get a job?' — A: 'Honestly, I can't tell you that from an assessment at eight. What I can tell you is what she needs over the next two years, and that the adaptive skills we work on now are exactly the ones that matter for that question later.'
▸  Q: 'Did I cause this?' — A: 'No. It's present from early development. There are lots of causes and in many cases we never identify one.'
▸  Q: 'The school says she's fine.' — A: 'She may well be coping, and coping and learning aren't the same thing. What I'm looking at is whether the work she's given is at the level she can actually access.'</t>
        </is>
      </c>
      <c r="S131" s="207" t="inlineStr">
        <is>
          <t>YOUR PRACTICE
▸  SUPERVISION
▸  Bring the report and ask: does this read as a description of a person or of a score?
▸  Ask how your supervisor answers the 'what will she be able to do?' question, in their actual words.
▸  Raise the gap between the education categories (mild/moderate/severe) and the diagnostic criteria, and how your service handles it.
▸  Discuss borderline intellectual functioning — children who fall between the categories and receive nothing. What does your service do?
▸  Ask about placement conversations specifically: how do you frame special class or special school as a question of fit rather than of category?
▸  Bring any case where the cognitive and adaptive profiles diverged sharply and ask how to write that.
▸  REFLECTION
▸  ON LANGUAGE — Did I check which term this family uses before I used one? Education says 'general learning disability', health says 'intellectual disability', and self-advocacy organisations favour person-first. Which did I use and did I decide or default?
▸  ON THE NUMBER — Did I state an IQ score where a description would have done the same work? Numbers get repeated out of context for years. Was it necessary?
▸  ON ADAPTIVE FUNCTIONING — Did I give it equal weight to the cognitive assessment, or did I treat it as the supporting document? Current criteria determine severity by adaptive functioning, not IQ. Did my report reflect that?
▸  ON THE FUTURE QUESTION — When the parent asked what this means for adulthood, what did I actually say? Did I stay within what is knowable, or did I reassure beyond the evidence?
▸  ON THE TEACHER CONVERSATION — Did I explain the difference between general and specific learning difficulty clearly enough that they could explain it to someone else? That confusion is the most common one in schools.
▸  ON MY OWN ASSUMPTIONS about what this child's life will be like. Name them. They shape what you recommend.
▸  WHAT GOOD LOOKS LIKE: 'I realised afterwards that I had described her almost entirely through the cognitive assessment, and the adaptive profile — which is where her actual strengths were — got two lines. I have rewritten the summary to lead with what she can do independently.'
▸  WHAT POOR LOOKS LIKE: 'The assessment confirmed a mild general learning disability and recommendations were made.' — no reflection, no register, nothing about how it was received.</t>
        </is>
      </c>
      <c r="T131" s="207" t="inlineStr">
        <is>
          <t>WHAT TO DO NEXT
▸  Proceed to FORMULATION using a named framework — Monsen, Interactive Factors, COMOIRA or Carr.
▸  If a learning need may be driving the presentation, proceed to attainment assessment before concluding.
▸  If risk or safeguarding emerged, none of the above — follow the protocol and tell your supervisor the same day.
▸  If the referral question is not answered by what you found, go back and renegotiate it.</t>
        </is>
      </c>
      <c r="U131" s="207" t="inlineStr">
        <is>
          <t>WHERE THE EVIDENCE GOES
▸  Psychological report
▸  Appendix 5 entry tagged 1. Assessment
▸  Appendix 7 if observed
▸  Table 3 — Young Adult
▸  Log sheet — tag the referral area and the competency</t>
        </is>
      </c>
      <c r="V131" s="207" t="inlineStr">
        <is>
          <t>CITATIONS
▸  American Psychiatric Association (2022). DSM-5-TR — Intellectual Developmental Disorder.
▸  Tassé, M. J., et al. (2012). The construct of adaptive behavior: Its conceptualization, measurement, and use. American Journal on Intellectual and Developmental Disabilities, 117(4), 291–303.
▸  Schalock, R. L., et al. (2021). Intellectual Disability: Definition, Diagnosis, Classification, and Systems of Supports (12th ed.). AAIDD.
▸  NCSE (Ireland) — policy advice and guidance on students with general learning disabilities.
▸  NCCA — Level 1 and Level 2 Learning Programmes.
▸  Burgess, A., et al. (2024). Clinical utility and psychometric properties of tools for early detection of developmental concerns. DMCN.</t>
        </is>
      </c>
    </row>
    <row r="132" ht="169.5" customHeight="1" s="128">
      <c r="A132" s="208" t="inlineStr">
        <is>
          <t>CO-OCCURRING</t>
        </is>
      </c>
      <c r="B132" s="208" t="inlineStr">
        <is>
          <t>1. Assessment</t>
        </is>
      </c>
      <c r="C132" s="171" t="inlineStr">
        <is>
          <t>Young Adult (17–26 years)</t>
        </is>
      </c>
      <c r="D132" s="208" t="inlineStr">
        <is>
          <t>CO-OCCURS WITH GENERAL LEARNING DISABILITY (GLD)</t>
        </is>
      </c>
      <c r="E132" s="209" t="inlineStr">
        <is>
          <t>MENTAL HEALTH DIFFICULTY</t>
        </is>
      </c>
      <c r="F132" s="208" t="inlineStr">
        <is>
          <t>see its own entry</t>
        </is>
      </c>
      <c r="G132" s="208" t="inlineStr">
        <is>
          <t>YES — assess separately</t>
        </is>
      </c>
      <c r="H132" s="171" t="inlineStr">
        <is>
          <t>WHERE THIS SITS
▸  Sits under 1. Assessment, alongside General Learning Disability (GLD).
▸  NEPS category: 1. LEARNING (1.3 Comprehension and general ability)</t>
        </is>
      </c>
      <c r="I132" s="171" t="inlineStr">
        <is>
          <t>HOW OFTEN IT CO-OCCURS
▸  substantially elevated across all conditions.</t>
        </is>
      </c>
      <c r="J132" s="171" t="inlineStr">
        <is>
          <t>HOW IT PRESENTS WHEN IT CO-OCCURS
▸  behaviour change. Diagnostic overshadowing is severe here; distress is read as part of the disability and goes untreated. This is the single most important co-occurrence to hold in mind.</t>
        </is>
      </c>
      <c r="K132" s="171" t="inlineStr">
        <is>
          <t>THE RISK
▸  Do not assume the primary diagnosis explains this.
▸  Write down before you start what the primary diagnosis does NOT explain, then assess that.
▸  Diagnostic overshadowing is the single most common error in co-occurring presentations.</t>
        </is>
      </c>
      <c r="L132" s="171" t="inlineStr">
        <is>
          <t>—</t>
        </is>
      </c>
      <c r="M132" s="171" t="inlineStr">
        <is>
          <t>—</t>
        </is>
      </c>
      <c r="N132" s="171" t="inlineStr">
        <is>
          <t>—</t>
        </is>
      </c>
      <c r="O132" s="171" t="inlineStr">
        <is>
          <t>ASSESS
▸  Assess this separately, with its own measures.
▸  Build the case for each condition independently rather than letting evidence for one carry the other.</t>
        </is>
      </c>
      <c r="P132" s="171" t="inlineStr">
        <is>
          <t>DO
▸  State in the report what would be needed to establish this second presentation.
▸  That is often a referral rather than a conclusion you can reach yourself.</t>
        </is>
      </c>
      <c r="Q132" s="171" t="inlineStr">
        <is>
          <t>—</t>
        </is>
      </c>
      <c r="R132" s="171" t="inlineStr">
        <is>
          <t>—</t>
        </is>
      </c>
      <c r="S132" s="171" t="inlineStr">
        <is>
          <t>YOUR PRACTICE
▸  Bring it to supervision: for each child on my caseload with this diagnosis, what has NOT been assessed because the diagnosis was already there?</t>
        </is>
      </c>
      <c r="T132" s="171" t="inlineStr">
        <is>
          <t>WHAT TO DO NEXT
▸  Assess separately, then refer if the threshold is met.</t>
        </is>
      </c>
      <c r="U132" s="171" t="inlineStr">
        <is>
          <t>WHERE THE EVIDENCE GOES
▸  Psychological report — state the co-occurrence and what it changes.</t>
        </is>
      </c>
      <c r="V132" s="171" t="inlineStr">
        <is>
          <t>—</t>
        </is>
      </c>
    </row>
    <row r="133" ht="169.5" customHeight="1" s="128">
      <c r="A133" s="208" t="inlineStr">
        <is>
          <t>CO-OCCURRING</t>
        </is>
      </c>
      <c r="B133" s="208" t="inlineStr">
        <is>
          <t>1. Assessment</t>
        </is>
      </c>
      <c r="C133" s="171" t="inlineStr">
        <is>
          <t>Young Adult (17–26 years)</t>
        </is>
      </c>
      <c r="D133" s="208" t="inlineStr">
        <is>
          <t>CO-OCCURS WITH GENERAL LEARNING DISABILITY (GLD)</t>
        </is>
      </c>
      <c r="E133" s="209" t="inlineStr">
        <is>
          <t>AUTISM</t>
        </is>
      </c>
      <c r="F133" s="208" t="inlineStr">
        <is>
          <t>see its own entry</t>
        </is>
      </c>
      <c r="G133" s="208" t="inlineStr">
        <is>
          <t>YES — assess separately</t>
        </is>
      </c>
      <c r="H133" s="171" t="inlineStr">
        <is>
          <t>WHERE THIS SITS
▸  Sits under 1. Assessment, alongside General Learning Disability (GLD).
▸  NEPS category: 1. LEARNING (1.3 Comprehension and general ability)</t>
        </is>
      </c>
      <c r="I133" s="171" t="inlineStr">
        <is>
          <t>HOW OFTEN IT CO-OCCURS
▸  around a third of people with ID.</t>
        </is>
      </c>
      <c r="J133" s="171" t="inlineStr">
        <is>
          <t>HOW IT PRESENTS WHEN IT CO-OCCURS
▸  social communication differences on top of the learning profile. Assess separately.</t>
        </is>
      </c>
      <c r="K133" s="171" t="inlineStr">
        <is>
          <t>THE RISK
▸  Do not assume the primary diagnosis explains this.
▸  Write down before you start what the primary diagnosis does NOT explain, then assess that.
▸  Diagnostic overshadowing is the single most common error in co-occurring presentations.</t>
        </is>
      </c>
      <c r="L133" s="171" t="inlineStr">
        <is>
          <t>—</t>
        </is>
      </c>
      <c r="M133" s="171" t="inlineStr">
        <is>
          <t>—</t>
        </is>
      </c>
      <c r="N133" s="171" t="inlineStr">
        <is>
          <t>—</t>
        </is>
      </c>
      <c r="O133" s="171" t="inlineStr">
        <is>
          <t>ASSESS
▸  Assess this separately, with its own measures.
▸  Build the case for each condition independently rather than letting evidence for one carry the other.</t>
        </is>
      </c>
      <c r="P133" s="171" t="inlineStr">
        <is>
          <t>DO
▸  State in the report what would be needed to establish this second presentation.
▸  That is often a referral rather than a conclusion you can reach yourself.</t>
        </is>
      </c>
      <c r="Q133" s="171" t="inlineStr">
        <is>
          <t>—</t>
        </is>
      </c>
      <c r="R133" s="171" t="inlineStr">
        <is>
          <t>—</t>
        </is>
      </c>
      <c r="S133" s="171" t="inlineStr">
        <is>
          <t>YOUR PRACTICE
▸  Bring it to supervision: for each child on my caseload with this diagnosis, what has NOT been assessed because the diagnosis was already there?</t>
        </is>
      </c>
      <c r="T133" s="171" t="inlineStr">
        <is>
          <t>WHAT TO DO NEXT
▸  Assess separately, then refer if the threshold is met.</t>
        </is>
      </c>
      <c r="U133" s="171" t="inlineStr">
        <is>
          <t>WHERE THE EVIDENCE GOES
▸  Psychological report — state the co-occurrence and what it changes.</t>
        </is>
      </c>
      <c r="V133" s="171" t="inlineStr">
        <is>
          <t>—</t>
        </is>
      </c>
    </row>
    <row r="134" ht="169.5" customHeight="1" s="128">
      <c r="A134" s="208" t="inlineStr">
        <is>
          <t>CO-OCCURRING</t>
        </is>
      </c>
      <c r="B134" s="208" t="inlineStr">
        <is>
          <t>1. Assessment</t>
        </is>
      </c>
      <c r="C134" s="171" t="inlineStr">
        <is>
          <t>Young Adult (17–26 years)</t>
        </is>
      </c>
      <c r="D134" s="208" t="inlineStr">
        <is>
          <t>CO-OCCURS WITH GENERAL LEARNING DISABILITY (GLD)</t>
        </is>
      </c>
      <c r="E134" s="209" t="inlineStr">
        <is>
          <t>ADHD</t>
        </is>
      </c>
      <c r="F134" s="208" t="inlineStr">
        <is>
          <t>see its own entry</t>
        </is>
      </c>
      <c r="G134" s="208" t="inlineStr">
        <is>
          <t>YES — assess separately</t>
        </is>
      </c>
      <c r="H134" s="171" t="inlineStr">
        <is>
          <t>WHERE THIS SITS
▸  Sits under 1. Assessment, alongside General Learning Disability (GLD).
▸  NEPS category: 1. LEARNING (1.3 Comprehension and general ability)</t>
        </is>
      </c>
      <c r="I134" s="171" t="inlineStr">
        <is>
          <t>HOW OFTEN IT CO-OCCURS
▸  elevated.</t>
        </is>
      </c>
      <c r="J134" s="171" t="inlineStr">
        <is>
          <t>HOW IT PRESENTS WHEN IT CO-OCCURS
▸  attention difficulty that may simply be work pitched above the child's level. Rule that out first.</t>
        </is>
      </c>
      <c r="K134" s="171" t="inlineStr">
        <is>
          <t>THE RISK
▸  Do not assume the primary diagnosis explains this.
▸  Write down before you start what the primary diagnosis does NOT explain, then assess that.
▸  Diagnostic overshadowing is the single most common error in co-occurring presentations.</t>
        </is>
      </c>
      <c r="L134" s="171" t="inlineStr">
        <is>
          <t>—</t>
        </is>
      </c>
      <c r="M134" s="171" t="inlineStr">
        <is>
          <t>—</t>
        </is>
      </c>
      <c r="N134" s="171" t="inlineStr">
        <is>
          <t>—</t>
        </is>
      </c>
      <c r="O134" s="171" t="inlineStr">
        <is>
          <t>ASSESS
▸  Assess this separately, with its own measures.
▸  Build the case for each condition independently rather than letting evidence for one carry the other.</t>
        </is>
      </c>
      <c r="P134" s="171" t="inlineStr">
        <is>
          <t>DO
▸  State in the report what would be needed to establish this second presentation.
▸  That is often a referral rather than a conclusion you can reach yourself.</t>
        </is>
      </c>
      <c r="Q134" s="171" t="inlineStr">
        <is>
          <t>—</t>
        </is>
      </c>
      <c r="R134" s="171" t="inlineStr">
        <is>
          <t>—</t>
        </is>
      </c>
      <c r="S134" s="171" t="inlineStr">
        <is>
          <t>YOUR PRACTICE
▸  Bring it to supervision: for each child on my caseload with this diagnosis, what has NOT been assessed because the diagnosis was already there?</t>
        </is>
      </c>
      <c r="T134" s="171" t="inlineStr">
        <is>
          <t>WHAT TO DO NEXT
▸  Assess separately, then refer if the threshold is met.</t>
        </is>
      </c>
      <c r="U134" s="171" t="inlineStr">
        <is>
          <t>WHERE THE EVIDENCE GOES
▸  Psychological report — state the co-occurrence and what it changes.</t>
        </is>
      </c>
      <c r="V134" s="171" t="inlineStr">
        <is>
          <t>—</t>
        </is>
      </c>
    </row>
    <row r="135" ht="169.5" customHeight="1" s="128">
      <c r="A135" s="208" t="inlineStr">
        <is>
          <t>CO-OCCURRING</t>
        </is>
      </c>
      <c r="B135" s="208" t="inlineStr">
        <is>
          <t>1. Assessment</t>
        </is>
      </c>
      <c r="C135" s="171" t="inlineStr">
        <is>
          <t>Young Adult (17–26 years)</t>
        </is>
      </c>
      <c r="D135" s="208" t="inlineStr">
        <is>
          <t>CO-OCCURS WITH GENERAL LEARNING DISABILITY (GLD)</t>
        </is>
      </c>
      <c r="E135" s="209" t="inlineStr">
        <is>
          <t>EPILEPSY</t>
        </is>
      </c>
      <c r="F135" s="208" t="inlineStr">
        <is>
          <t>see its own entry</t>
        </is>
      </c>
      <c r="G135" s="208" t="inlineStr">
        <is>
          <t>YES — assess separately</t>
        </is>
      </c>
      <c r="H135" s="171" t="inlineStr">
        <is>
          <t>WHERE THIS SITS
▸  Sits under 1. Assessment, alongside General Learning Disability (GLD).
▸  NEPS category: 1. LEARNING (1.3 Comprehension and general ability)</t>
        </is>
      </c>
      <c r="I135" s="171" t="inlineStr">
        <is>
          <t>HOW OFTEN IT CO-OCCURS
▸  Rate not stated in source — check before quoting.</t>
        </is>
      </c>
      <c r="J135" s="171" t="inlineStr">
        <is>
          <t>HOW IT PRESENTS WHEN IT CO-OCCURS
▸  strongly elevated, particularly at moderate to profound levels. Medical; note and refer.</t>
        </is>
      </c>
      <c r="K135" s="171" t="inlineStr">
        <is>
          <t>THE RISK
▸  Do not assume the primary diagnosis explains this.
▸  Write down before you start what the primary diagnosis does NOT explain, then assess that.
▸  Diagnostic overshadowing is the single most common error in co-occurring presentations.</t>
        </is>
      </c>
      <c r="L135" s="171" t="inlineStr">
        <is>
          <t>—</t>
        </is>
      </c>
      <c r="M135" s="171" t="inlineStr">
        <is>
          <t>—</t>
        </is>
      </c>
      <c r="N135" s="171" t="inlineStr">
        <is>
          <t>—</t>
        </is>
      </c>
      <c r="O135" s="171" t="inlineStr">
        <is>
          <t>ASSESS
▸  Assess this separately, with its own measures.
▸  Build the case for each condition independently rather than letting evidence for one carry the other.</t>
        </is>
      </c>
      <c r="P135" s="171" t="inlineStr">
        <is>
          <t>DO
▸  State in the report what would be needed to establish this second presentation.
▸  That is often a referral rather than a conclusion you can reach yourself.</t>
        </is>
      </c>
      <c r="Q135" s="171" t="inlineStr">
        <is>
          <t>—</t>
        </is>
      </c>
      <c r="R135" s="171" t="inlineStr">
        <is>
          <t>—</t>
        </is>
      </c>
      <c r="S135" s="171" t="inlineStr">
        <is>
          <t>YOUR PRACTICE
▸  Bring it to supervision: for each child on my caseload with this diagnosis, what has NOT been assessed because the diagnosis was already there?</t>
        </is>
      </c>
      <c r="T135" s="171" t="inlineStr">
        <is>
          <t>WHAT TO DO NEXT
▸  Assess separately, then refer if the threshold is met.</t>
        </is>
      </c>
      <c r="U135" s="171" t="inlineStr">
        <is>
          <t>WHERE THE EVIDENCE GOES
▸  Psychological report — state the co-occurrence and what it changes.</t>
        </is>
      </c>
      <c r="V135" s="171" t="inlineStr">
        <is>
          <t>—</t>
        </is>
      </c>
    </row>
    <row r="136" ht="169.5" customHeight="1" s="128">
      <c r="A136" s="208" t="inlineStr">
        <is>
          <t>CO-OCCURRING</t>
        </is>
      </c>
      <c r="B136" s="208" t="inlineStr">
        <is>
          <t>1. Assessment</t>
        </is>
      </c>
      <c r="C136" s="171" t="inlineStr">
        <is>
          <t>Young Adult (17–26 years)</t>
        </is>
      </c>
      <c r="D136" s="208" t="inlineStr">
        <is>
          <t>CO-OCCURS WITH GENERAL LEARNING DISABILITY (GLD)</t>
        </is>
      </c>
      <c r="E136" s="209" t="inlineStr">
        <is>
          <t>COMMUNICATION DIFFICULTY</t>
        </is>
      </c>
      <c r="F136" s="208" t="inlineStr">
        <is>
          <t>see its own entry</t>
        </is>
      </c>
      <c r="G136" s="208" t="inlineStr">
        <is>
          <t>YES — assess separately</t>
        </is>
      </c>
      <c r="H136" s="171" t="inlineStr">
        <is>
          <t>WHERE THIS SITS
▸  Sits under 1. Assessment, alongside General Learning Disability (GLD).
▸  NEPS category: 1. LEARNING (1.3 Comprehension and general ability)</t>
        </is>
      </c>
      <c r="I136" s="171" t="inlineStr">
        <is>
          <t>HOW OFTEN IT CO-OCCURS
▸  Rate not stated in source — check before quoting.</t>
        </is>
      </c>
      <c r="J136" s="171" t="inlineStr">
        <is>
          <t>HOW IT PRESENTS WHEN IT CO-OCCURS
▸  very common and often the real barrier. SLT involvement is usually more useful than more cognitive assessment.</t>
        </is>
      </c>
      <c r="K136" s="171" t="inlineStr">
        <is>
          <t>THE RISK
▸  Do not assume the primary diagnosis explains this.
▸  Write down before you start what the primary diagnosis does NOT explain, then assess that.
▸  Diagnostic overshadowing is the single most common error in co-occurring presentations.</t>
        </is>
      </c>
      <c r="L136" s="171" t="inlineStr">
        <is>
          <t>—</t>
        </is>
      </c>
      <c r="M136" s="171" t="inlineStr">
        <is>
          <t>—</t>
        </is>
      </c>
      <c r="N136" s="171" t="inlineStr">
        <is>
          <t>—</t>
        </is>
      </c>
      <c r="O136" s="171" t="inlineStr">
        <is>
          <t>ASSESS
▸  Assess this separately, with its own measures.
▸  Build the case for each condition independently rather than letting evidence for one carry the other.</t>
        </is>
      </c>
      <c r="P136" s="171" t="inlineStr">
        <is>
          <t>DO
▸  State in the report what would be needed to establish this second presentation.
▸  That is often a referral rather than a conclusion you can reach yourself.</t>
        </is>
      </c>
      <c r="Q136" s="171" t="inlineStr">
        <is>
          <t>—</t>
        </is>
      </c>
      <c r="R136" s="171" t="inlineStr">
        <is>
          <t>—</t>
        </is>
      </c>
      <c r="S136" s="171" t="inlineStr">
        <is>
          <t>YOUR PRACTICE
▸  Bring it to supervision: for each child on my caseload with this diagnosis, what has NOT been assessed because the diagnosis was already there?</t>
        </is>
      </c>
      <c r="T136" s="171" t="inlineStr">
        <is>
          <t>WHAT TO DO NEXT
▸  Assess separately, then refer if the threshold is met.</t>
        </is>
      </c>
      <c r="U136" s="171" t="inlineStr">
        <is>
          <t>WHERE THE EVIDENCE GOES
▸  Psychological report — state the co-occurrence and what it changes.</t>
        </is>
      </c>
      <c r="V136" s="171" t="inlineStr">
        <is>
          <t>—</t>
        </is>
      </c>
    </row>
    <row r="137" ht="169.5" customHeight="1" s="128">
      <c r="A137" s="208" t="inlineStr">
        <is>
          <t>CO-OCCURRING</t>
        </is>
      </c>
      <c r="B137" s="208" t="inlineStr">
        <is>
          <t>1. Assessment</t>
        </is>
      </c>
      <c r="C137" s="171" t="inlineStr">
        <is>
          <t>Young Adult (17–26 years)</t>
        </is>
      </c>
      <c r="D137" s="208" t="inlineStr">
        <is>
          <t>CO-OCCURS WITH GENERAL LEARNING DISABILITY (GLD)</t>
        </is>
      </c>
      <c r="E137" s="209" t="inlineStr">
        <is>
          <t>PHYSICAL AND SENSORY IMPAIRMENT</t>
        </is>
      </c>
      <c r="F137" s="208" t="inlineStr">
        <is>
          <t>see its own entry</t>
        </is>
      </c>
      <c r="G137" s="208" t="inlineStr">
        <is>
          <t>YES — assess separately</t>
        </is>
      </c>
      <c r="H137" s="171" t="inlineStr">
        <is>
          <t>WHERE THIS SITS
▸  Sits under 1. Assessment, alongside General Learning Disability (GLD).
▸  NEPS category: 1. LEARNING (1.3 Comprehension and general ability)</t>
        </is>
      </c>
      <c r="I137" s="171" t="inlineStr">
        <is>
          <t>HOW OFTEN IT CO-OCCURS
▸  Rate not stated in source — check before quoting.</t>
        </is>
      </c>
      <c r="J137" s="171" t="inlineStr">
        <is>
          <t>HOW IT PRESENTS WHEN IT CO-OCCURS
▸  elevated, particularly in genetic syndromes. Always check vision and hearing before attributing anything to cognition.</t>
        </is>
      </c>
      <c r="K137" s="171" t="inlineStr">
        <is>
          <t>THE RISK
▸  Do not assume the primary diagnosis explains this.
▸  Write down before you start what the primary diagnosis does NOT explain, then assess that.
▸  Diagnostic overshadowing is the single most common error in co-occurring presentations.</t>
        </is>
      </c>
      <c r="L137" s="171" t="inlineStr">
        <is>
          <t>—</t>
        </is>
      </c>
      <c r="M137" s="171" t="inlineStr">
        <is>
          <t>—</t>
        </is>
      </c>
      <c r="N137" s="171" t="inlineStr">
        <is>
          <t>—</t>
        </is>
      </c>
      <c r="O137" s="171" t="inlineStr">
        <is>
          <t>ASSESS
▸  Assess this separately, with its own measures.
▸  Build the case for each condition independently rather than letting evidence for one carry the other.</t>
        </is>
      </c>
      <c r="P137" s="171" t="inlineStr">
        <is>
          <t>DO
▸  State in the report what would be needed to establish this second presentation.
▸  That is often a referral rather than a conclusion you can reach yourself.</t>
        </is>
      </c>
      <c r="Q137" s="171" t="inlineStr">
        <is>
          <t>—</t>
        </is>
      </c>
      <c r="R137" s="171" t="inlineStr">
        <is>
          <t>—</t>
        </is>
      </c>
      <c r="S137" s="171" t="inlineStr">
        <is>
          <t>YOUR PRACTICE
▸  Bring it to supervision: for each child on my caseload with this diagnosis, what has NOT been assessed because the diagnosis was already there?</t>
        </is>
      </c>
      <c r="T137" s="171" t="inlineStr">
        <is>
          <t>WHAT TO DO NEXT
▸  Assess separately, then refer if the threshold is met.</t>
        </is>
      </c>
      <c r="U137" s="171" t="inlineStr">
        <is>
          <t>WHERE THE EVIDENCE GOES
▸  Psychological report — state the co-occurrence and what it changes.</t>
        </is>
      </c>
      <c r="V137" s="171" t="inlineStr">
        <is>
          <t>—</t>
        </is>
      </c>
    </row>
    <row r="138" ht="169.5" customHeight="1" s="128">
      <c r="A138" s="208" t="inlineStr">
        <is>
          <t>CO-OCCURRING</t>
        </is>
      </c>
      <c r="B138" s="208" t="inlineStr">
        <is>
          <t>1. Assessment</t>
        </is>
      </c>
      <c r="C138" s="171" t="inlineStr">
        <is>
          <t>Young Adult (17–26 years)</t>
        </is>
      </c>
      <c r="D138" s="208" t="inlineStr">
        <is>
          <t>CO-OCCURS WITH GENERAL LEARNING DISABILITY (GLD)</t>
        </is>
      </c>
      <c r="E138" s="209" t="inlineStr">
        <is>
          <t>SPECIFIC LEARNING DIFFICULTY</t>
        </is>
      </c>
      <c r="F138" s="208" t="inlineStr">
        <is>
          <t>see its own entry</t>
        </is>
      </c>
      <c r="G138" s="208" t="inlineStr">
        <is>
          <t>YES — assess separately</t>
        </is>
      </c>
      <c r="H138" s="171" t="inlineStr">
        <is>
          <t>WHERE THIS SITS
▸  Sits under 1. Assessment, alongside General Learning Disability (GLD).
▸  NEPS category: 1. LEARNING (1.3 Comprehension and general ability)</t>
        </is>
      </c>
      <c r="I138" s="171" t="inlineStr">
        <is>
          <t>HOW OFTEN IT CO-OCCURS
▸  Rate not stated in source — check before quoting.</t>
        </is>
      </c>
      <c r="J138" s="171" t="inlineStr">
        <is>
          <t>HOW IT PRESENTS WHEN IT CO-OCCURS
▸  can co-occur. A child with GLD whose reading is far below even their own cognitive level has something additional going on.</t>
        </is>
      </c>
      <c r="K138" s="171" t="inlineStr">
        <is>
          <t>THE RISK
▸  Do not assume the primary diagnosis explains this.
▸  Write down before you start what the primary diagnosis does NOT explain, then assess that.
▸  Diagnostic overshadowing is the single most common error in co-occurring presentations.</t>
        </is>
      </c>
      <c r="L138" s="171" t="inlineStr">
        <is>
          <t>—</t>
        </is>
      </c>
      <c r="M138" s="171" t="inlineStr">
        <is>
          <t>—</t>
        </is>
      </c>
      <c r="N138" s="171" t="inlineStr">
        <is>
          <t>—</t>
        </is>
      </c>
      <c r="O138" s="171" t="inlineStr">
        <is>
          <t>ASSESS
▸  Assess this separately, with its own measures.
▸  Build the case for each condition independently rather than letting evidence for one carry the other.</t>
        </is>
      </c>
      <c r="P138" s="171" t="inlineStr">
        <is>
          <t>DO
▸  State in the report what would be needed to establish this second presentation.
▸  That is often a referral rather than a conclusion you can reach yourself.</t>
        </is>
      </c>
      <c r="Q138" s="171" t="inlineStr">
        <is>
          <t>—</t>
        </is>
      </c>
      <c r="R138" s="171" t="inlineStr">
        <is>
          <t>—</t>
        </is>
      </c>
      <c r="S138" s="171" t="inlineStr">
        <is>
          <t>YOUR PRACTICE
▸  Bring it to supervision: for each child on my caseload with this diagnosis, what has NOT been assessed because the diagnosis was already there?</t>
        </is>
      </c>
      <c r="T138" s="171" t="inlineStr">
        <is>
          <t>WHAT TO DO NEXT
▸  Assess separately, then refer if the threshold is met.</t>
        </is>
      </c>
      <c r="U138" s="171" t="inlineStr">
        <is>
          <t>WHERE THE EVIDENCE GOES
▸  Psychological report — state the co-occurrence and what it changes.</t>
        </is>
      </c>
      <c r="V138" s="171" t="inlineStr">
        <is>
          <t>—</t>
        </is>
      </c>
    </row>
    <row r="139" ht="169.5" customHeight="1" s="128">
      <c r="A139" s="208" t="inlineStr">
        <is>
          <t>CO-OCCURRING</t>
        </is>
      </c>
      <c r="B139" s="208" t="inlineStr">
        <is>
          <t>1. Assessment</t>
        </is>
      </c>
      <c r="C139" s="171" t="inlineStr">
        <is>
          <t>Young Adult (17–26 years)</t>
        </is>
      </c>
      <c r="D139" s="208" t="inlineStr">
        <is>
          <t>CO-OCCURS WITH GENERAL LEARNING DISABILITY (GLD)</t>
        </is>
      </c>
      <c r="E139" s="209" t="inlineStr">
        <is>
          <t>SLEEP AND FEEDING DIFFICULTIES</t>
        </is>
      </c>
      <c r="F139" s="208" t="inlineStr">
        <is>
          <t>see its own entry</t>
        </is>
      </c>
      <c r="G139" s="208" t="inlineStr">
        <is>
          <t>YES — assess separately</t>
        </is>
      </c>
      <c r="H139" s="171" t="inlineStr">
        <is>
          <t>WHERE THIS SITS
▸  Sits under 1. Assessment, alongside General Learning Disability (GLD).
▸  NEPS category: 1. LEARNING (1.3 Comprehension and general ability)</t>
        </is>
      </c>
      <c r="I139" s="171" t="inlineStr">
        <is>
          <t>HOW OFTEN IT CO-OCCURS
▸  Rate not stated in source — check before quoting.</t>
        </is>
      </c>
      <c r="J139" s="171" t="inlineStr">
        <is>
          <t>HOW IT PRESENTS WHEN IT CO-OCCURS
▸  common, under-asked-about, and they change the whole presentation.</t>
        </is>
      </c>
      <c r="K139" s="171" t="inlineStr">
        <is>
          <t>THE RISK
▸  Do not assume the primary diagnosis explains this.
▸  Write down before you start what the primary diagnosis does NOT explain, then assess that.
▸  Diagnostic overshadowing is the single most common error in co-occurring presentations.</t>
        </is>
      </c>
      <c r="L139" s="171" t="inlineStr">
        <is>
          <t>—</t>
        </is>
      </c>
      <c r="M139" s="171" t="inlineStr">
        <is>
          <t>—</t>
        </is>
      </c>
      <c r="N139" s="171" t="inlineStr">
        <is>
          <t>—</t>
        </is>
      </c>
      <c r="O139" s="171" t="inlineStr">
        <is>
          <t>ASSESS
▸  Assess this separately, with its own measures.
▸  Build the case for each condition independently rather than letting evidence for one carry the other.</t>
        </is>
      </c>
      <c r="P139" s="171" t="inlineStr">
        <is>
          <t>DO
▸  State in the report what would be needed to establish this second presentation.
▸  That is often a referral rather than a conclusion you can reach yourself.</t>
        </is>
      </c>
      <c r="Q139" s="171" t="inlineStr">
        <is>
          <t>—</t>
        </is>
      </c>
      <c r="R139" s="171" t="inlineStr">
        <is>
          <t>—</t>
        </is>
      </c>
      <c r="S139" s="171" t="inlineStr">
        <is>
          <t>YOUR PRACTICE
▸  Bring it to supervision: for each child on my caseload with this diagnosis, what has NOT been assessed because the diagnosis was already there?</t>
        </is>
      </c>
      <c r="T139" s="171" t="inlineStr">
        <is>
          <t>WHAT TO DO NEXT
▸  Assess separately, then refer if the threshold is met.</t>
        </is>
      </c>
      <c r="U139" s="171" t="inlineStr">
        <is>
          <t>WHERE THE EVIDENCE GOES
▸  Psychological report — state the co-occurrence and what it changes.</t>
        </is>
      </c>
      <c r="V139" s="171" t="inlineStr">
        <is>
          <t>—</t>
        </is>
      </c>
    </row>
    <row r="140" ht="408.75" customHeight="1" s="128">
      <c r="A140" s="210" t="inlineStr">
        <is>
          <t>PRESENTATION</t>
        </is>
      </c>
      <c r="B140" s="210" t="inlineStr">
        <is>
          <t>1. Assessment</t>
        </is>
      </c>
      <c r="C140" s="170" t="inlineStr">
        <is>
          <t>Young Adult (17–26 years)</t>
        </is>
      </c>
      <c r="D140" s="210" t="inlineStr">
        <is>
          <t>SYMPTOM-ONLY</t>
        </is>
      </c>
      <c r="E140" s="211" t="inlineStr">
        <is>
          <t>Presentations related to General Learning Disability (GLD) — no diagnosis</t>
        </is>
      </c>
      <c r="F140" s="210" t="inlineStr">
        <is>
          <t>No DSM code</t>
        </is>
      </c>
      <c r="G140" s="210" t="inlineStr">
        <is>
          <t>YES — these present at every band</t>
        </is>
      </c>
      <c r="H140" s="170" t="inlineStr">
        <is>
          <t>WHERE THIS SITS
▸  NEPS category: as above
▸  UCD competency: 1. Assessment
▸  CORU: 3.1 · 3.2 · 5.28 · 5.29 · 5.30 · 5.31 · 5.32
▸  PSI: 2.2.2 · 2.3.1 · 1.3.1 · 1.2.8</t>
        </is>
      </c>
      <c r="I140" s="170" t="inlineStr">
        <is>
          <t>THE PRESENTATIONS — no diagnosis needed, and most referrals look like this
▸  Borderline intellectual functioning
▸  Underachievement not meeting SLD criteria
▸  Curriculum access at the current level
▸  Interrupted or missed schooling
▸  Twice exceptional — high ability plus a specific difficulty</t>
        </is>
      </c>
      <c r="J140" s="170" t="inlineStr">
        <is>
          <t>HOW COMMON
▸  No prevalence figures exist for these — they are descriptions, not categories.
▸  They are more common than the diagnosis they sit beside.</t>
        </is>
      </c>
      <c r="K140" s="170" t="inlineStr">
        <is>
          <t>THE PATHWAY
▸  No diagnostic pathway. Nobody diagnoses these.
▸  You describe them, formulate around them, and recommend. That is the whole pathway.
▸  If a parent asks who diagnoses it: nobody. Say that plainly, and say it does not make the difficulty less real or less workable.</t>
        </is>
      </c>
      <c r="L140" s="170" t="inlineStr">
        <is>
          <t>WHAT YOU SEE
▸  These are what the referral form actually describes in Section 5.
▸  Look for the pattern across settings rather than a threshold.</t>
        </is>
      </c>
      <c r="M140" s="170" t="inlineStr">
        <is>
          <t>RED FLAGS
▸  Escalating distress, withdrawal or risk indicators — follow the protocol regardless of whether a diagnosis exists.
▸  Do not let the absence of a diagnosis delay a safeguarding response.</t>
        </is>
      </c>
      <c r="N140" s="170" t="inlineStr">
        <is>
          <t>WHAT ELSE COULD IT BE
▸  Each of these can be the visible edge of the diagnosed condition above.
▸  Each can also occur entirely on its own.
▸  Test the sequence: which came first?</t>
        </is>
      </c>
      <c r="O140" s="170" t="inlineStr">
        <is>
          <t>ASSESS
▸  Observation with a comparison peer.
▸  Teacher and parent interview.
▸  Pupil interview — their account is the evidence here.
▸  Rating scales describe perception, not the presentation itself.</t>
        </is>
      </c>
      <c r="P140" s="170" t="inlineStr">
        <is>
          <t>DO
▸  Name the presentation precisely rather than reaching for a label.
▸  Recommend at the level of the behaviour, not the hypothetical diagnosis.
▸  Specify what, who, how often, for how long, and how it will be measured.
▸  Name the Continuum of Support level.</t>
        </is>
      </c>
      <c r="Q140" s="170" t="inlineStr">
        <is>
          <t>EXPLAIN
▸  To a parent: “There isn’t a diagnosis for this, and it’s still real and still workable. Here’s what we do.”
▸  To a teacher: describe the behaviour in countable terms, not in trait terms.
▸  To the child: ask what helps, and use their words in the report.</t>
        </is>
      </c>
      <c r="R140" s="170" t="inlineStr">
        <is>
          <t>CHILD’S VOICE AND QUESTIONS
▸  Talking Mats · Blob Tree · scaling on a drawn ladder · sentence completion · day mapping.
▸  Q: “So there’s nothing wrong with him?” A: “There’s a real difficulty and it doesn’t have a label. Labels help get resources; they don’t make a difficulty more or less real.”
▸  Q: “Should we get him assessed privately?” A: give the honest position on what a diagnosis would and would not change here.</t>
        </is>
      </c>
      <c r="S140" s="170" t="inlineStr">
        <is>
          <t>YOUR PRACTICE
▸  Bring a case where you were pulled toward a label the data did not support.
▸  Reflect: did I describe, or did I reach? Whose language did I use?</t>
        </is>
      </c>
      <c r="T140" s="170" t="inlineStr">
        <is>
          <t>WHAT TO DO NEXT
▸  Proceed to formulation. These belong at the behavioural level of the Interactive Factors Framework.
▸  Test whether an unmet learning need is underneath before concluding anything.</t>
        </is>
      </c>
      <c r="U140" s="170" t="inlineStr">
        <is>
          <t>WHERE THE EVIDENCE GOES
▸  Psychological report
▸  Appendix 5 entry
▸  Log sheet</t>
        </is>
      </c>
      <c r="V140" s="170" t="inlineStr">
        <is>
          <t>CITATIONS
▸  Frederickson &amp; Cline (2009)
▸  Monsen &amp; Frederickson (2008)
▸  NEPS Continuum of Support</t>
        </is>
      </c>
    </row>
    <row r="141" ht="408.75" customHeight="1" s="128">
      <c r="A141" s="205" t="inlineStr">
        <is>
          <t>CONDITION</t>
        </is>
      </c>
      <c r="B141" s="205" t="inlineStr">
        <is>
          <t>1. Assessment</t>
        </is>
      </c>
      <c r="C141" s="206" t="inlineStr">
        <is>
          <t>Young Adult (17–26 years)</t>
        </is>
      </c>
      <c r="D141" s="205" t="inlineStr">
        <is>
          <t>DIAGNOSED</t>
        </is>
      </c>
      <c r="E141" s="206" t="inlineStr">
        <is>
          <t>Dyslexia / Specific Learning Disorder with impairment in reading</t>
        </is>
      </c>
      <c r="F141" s="205" t="inlineStr">
        <is>
          <t>DSM-5-TR Specific Learning Disorder, with impairment in reading</t>
        </is>
      </c>
      <c r="G141" s="205" t="inlineStr">
        <is>
          <t>YES — meaningful group identified at third level</t>
        </is>
      </c>
      <c r="H141" s="207" t="inlineStr">
        <is>
          <t>WHERE THIS SITS
▸  NEPS referral form category: 1. LEARNING (1.4 Literacy)
▸  UCD competency: 1. Assessment
▸  CORU: 3.1 · 3.2 · 5.28 · 5.29 · 5.30 · 5.31 · 5.32
▸  PSI: 2.2.2 · 2.3.1 · 1.3.1 · 1.2.8
▸  Law and policy: Children First Act 2015 · EPSEN Act 2004 · Equal Status Acts 2000–2018 · GDPR</t>
        </is>
      </c>
      <c r="I141" s="207" t="inlineStr">
        <is>
          <t>WHAT IT IS, AND WHAT IT IS NOT
▸  A SPECIFIC difficulty in accurate and/or fluent word reading, decoding and spelling, persisting despite appropriate instruction (APA, 2022).
▸  The best-supported causal account is a PHONOLOGICAL DEFICIT — difficulty representing and manipulating the sound structure of language (Snowling &amp; Hulme, 2011). Rapid automatised naming is a second reliable correlate.
▸  It is DIMENSIONAL. Pennington (2006) set out the multiple-deficit model: reading difficulty arises from several risk factors combining, not from one cause, which is why cut-offs are arbitrary and co-occurrence is the norm.
▸  'Despite appropriate instruction' is doing real work in the definition. You cannot identify dyslexia without knowing what has been taught.
▸  In Ireland the Department of Education uses 'specific learning difficulty'; the DSM term is Specific Learning Disorder. Both are in use.
▸  NOT about seeing letters backwards. Reversals are developmentally normal in early writing and are not diagnostic. This is the single most common public misconception.
▸  NOT a visual problem. Coloured overlays and tinted lenses do not have the evidence base their marketing claims; the difficulty is phonological, not optical.
▸  NOT related to intelligence. The IQ-achievement discrepancy model has been abandoned in current criteria because it under-identified children with lower cognitive scores.
▸  NOT laziness or lack of effort. Children with dyslexia typically work harder for less output.
▸  NOT cured by more of the same. If two years of unstructured reading practice has not worked, more of it will not either — the instruction has to be structured, explicit and systematic.</t>
        </is>
      </c>
      <c r="J141" s="207" t="inlineStr">
        <is>
          <t>HOW COMMON AT THIS AGE
▸  OVERALL: commonly cited at 3–7% of the population depending on cut-off, rising to around 20% if a broader definition of reading difficulty is used. The variation is because the underlying distribution is continuous and the cut-off is a decision.
▸  IRELAND: the Dyslexia Association of Ireland cites approximately 10% of the population as having dyslexia to some degree. Department of Education figures for identified specific learning difficulty will be lower because they reflect identification, not prevalence.
▸  YOUNG ADULT 17–26: a meaningful group identified for the first time at third level, through DSA processes.
▸  FAMILY HISTORY: heritability is substantial. A child with an affected parent has roughly a 40–60% chance of reading difficulty. Always ask.
▸  AT OTHER AGES (for context): EARLY YEARS 0–5 · SCHOOL AGE 6–12 · ADOLESCENT 13–16</t>
        </is>
      </c>
      <c r="K141" s="207" t="inlineStr">
        <is>
          <t>THE PATHWAY AND THE TIMELINE
▸ TYPICAL AGE OF IDENTIFICATION, AND WHY THEN
   Usually 7–10. Criteria require difficulty 'despite appropriate instruction', so identification cannot precede a reasonable period of systematic teaching. In practice this is later than optimal — intervention is most effective before the attainment gap widens and before confidence is affected.
▸ WHO DIAGNOSES IT
   In Ireland, educational psychologists identify specific learning difficulties, including through NEPS. There is no medical diagnosis. Private psychologists also assess, and reports vary in quality — check what criteria were applied.
▸ WHO COULD HAVE WRITTEN THE REPORT IN FRONT OF YOU
   NEPS psychologist. Private educational psychologist. An occupational therapist report covering handwriting is not a dyslexia assessment. School screening results are not identification.
▸ WHO YOU REFER TO
   Rarely onward — this is your own competency area. SLT where oral language or comprehension is implicated. OT where handwriting is motor. Audiology where hearing history is unclear. Dyslexia Association of Ireland for family support.
▸ 'SHOULD WE HAVE COME SOONER?'
   'Not really — we can't identify it until a child has had proper phonics teaching for a reasonable time, so there's a floor on how early this happens. What I would say is that what we put in place now matters more than when we started.'</t>
        </is>
      </c>
      <c r="L141" s="207" t="inlineStr">
        <is>
          <t>WHAT YOU SEE AT THIS AGE
▸  Through DSA processes. WIAT-III or WRAT-5 adult norms.
▸  EARLY YEARS 0–5: no diagnosis. Assess precursors — phonological awareness, rhyme, alliteration, letter-sound knowledge, family history. Family history is a genuine risk indicator.
▸  SCHOOL AGE 6–12: the identification window. WIAT-III, phonological battery, cognitive comparison, and instructional history. Early identification matters — intervention is most effective before the gap widens.
▸  ADOLESCENT 13–16: the question shifts to access and accommodation. RACE evidence, assistive technology, subject choice. Remediation still works but the priority is curriculum access.
▸  YOUNG ADULT 17–26: DSA evidence for third level, workplace adjustment, WRAT-5 or WIAT-III adult norms.
▸  SPECIAL SETTING: functional literacy against the setting curriculum.</t>
        </is>
      </c>
      <c r="M141" s="207" t="inlineStr">
        <is>
          <t>RED FLAGS AND BOUNDARIES
▸  RED FLAG — a child with an unidentified reading difficulty and emerging low mood or school refusal. The sequence is usually reading first, then avoidance. Treat the reading.
▸  RED FLAG — hearing history. Glue ear during the infant classes is a plausible alternative explanation and is routinely missed. Always ask.
▸  RED FLAG — no systematic phonics instruction has ever been provided. You cannot identify a disorder 'despite appropriate instruction' if there has not been appropriate instruction.
▸  WATCH FOR co-occurrence: ADHD, DLD and DCD all co-occur with reading difficulty at well above chance.</t>
        </is>
      </c>
      <c r="N141" s="207" t="inlineStr">
        <is>
          <t>WHAT ELSE COULD IT BE, AND WHAT CO-OCCURS
▸  ADHD — co-occurs in roughly 30–50% of cases in both directions. PRESENTS AS: reading difficulty plus inattention, where each worsens the other. Pennington's multiple-deficit model (2006) explains why this is expected rather than coincidental.
▸  DLD / LANGUAGE DISORDER — strongly associated. PRESENTS AS: decoding difficulty PLUS comprehension difficulty. A child who decodes accurately and still cannot answer questions has a language problem, not a decoding one.
▸  DCD — elevated. PRESENTS AS: slow, effortful handwriting on top of spelling difficulty, compounding written output problems.
▸  DYSCALCULIA — co-occurs, though less studied. PRESENTS AS: word-problem failure that may be either reading or number sense; test them apart.
▸  ANXIETY — very common and usually SECONDARY. PRESENTS AS: avoidance of reading aloud, school reluctance, somatic complaints before literacy lessons. Treat the reading and much of it resolves.
▸  LOW SELF-CONCEPT — almost universal where identification has been late. Academic self-concept drops before global self-esteem does.
▸  GLUE EAR HISTORY — not a co-occurring condition but a competing explanation. Always ask about the infant years.</t>
        </is>
      </c>
      <c r="O141" s="207" t="inlineStr">
        <is>
          <t>TOOLS VALID AT THIS BAND
▸  WIAT-III UK — AGE to 25:11
     MEASURES: Attainment, adult norms at the top of the range.
     CANNOT TELL YOU: Third-level demands specifically.
     TIME: 60–90 min
▸  WRAT-5 — AGE 5–85+
     MEASURES: Word reading, spelling, sentence comprehension, maths computation.
     CANNOT TELL YOU: It is brief. Brief means less information, not less time-consuming to interpret.
     TIME: 15–45 min
▸  DASH-17+ — AGE 17:0–25:0
     MEASURES: Handwriting speed, adult norms.
     CANNOT TELL YOU: Whether assistive technology is the better answer — trial it.
     TIME: 20–25 min
▸  WAIS-IV UK — AGE 16:0–90:11
     MEASURES: Four index scores and FSIQ.
     CANNOT TELL YOU: Functional capacity in a course or workplace — that needs functional assessment too.
     TIME: 60–90 min</t>
        </is>
      </c>
      <c r="P141" s="207" t="inlineStr">
        <is>
          <t>WHAT YOU DO, AND WHAT YOU WRITE
▸  IDENTIFY THE COMPONENT FIRST — phonological awareness, decoding, fluency, vocabulary or comprehension — then match the intervention to it. A programme recommended without a component is a guess.
▸  STRUCTURED, EXPLICIT, SYSTEMATIC PHONICS taught to mastery. Specify: daily, 20 minutes, group of no more than three, SET-delivered, for a term.
▸  FLUENCY: repeated reading with feedback, and paired reading. Only after decoding is secure.
▸  ASSISTIVE TECHNOLOGY NOW, not when reading improves. Text-to-speech and speech-to-text give curriculum access while remediation happens.
▸  NEVER ASK TO READ ALOUD UNPREPARED. Offer the passage in advance if the child wants to participate.
▸  SEPARATE THE READING LOAD from every other subject's assessment. If she cannot read the question, that is a reading result.
▸  MONITOR FORTNIGHTLY with something sensitive — words correct per minute, non-word reading — not the annual standardised test.
▸  RACE / EXAM ACCESS at post-primary: build the evidence early, check current State Examinations Commission criteria.
▸  ADDRESS THE SECONDARY EFFECTS explicitly — confidence, avoidance — rather than assuming they resolve on their own.
▸  DO NOT RECOMMEND coloured overlays, tinted lenses or learning-styles matching. The evidence does not support them and PSI 4.2.2 applies.
▸  CONTINUUM LEVEL: School Support, moving to School Support Plus if a term of targeted intervention produces no measurable change.
▸  REFER: SLT where comprehension or oral language is implicated; OT where handwriting is motor; audiology where hearing history is unclear.</t>
        </is>
      </c>
      <c r="Q141" s="207" t="inlineStr">
        <is>
          <t>EXPLAIN
▸  TO A PARENT
▸  'Dyslexia is a difficulty with the sound structure of words — breaking them apart and putting them together. That makes decoding new words slow and effortful, which then makes everything that depends on reading harder.'
▸  'It's nothing to do with how clever she is. Her reasoning is [describe], and her reading is where the difficulty is. That gap is actually the picture.'
▸  'It's not about seeing letters backwards — that's the bit everyone has heard and it's not accurate.'
▸  'What helps is structured, explicit phonics taught to mastery, plus assistive technology so she can access the curriculum while the reading catches up. Both, not one.'
▸  SIGNPOST: Dyslexia Association of Ireland. Give the name.
▸  TO A TEACHER
▸  'The difficulty is phonological. She needs systematic, explicit phonics — and she needs it at her level, not the class level.'
▸  'Separate the reading load from the subject. If she can't read the maths word problem, that's a reading result, not a maths result. Read it to her and see what happens.'
▸  'Assistive technology now, not later. Text-to-speech and speech-to-text let her access the curriculum while the reading is being remediated. Withholding it until she can read is withholding the curriculum.'
▸  'Never ask her to read aloud unprepared in front of the class. Give her the passage the day before if she wants to participate.'
▸  'Monitor fortnightly with something sensitive — words correct per minute — not with the annual standardised test.'
▸  TO THE CHILD
▸  'Your brain finds it harder to break words into sounds and put them back together. That's what makes reading slow — it's not about how smart you are.'
▸  'Lots of people have this. It's called dyslexia. It doesn't go away, but reading gets a lot easier with the right kind of practice, and there's technology that reads things to you.'
▸  ASK: 'What's the hardest bit about reading for you?' Their answer often tells you whether it is decoding, stamina or embarrassment — three different problems.
▸  NAME A STRENGTH SPECIFICALLY: 'You worked out that answer without being able to read the question — that's the thinking part, and that's strong.'
▸  Be honest that it is lifelong. Children find that easier than discovering it later.
▸  ANALOGIES
▸  THE FOREIGN ALPHABET: 'Imagine every page was in Greek letters. You know the language, you can think about the ideas — but turning those shapes into sounds takes all your effort, and there's nothing left for understanding the story.' Good for teachers; explains why comprehension collapses.
▸  THE JAMMED LOCK: 'Most people's brains unlock a word automatically. Yours has a lock that sticks — you can still open it, it just takes longer each time.' Good with children.
▸  THE BUCKET OF EFFORT: 'Everyone starts the day with a bucket of concentration. If reading uses half the bucket before lunch, there isn't much left for anything else. That's why she's exhausted, not lazy.' Good with parents.
▸  LANGUAGE
▸  'Dyslexia' is widely used and generally accepted by the community; the Dyslexia Association of Ireland uses it directly.
▸  'Specific learning difficulty' is the Irish Department of Education term. 'Specific Learning Disorder with impairment in reading' is the DSM-5-TR term.
▸  Avoid 'word blind', 'suffers from dyslexia', and 'struggling reader' as a euphemism — it obscures rather than protects.
▸  Be careful with 'diagnosis'. In Ireland, educational psychologists identify specific learning difficulties; frame it as identification against criteria and say what criteria.</t>
        </is>
      </c>
      <c r="R141" s="207" t="inlineStr">
        <is>
          <t>THE CHILD’S VOICE, AND THE QUESTIONS
▸  READING ATTITUDE SCALES (e.g. Elementary Reading Attitude Survey) — good because reading attitude often deteriorates before attainment does, so it catches the emotional cost early.
▸  'MY THOUGHTS ABOUT SCHOOL' (NEPS Continuum of Support materials) — Irish, free, already in schools. Good because staff recognise it. → https://www.gov.ie/en/publication/52ee2-neps-resources-and-publications/
▸  SENTENCE COMPLETION ('Reading is…', 'When the teacher asks me to read…') — good because it is quick, non-threatening, and surfaces shame that direct questions miss.
▸  DYSLEXIA ASSOCIATION OF IRELAND young people's materials — Irish, written for children about their own profile. Good because self-understanding predicts self-advocacy. → https://dyslexia.ie/
▸  SCALING ON A DRAWN LADDER — good with 6–12s because it makes an abstract judgement concrete and gives you a follow-up question ('what puts you at a 4?').
▸  QUESTIONS YOU WILL BE ASKED
▸  Q: 'Does she see letters backwards?' — A: 'That's the thing everyone's heard and it isn't accurate. Reversals are normal in early writing. The actual difficulty is with the sounds in words — breaking them apart and blending them back together.'
▸  Q: 'Would coloured overlays help?' — A: 'The evidence doesn't support them, and I'd rather you spent the money and the time on something that does. If she finds a particular background easier to read, that's fine to use — it just isn't treating the dyslexia.'
▸  Q: 'Is she just not trying?' — A: 'The opposite, usually. Children with this profile work considerably harder than their classmates for less output, which is exhausting. What looks like giving up is often running out.'
▸  Q: 'Will she grow out of it?' — A: 'No, it's lifelong. Reading gets a great deal better with the right teaching, and most people find their own strategies. The difficulty with decoding new words tends to stay.'
▸  Q: 'Does this mean she's not clever?' — A: 'No, and in fact the gap between her reasoning and her reading is part of what identifies it. Her thinking is [specific]. The reading is where the difficulty sits.'
▸  Q: 'Should she use a laptop? Isn't that giving up on reading?' — A: 'No — it's two separate things. She needs the phonics teaching to improve the reading, and she needs the technology so she can access history and science while that's happening. Doing one without the other means she falls behind in everything else.'
▸  Q: 'Will she get extra time in the Leaving Cert?' — A: 'Possibly, and the application is made by the school against criteria set by the State Examinations Commission. I can set out the evidence that supports it, but I can't promise the outcome.'
▸  Q: 'The school says she's improving, so is she fine now?' — A: 'Improving is good and it doesn't mean the difficulty has gone. The thing to watch is whether she's improving fast enough to close the gap, or improving at the same rate while the gap stays the same. That's why we measure.'</t>
        </is>
      </c>
      <c r="S141" s="207" t="inlineStr">
        <is>
          <t>YOUR PRACTICE
▸  SUPERVISION
▸  Bring a recommendations section and ask your supervisor: 'who does this on Monday morning?' If they cannot answer, rewrite it.
▸  Ask how your service handles a school with no systematic phonics programme — that is a systemic conversation and it needs a strategy.
▸  Raise the identification threshold: at what point does your service say 'specific learning difficulty' and on what basis?
▸  Discuss the RACE process and what evidence actually satisfies the State Examinations Commission this year.
▸  Bring a case where the cognitive profile was low average and ask how identification works without a discrepancy model.
▸  Ask about assistive technology — what the service recommends, what schools actually have, and how to bridge the gap.
▸  REFLECTION
▸  ON INSTRUCTIONAL HISTORY — Did I establish what had actually been taught before I concluded anything? The criteria say 'despite appropriate instruction'. If I did not check, I have not met the criteria I claimed to apply.
▸  ON THE HEARING QUESTION — Did I ask specifically about glue ear and grommets in the infant years, or did I ask a general health question and accept a general answer?
▸  ON THE TEACHER CONVERSATION — Did I say 'structured phonics' and leave, or did I specify what, who, how often, for how long, and how it would be measured? An unspecified recommendation is a wish.
▸  ON ASSISTIVE TECHNOLOGY — Did I recommend it now, or imply it should wait until reading improves? Withholding access technology until a child can read is withholding the curriculum.
▸  ON HOW I EXPLAINED IT TO THE CHILD — Did I name a strength that was specific to them, or a generic one about dyslexic people? Generic strengths are heard as consolation.
▸  ON THE REVERSALS QUESTION — When the parent mentioned letters backwards, did I correct it clearly, or did I let it pass because correcting felt awkward?
▸  WHAT GOOD LOOKS LIKE: 'I had written 'targeted literacy support' in my first draft. Reading it back I could not have acted on it myself, so I rewrote it as daily 20 minutes of structured phonics, SET-delivered, group of three, monitored fortnightly on non-word reading. The school implemented it. The first version would have been filed.'
▸  WHAT POOR LOOKS LIKE: 'Assessment indicated a specific learning difficulty in reading. Literacy support is recommended.' — nothing actionable, no component identified, no instructional history.</t>
        </is>
      </c>
      <c r="T141" s="207" t="inlineStr">
        <is>
          <t>WHAT TO DO NEXT
▸  Proceed to FORMULATION using a named framework — Monsen, Interactive Factors, COMOIRA or Carr.
▸  If a learning need may be driving the presentation, proceed to attainment assessment before concluding.
▸  If risk or safeguarding emerged, none of the above — follow the protocol and tell your supervisor the same day.
▸  If the referral question is not answered by what you found, go back and renegotiate it.</t>
        </is>
      </c>
      <c r="U141" s="207" t="inlineStr">
        <is>
          <t>WHERE THE EVIDENCE GOES
▸  Psychological report
▸  Appendix 5 entry tagged 1. Assessment
▸  Appendix 7 if observed
▸  Table 3 — Young Adult
▸  Log sheet — tag the referral area and the competency</t>
        </is>
      </c>
      <c r="V141" s="207" t="inlineStr">
        <is>
          <t>CITATIONS
▸  American Psychiatric Association (2022). DSM-5-TR — Specific Learning Disorder.
▸  Snowling, M. J., &amp; Hulme, C. (2011). Evidence-based interventions for reading and language difficulties. British Journal of Educational Psychology, 81(1), 1–23.
▸  Pennington, B. F. (2006). From single to multiple deficit models of developmental disorders. Cognition, 101(2), 385–413.
▸  Ehri, L. C. (2005). Learning to read words: Theory, findings, and issues. Scientific Studies of Reading, 9(2), 167–188.
▸  Snowling, M. J., &amp; Hulme, C. (2012). Annual research review: The nature and classification of reading disorders. JCPP, 53(5), 593–607.
▸  EEF Teaching and Learning Toolkit — phonics strand.</t>
        </is>
      </c>
    </row>
    <row r="142" ht="169.5" customHeight="1" s="128">
      <c r="A142" s="208" t="inlineStr">
        <is>
          <t>CO-OCCURRING</t>
        </is>
      </c>
      <c r="B142" s="208" t="inlineStr">
        <is>
          <t>1. Assessment</t>
        </is>
      </c>
      <c r="C142" s="171" t="inlineStr">
        <is>
          <t>Young Adult (17–26 years)</t>
        </is>
      </c>
      <c r="D142" s="208" t="inlineStr">
        <is>
          <t>CO-OCCURS WITH DYSLEXIA</t>
        </is>
      </c>
      <c r="E142" s="209" t="inlineStr">
        <is>
          <t>ADHD</t>
        </is>
      </c>
      <c r="F142" s="208" t="inlineStr">
        <is>
          <t>see its own entry</t>
        </is>
      </c>
      <c r="G142" s="208" t="inlineStr">
        <is>
          <t>YES — assess separately</t>
        </is>
      </c>
      <c r="H142" s="171" t="inlineStr">
        <is>
          <t>WHERE THIS SITS
▸  Sits under 1. Assessment, alongside Dyslexia.
▸  NEPS category: 1. LEARNING (1.4 Literacy)</t>
        </is>
      </c>
      <c r="I142" s="171" t="inlineStr">
        <is>
          <t>HOW OFTEN IT CO-OCCURS
▸  co-occurs in roughly 30–50% of cases in both directions.</t>
        </is>
      </c>
      <c r="J142" s="171" t="inlineStr">
        <is>
          <t>HOW IT PRESENTS WHEN IT CO-OCCURS
▸  reading difficulty plus inattention, where each worsens the other. Pennington's multiple-deficit model (2006) explains why this is expected rather than coincidental.</t>
        </is>
      </c>
      <c r="K142" s="171" t="inlineStr">
        <is>
          <t>THE RISK
▸  Do not assume the primary diagnosis explains this.
▸  Write down before you start what the primary diagnosis does NOT explain, then assess that.
▸  Diagnostic overshadowing is the single most common error in co-occurring presentations.</t>
        </is>
      </c>
      <c r="L142" s="171" t="inlineStr">
        <is>
          <t>—</t>
        </is>
      </c>
      <c r="M142" s="171" t="inlineStr">
        <is>
          <t>—</t>
        </is>
      </c>
      <c r="N142" s="171" t="inlineStr">
        <is>
          <t>—</t>
        </is>
      </c>
      <c r="O142" s="171" t="inlineStr">
        <is>
          <t>ASSESS
▸  Assess this separately, with its own measures.
▸  Build the case for each condition independently rather than letting evidence for one carry the other.</t>
        </is>
      </c>
      <c r="P142" s="171" t="inlineStr">
        <is>
          <t>DO
▸  State in the report what would be needed to establish this second presentation.
▸  That is often a referral rather than a conclusion you can reach yourself.</t>
        </is>
      </c>
      <c r="Q142" s="171" t="inlineStr">
        <is>
          <t>—</t>
        </is>
      </c>
      <c r="R142" s="171" t="inlineStr">
        <is>
          <t>—</t>
        </is>
      </c>
      <c r="S142" s="171" t="inlineStr">
        <is>
          <t>YOUR PRACTICE
▸  Bring it to supervision: for each child on my caseload with this diagnosis, what has NOT been assessed because the diagnosis was already there?</t>
        </is>
      </c>
      <c r="T142" s="171" t="inlineStr">
        <is>
          <t>WHAT TO DO NEXT
▸  Assess separately, then refer if the threshold is met.</t>
        </is>
      </c>
      <c r="U142" s="171" t="inlineStr">
        <is>
          <t>WHERE THE EVIDENCE GOES
▸  Psychological report — state the co-occurrence and what it changes.</t>
        </is>
      </c>
      <c r="V142" s="171" t="inlineStr">
        <is>
          <t>—</t>
        </is>
      </c>
    </row>
    <row r="143" ht="169.5" customHeight="1" s="128">
      <c r="A143" s="208" t="inlineStr">
        <is>
          <t>CO-OCCURRING</t>
        </is>
      </c>
      <c r="B143" s="208" t="inlineStr">
        <is>
          <t>1. Assessment</t>
        </is>
      </c>
      <c r="C143" s="171" t="inlineStr">
        <is>
          <t>Young Adult (17–26 years)</t>
        </is>
      </c>
      <c r="D143" s="208" t="inlineStr">
        <is>
          <t>CO-OCCURS WITH DYSLEXIA</t>
        </is>
      </c>
      <c r="E143" s="209" t="inlineStr">
        <is>
          <t>DLD / LANGUAGE DISORDER</t>
        </is>
      </c>
      <c r="F143" s="208" t="inlineStr">
        <is>
          <t>see its own entry</t>
        </is>
      </c>
      <c r="G143" s="208" t="inlineStr">
        <is>
          <t>YES — assess separately</t>
        </is>
      </c>
      <c r="H143" s="171" t="inlineStr">
        <is>
          <t>WHERE THIS SITS
▸  Sits under 1. Assessment, alongside Dyslexia.
▸  NEPS category: 1. LEARNING (1.4 Literacy)</t>
        </is>
      </c>
      <c r="I143" s="171" t="inlineStr">
        <is>
          <t>HOW OFTEN IT CO-OCCURS
▸  strongly associated.</t>
        </is>
      </c>
      <c r="J143" s="171" t="inlineStr">
        <is>
          <t>HOW IT PRESENTS WHEN IT CO-OCCURS
▸  decoding difficulty PLUS comprehension difficulty. A child who decodes accurately and still cannot answer questions has a language problem, not a decoding one.</t>
        </is>
      </c>
      <c r="K143" s="171" t="inlineStr">
        <is>
          <t>THE RISK
▸  Do not assume the primary diagnosis explains this.
▸  Write down before you start what the primary diagnosis does NOT explain, then assess that.
▸  Diagnostic overshadowing is the single most common error in co-occurring presentations.</t>
        </is>
      </c>
      <c r="L143" s="171" t="inlineStr">
        <is>
          <t>—</t>
        </is>
      </c>
      <c r="M143" s="171" t="inlineStr">
        <is>
          <t>—</t>
        </is>
      </c>
      <c r="N143" s="171" t="inlineStr">
        <is>
          <t>—</t>
        </is>
      </c>
      <c r="O143" s="171" t="inlineStr">
        <is>
          <t>ASSESS
▸  Assess this separately, with its own measures.
▸  Build the case for each condition independently rather than letting evidence for one carry the other.</t>
        </is>
      </c>
      <c r="P143" s="171" t="inlineStr">
        <is>
          <t>DO
▸  State in the report what would be needed to establish this second presentation.
▸  That is often a referral rather than a conclusion you can reach yourself.</t>
        </is>
      </c>
      <c r="Q143" s="171" t="inlineStr">
        <is>
          <t>—</t>
        </is>
      </c>
      <c r="R143" s="171" t="inlineStr">
        <is>
          <t>—</t>
        </is>
      </c>
      <c r="S143" s="171" t="inlineStr">
        <is>
          <t>YOUR PRACTICE
▸  Bring it to supervision: for each child on my caseload with this diagnosis, what has NOT been assessed because the diagnosis was already there?</t>
        </is>
      </c>
      <c r="T143" s="171" t="inlineStr">
        <is>
          <t>WHAT TO DO NEXT
▸  Assess separately, then refer if the threshold is met.</t>
        </is>
      </c>
      <c r="U143" s="171" t="inlineStr">
        <is>
          <t>WHERE THE EVIDENCE GOES
▸  Psychological report — state the co-occurrence and what it changes.</t>
        </is>
      </c>
      <c r="V143" s="171" t="inlineStr">
        <is>
          <t>—</t>
        </is>
      </c>
    </row>
    <row r="144" ht="169.5" customHeight="1" s="128">
      <c r="A144" s="208" t="inlineStr">
        <is>
          <t>CO-OCCURRING</t>
        </is>
      </c>
      <c r="B144" s="208" t="inlineStr">
        <is>
          <t>1. Assessment</t>
        </is>
      </c>
      <c r="C144" s="171" t="inlineStr">
        <is>
          <t>Young Adult (17–26 years)</t>
        </is>
      </c>
      <c r="D144" s="208" t="inlineStr">
        <is>
          <t>CO-OCCURS WITH DYSLEXIA</t>
        </is>
      </c>
      <c r="E144" s="209" t="inlineStr">
        <is>
          <t>DCD</t>
        </is>
      </c>
      <c r="F144" s="208" t="inlineStr">
        <is>
          <t>see its own entry</t>
        </is>
      </c>
      <c r="G144" s="208" t="inlineStr">
        <is>
          <t>YES — assess separately</t>
        </is>
      </c>
      <c r="H144" s="171" t="inlineStr">
        <is>
          <t>WHERE THIS SITS
▸  Sits under 1. Assessment, alongside Dyslexia.
▸  NEPS category: 1. LEARNING (1.4 Literacy)</t>
        </is>
      </c>
      <c r="I144" s="171" t="inlineStr">
        <is>
          <t>HOW OFTEN IT CO-OCCURS
▸  elevated.</t>
        </is>
      </c>
      <c r="J144" s="171" t="inlineStr">
        <is>
          <t>HOW IT PRESENTS WHEN IT CO-OCCURS
▸  slow, effortful handwriting on top of spelling difficulty, compounding written output problems.</t>
        </is>
      </c>
      <c r="K144" s="171" t="inlineStr">
        <is>
          <t>THE RISK
▸  Do not assume the primary diagnosis explains this.
▸  Write down before you start what the primary diagnosis does NOT explain, then assess that.
▸  Diagnostic overshadowing is the single most common error in co-occurring presentations.</t>
        </is>
      </c>
      <c r="L144" s="171" t="inlineStr">
        <is>
          <t>—</t>
        </is>
      </c>
      <c r="M144" s="171" t="inlineStr">
        <is>
          <t>—</t>
        </is>
      </c>
      <c r="N144" s="171" t="inlineStr">
        <is>
          <t>—</t>
        </is>
      </c>
      <c r="O144" s="171" t="inlineStr">
        <is>
          <t>ASSESS
▸  Assess this separately, with its own measures.
▸  Build the case for each condition independently rather than letting evidence for one carry the other.</t>
        </is>
      </c>
      <c r="P144" s="171" t="inlineStr">
        <is>
          <t>DO
▸  State in the report what would be needed to establish this second presentation.
▸  That is often a referral rather than a conclusion you can reach yourself.</t>
        </is>
      </c>
      <c r="Q144" s="171" t="inlineStr">
        <is>
          <t>—</t>
        </is>
      </c>
      <c r="R144" s="171" t="inlineStr">
        <is>
          <t>—</t>
        </is>
      </c>
      <c r="S144" s="171" t="inlineStr">
        <is>
          <t>YOUR PRACTICE
▸  Bring it to supervision: for each child on my caseload with this diagnosis, what has NOT been assessed because the diagnosis was already there?</t>
        </is>
      </c>
      <c r="T144" s="171" t="inlineStr">
        <is>
          <t>WHAT TO DO NEXT
▸  Assess separately, then refer if the threshold is met.</t>
        </is>
      </c>
      <c r="U144" s="171" t="inlineStr">
        <is>
          <t>WHERE THE EVIDENCE GOES
▸  Psychological report — state the co-occurrence and what it changes.</t>
        </is>
      </c>
      <c r="V144" s="171" t="inlineStr">
        <is>
          <t>—</t>
        </is>
      </c>
    </row>
    <row r="145" ht="169.5" customHeight="1" s="128">
      <c r="A145" s="208" t="inlineStr">
        <is>
          <t>CO-OCCURRING</t>
        </is>
      </c>
      <c r="B145" s="208" t="inlineStr">
        <is>
          <t>1. Assessment</t>
        </is>
      </c>
      <c r="C145" s="171" t="inlineStr">
        <is>
          <t>Young Adult (17–26 years)</t>
        </is>
      </c>
      <c r="D145" s="208" t="inlineStr">
        <is>
          <t>CO-OCCURS WITH DYSLEXIA</t>
        </is>
      </c>
      <c r="E145" s="209" t="inlineStr">
        <is>
          <t>DYSCALCULIA</t>
        </is>
      </c>
      <c r="F145" s="208" t="inlineStr">
        <is>
          <t>see its own entry</t>
        </is>
      </c>
      <c r="G145" s="208" t="inlineStr">
        <is>
          <t>YES — assess separately</t>
        </is>
      </c>
      <c r="H145" s="171" t="inlineStr">
        <is>
          <t>WHERE THIS SITS
▸  Sits under 1. Assessment, alongside Dyslexia.
▸  NEPS category: 1. LEARNING (1.4 Literacy)</t>
        </is>
      </c>
      <c r="I145" s="171" t="inlineStr">
        <is>
          <t>HOW OFTEN IT CO-OCCURS
▸  co-occurs, though less studied.</t>
        </is>
      </c>
      <c r="J145" s="171" t="inlineStr">
        <is>
          <t>HOW IT PRESENTS WHEN IT CO-OCCURS
▸  word-problem failure that may be either reading or number sense; test them apart.</t>
        </is>
      </c>
      <c r="K145" s="171" t="inlineStr">
        <is>
          <t>THE RISK
▸  Do not assume the primary diagnosis explains this.
▸  Write down before you start what the primary diagnosis does NOT explain, then assess that.
▸  Diagnostic overshadowing is the single most common error in co-occurring presentations.</t>
        </is>
      </c>
      <c r="L145" s="171" t="inlineStr">
        <is>
          <t>—</t>
        </is>
      </c>
      <c r="M145" s="171" t="inlineStr">
        <is>
          <t>—</t>
        </is>
      </c>
      <c r="N145" s="171" t="inlineStr">
        <is>
          <t>—</t>
        </is>
      </c>
      <c r="O145" s="171" t="inlineStr">
        <is>
          <t>ASSESS
▸  Assess this separately, with its own measures.
▸  Build the case for each condition independently rather than letting evidence for one carry the other.</t>
        </is>
      </c>
      <c r="P145" s="171" t="inlineStr">
        <is>
          <t>DO
▸  State in the report what would be needed to establish this second presentation.
▸  That is often a referral rather than a conclusion you can reach yourself.</t>
        </is>
      </c>
      <c r="Q145" s="171" t="inlineStr">
        <is>
          <t>—</t>
        </is>
      </c>
      <c r="R145" s="171" t="inlineStr">
        <is>
          <t>—</t>
        </is>
      </c>
      <c r="S145" s="171" t="inlineStr">
        <is>
          <t>YOUR PRACTICE
▸  Bring it to supervision: for each child on my caseload with this diagnosis, what has NOT been assessed because the diagnosis was already there?</t>
        </is>
      </c>
      <c r="T145" s="171" t="inlineStr">
        <is>
          <t>WHAT TO DO NEXT
▸  Assess separately, then refer if the threshold is met.</t>
        </is>
      </c>
      <c r="U145" s="171" t="inlineStr">
        <is>
          <t>WHERE THE EVIDENCE GOES
▸  Psychological report — state the co-occurrence and what it changes.</t>
        </is>
      </c>
      <c r="V145" s="171" t="inlineStr">
        <is>
          <t>—</t>
        </is>
      </c>
    </row>
    <row r="146" ht="169.5" customHeight="1" s="128">
      <c r="A146" s="208" t="inlineStr">
        <is>
          <t>CO-OCCURRING</t>
        </is>
      </c>
      <c r="B146" s="208" t="inlineStr">
        <is>
          <t>1. Assessment</t>
        </is>
      </c>
      <c r="C146" s="171" t="inlineStr">
        <is>
          <t>Young Adult (17–26 years)</t>
        </is>
      </c>
      <c r="D146" s="208" t="inlineStr">
        <is>
          <t>CO-OCCURS WITH DYSLEXIA</t>
        </is>
      </c>
      <c r="E146" s="209" t="inlineStr">
        <is>
          <t>ANXIETY</t>
        </is>
      </c>
      <c r="F146" s="208" t="inlineStr">
        <is>
          <t>see its own entry</t>
        </is>
      </c>
      <c r="G146" s="208" t="inlineStr">
        <is>
          <t>YES — assess separately</t>
        </is>
      </c>
      <c r="H146" s="171" t="inlineStr">
        <is>
          <t>WHERE THIS SITS
▸  Sits under 1. Assessment, alongside Dyslexia.
▸  NEPS category: 1. LEARNING (1.4 Literacy)</t>
        </is>
      </c>
      <c r="I146" s="171" t="inlineStr">
        <is>
          <t>HOW OFTEN IT CO-OCCURS
▸  very common and usually SECONDARY.</t>
        </is>
      </c>
      <c r="J146" s="171" t="inlineStr">
        <is>
          <t>HOW IT PRESENTS WHEN IT CO-OCCURS
▸  avoidance of reading aloud, school reluctance, somatic complaints before literacy lessons. Treat the reading and much of it resolves.</t>
        </is>
      </c>
      <c r="K146" s="171" t="inlineStr">
        <is>
          <t>THE RISK
▸  Do not assume the primary diagnosis explains this.
▸  Write down before you start what the primary diagnosis does NOT explain, then assess that.
▸  Diagnostic overshadowing is the single most common error in co-occurring presentations.</t>
        </is>
      </c>
      <c r="L146" s="171" t="inlineStr">
        <is>
          <t>—</t>
        </is>
      </c>
      <c r="M146" s="171" t="inlineStr">
        <is>
          <t>—</t>
        </is>
      </c>
      <c r="N146" s="171" t="inlineStr">
        <is>
          <t>—</t>
        </is>
      </c>
      <c r="O146" s="171" t="inlineStr">
        <is>
          <t>ASSESS
▸  Assess this separately, with its own measures.
▸  Build the case for each condition independently rather than letting evidence for one carry the other.</t>
        </is>
      </c>
      <c r="P146" s="171" t="inlineStr">
        <is>
          <t>DO
▸  State in the report what would be needed to establish this second presentation.
▸  That is often a referral rather than a conclusion you can reach yourself.</t>
        </is>
      </c>
      <c r="Q146" s="171" t="inlineStr">
        <is>
          <t>—</t>
        </is>
      </c>
      <c r="R146" s="171" t="inlineStr">
        <is>
          <t>—</t>
        </is>
      </c>
      <c r="S146" s="171" t="inlineStr">
        <is>
          <t>YOUR PRACTICE
▸  Bring it to supervision: for each child on my caseload with this diagnosis, what has NOT been assessed because the diagnosis was already there?</t>
        </is>
      </c>
      <c r="T146" s="171" t="inlineStr">
        <is>
          <t>WHAT TO DO NEXT
▸  Assess separately, then refer if the threshold is met.</t>
        </is>
      </c>
      <c r="U146" s="171" t="inlineStr">
        <is>
          <t>WHERE THE EVIDENCE GOES
▸  Psychological report — state the co-occurrence and what it changes.</t>
        </is>
      </c>
      <c r="V146" s="171" t="inlineStr">
        <is>
          <t>—</t>
        </is>
      </c>
    </row>
    <row r="147" ht="169.5" customHeight="1" s="128">
      <c r="A147" s="208" t="inlineStr">
        <is>
          <t>CO-OCCURRING</t>
        </is>
      </c>
      <c r="B147" s="208" t="inlineStr">
        <is>
          <t>1. Assessment</t>
        </is>
      </c>
      <c r="C147" s="171" t="inlineStr">
        <is>
          <t>Young Adult (17–26 years)</t>
        </is>
      </c>
      <c r="D147" s="208" t="inlineStr">
        <is>
          <t>CO-OCCURS WITH DYSLEXIA</t>
        </is>
      </c>
      <c r="E147" s="209" t="inlineStr">
        <is>
          <t>LOW SELF-CONCEPT</t>
        </is>
      </c>
      <c r="F147" s="208" t="inlineStr">
        <is>
          <t>see its own entry</t>
        </is>
      </c>
      <c r="G147" s="208" t="inlineStr">
        <is>
          <t>YES — assess separately</t>
        </is>
      </c>
      <c r="H147" s="171" t="inlineStr">
        <is>
          <t>WHERE THIS SITS
▸  Sits under 1. Assessment, alongside Dyslexia.
▸  NEPS category: 1. LEARNING (1.4 Literacy)</t>
        </is>
      </c>
      <c r="I147" s="171" t="inlineStr">
        <is>
          <t>HOW OFTEN IT CO-OCCURS
▸  Rate not stated in source — check before quoting.</t>
        </is>
      </c>
      <c r="J147" s="171" t="inlineStr">
        <is>
          <t>HOW IT PRESENTS WHEN IT CO-OCCURS
▸  almost universal where identification has been late. Academic self-concept drops before global self-esteem does.</t>
        </is>
      </c>
      <c r="K147" s="171" t="inlineStr">
        <is>
          <t>THE RISK
▸  Do not assume the primary diagnosis explains this.
▸  Write down before you start what the primary diagnosis does NOT explain, then assess that.
▸  Diagnostic overshadowing is the single most common error in co-occurring presentations.</t>
        </is>
      </c>
      <c r="L147" s="171" t="inlineStr">
        <is>
          <t>—</t>
        </is>
      </c>
      <c r="M147" s="171" t="inlineStr">
        <is>
          <t>—</t>
        </is>
      </c>
      <c r="N147" s="171" t="inlineStr">
        <is>
          <t>—</t>
        </is>
      </c>
      <c r="O147" s="171" t="inlineStr">
        <is>
          <t>ASSESS
▸  Assess this separately, with its own measures.
▸  Build the case for each condition independently rather than letting evidence for one carry the other.</t>
        </is>
      </c>
      <c r="P147" s="171" t="inlineStr">
        <is>
          <t>DO
▸  State in the report what would be needed to establish this second presentation.
▸  That is often a referral rather than a conclusion you can reach yourself.</t>
        </is>
      </c>
      <c r="Q147" s="171" t="inlineStr">
        <is>
          <t>—</t>
        </is>
      </c>
      <c r="R147" s="171" t="inlineStr">
        <is>
          <t>—</t>
        </is>
      </c>
      <c r="S147" s="171" t="inlineStr">
        <is>
          <t>YOUR PRACTICE
▸  Bring it to supervision: for each child on my caseload with this diagnosis, what has NOT been assessed because the diagnosis was already there?</t>
        </is>
      </c>
      <c r="T147" s="171" t="inlineStr">
        <is>
          <t>WHAT TO DO NEXT
▸  Assess separately, then refer if the threshold is met.</t>
        </is>
      </c>
      <c r="U147" s="171" t="inlineStr">
        <is>
          <t>WHERE THE EVIDENCE GOES
▸  Psychological report — state the co-occurrence and what it changes.</t>
        </is>
      </c>
      <c r="V147" s="171" t="inlineStr">
        <is>
          <t>—</t>
        </is>
      </c>
    </row>
    <row r="148" ht="169.5" customHeight="1" s="128">
      <c r="A148" s="208" t="inlineStr">
        <is>
          <t>CO-OCCURRING</t>
        </is>
      </c>
      <c r="B148" s="208" t="inlineStr">
        <is>
          <t>1. Assessment</t>
        </is>
      </c>
      <c r="C148" s="171" t="inlineStr">
        <is>
          <t>Young Adult (17–26 years)</t>
        </is>
      </c>
      <c r="D148" s="208" t="inlineStr">
        <is>
          <t>CO-OCCURS WITH DYSLEXIA</t>
        </is>
      </c>
      <c r="E148" s="209" t="inlineStr">
        <is>
          <t>GLUE EAR HISTORY</t>
        </is>
      </c>
      <c r="F148" s="208" t="inlineStr">
        <is>
          <t>see its own entry</t>
        </is>
      </c>
      <c r="G148" s="208" t="inlineStr">
        <is>
          <t>YES — assess separately</t>
        </is>
      </c>
      <c r="H148" s="171" t="inlineStr">
        <is>
          <t>WHERE THIS SITS
▸  Sits under 1. Assessment, alongside Dyslexia.
▸  NEPS category: 1. LEARNING (1.4 Literacy)</t>
        </is>
      </c>
      <c r="I148" s="171" t="inlineStr">
        <is>
          <t>HOW OFTEN IT CO-OCCURS
▸  Rate not stated in source — check before quoting.</t>
        </is>
      </c>
      <c r="J148" s="171" t="inlineStr">
        <is>
          <t>HOW IT PRESENTS WHEN IT CO-OCCURS
▸  not a co-occurring condition but a competing explanation. Always ask about the infant years.</t>
        </is>
      </c>
      <c r="K148" s="171" t="inlineStr">
        <is>
          <t>THE RISK
▸  Do not assume the primary diagnosis explains this.
▸  Write down before you start what the primary diagnosis does NOT explain, then assess that.
▸  Diagnostic overshadowing is the single most common error in co-occurring presentations.</t>
        </is>
      </c>
      <c r="L148" s="171" t="inlineStr">
        <is>
          <t>—</t>
        </is>
      </c>
      <c r="M148" s="171" t="inlineStr">
        <is>
          <t>—</t>
        </is>
      </c>
      <c r="N148" s="171" t="inlineStr">
        <is>
          <t>—</t>
        </is>
      </c>
      <c r="O148" s="171" t="inlineStr">
        <is>
          <t>ASSESS
▸  Assess this separately, with its own measures.
▸  Build the case for each condition independently rather than letting evidence for one carry the other.</t>
        </is>
      </c>
      <c r="P148" s="171" t="inlineStr">
        <is>
          <t>DO
▸  State in the report what would be needed to establish this second presentation.
▸  That is often a referral rather than a conclusion you can reach yourself.</t>
        </is>
      </c>
      <c r="Q148" s="171" t="inlineStr">
        <is>
          <t>—</t>
        </is>
      </c>
      <c r="R148" s="171" t="inlineStr">
        <is>
          <t>—</t>
        </is>
      </c>
      <c r="S148" s="171" t="inlineStr">
        <is>
          <t>YOUR PRACTICE
▸  Bring it to supervision: for each child on my caseload with this diagnosis, what has NOT been assessed because the diagnosis was already there?</t>
        </is>
      </c>
      <c r="T148" s="171" t="inlineStr">
        <is>
          <t>WHAT TO DO NEXT
▸  Assess separately, then refer if the threshold is met.</t>
        </is>
      </c>
      <c r="U148" s="171" t="inlineStr">
        <is>
          <t>WHERE THE EVIDENCE GOES
▸  Psychological report — state the co-occurrence and what it changes.</t>
        </is>
      </c>
      <c r="V148" s="171" t="inlineStr">
        <is>
          <t>—</t>
        </is>
      </c>
    </row>
    <row r="149" ht="408.75" customHeight="1" s="128">
      <c r="A149" s="210" t="inlineStr">
        <is>
          <t>PRESENTATION</t>
        </is>
      </c>
      <c r="B149" s="210" t="inlineStr">
        <is>
          <t>1. Assessment</t>
        </is>
      </c>
      <c r="C149" s="170" t="inlineStr">
        <is>
          <t>Young Adult (17–26 years)</t>
        </is>
      </c>
      <c r="D149" s="210" t="inlineStr">
        <is>
          <t>SYMPTOM-ONLY</t>
        </is>
      </c>
      <c r="E149" s="211" t="inlineStr">
        <is>
          <t>Presentations related to Dyslexia — no diagnosis</t>
        </is>
      </c>
      <c r="F149" s="210" t="inlineStr">
        <is>
          <t>No DSM code</t>
        </is>
      </c>
      <c r="G149" s="210" t="inlineStr">
        <is>
          <t>YES — these present at every band</t>
        </is>
      </c>
      <c r="H149" s="170" t="inlineStr">
        <is>
          <t>WHERE THIS SITS
▸  NEPS category: as above
▸  UCD competency: 1. Assessment
▸  CORU: 3.1 · 3.2 · 5.28 · 5.29 · 5.30 · 5.31 · 5.32
▸  PSI: 2.2.2 · 2.3.1 · 1.3.1 · 1.2.8</t>
        </is>
      </c>
      <c r="I149" s="170" t="inlineStr">
        <is>
          <t>THE PRESENTATIONS — no diagnosis needed, and most referrals look like this
▸  Literacy difficulty not meeting SLD criteria
▸  Reading stamina and avoidance of reading aloud
▸  Spelling as a barrier to written output
▸  Assistive technology not yet trialled
▸  Instruction history — what has actually been taught
▸  Glue ear history during the years phonics was taught</t>
        </is>
      </c>
      <c r="J149" s="170" t="inlineStr">
        <is>
          <t>HOW COMMON
▸  No prevalence figures exist for these — they are descriptions, not categories.
▸  They are more common than the diagnosis they sit beside.</t>
        </is>
      </c>
      <c r="K149" s="170" t="inlineStr">
        <is>
          <t>THE PATHWAY
▸  No diagnostic pathway. Nobody diagnoses these.
▸  You describe them, formulate around them, and recommend. That is the whole pathway.
▸  If a parent asks who diagnoses it: nobody. Say that plainly, and say it does not make the difficulty less real or less workable.</t>
        </is>
      </c>
      <c r="L149" s="170" t="inlineStr">
        <is>
          <t>WHAT YOU SEE
▸  These are what the referral form actually describes in Section 5.
▸  Look for the pattern across settings rather than a threshold.</t>
        </is>
      </c>
      <c r="M149" s="170" t="inlineStr">
        <is>
          <t>RED FLAGS
▸  Escalating distress, withdrawal or risk indicators — follow the protocol regardless of whether a diagnosis exists.
▸  Do not let the absence of a diagnosis delay a safeguarding response.</t>
        </is>
      </c>
      <c r="N149" s="170" t="inlineStr">
        <is>
          <t>WHAT ELSE COULD IT BE
▸  Each of these can be the visible edge of the diagnosed condition above.
▸  Each can also occur entirely on its own.
▸  Test the sequence: which came first?</t>
        </is>
      </c>
      <c r="O149" s="170" t="inlineStr">
        <is>
          <t>ASSESS
▸  Observation with a comparison peer.
▸  Teacher and parent interview.
▸  Pupil interview — their account is the evidence here.
▸  Rating scales describe perception, not the presentation itself.</t>
        </is>
      </c>
      <c r="P149" s="170" t="inlineStr">
        <is>
          <t>DO
▸  Name the presentation precisely rather than reaching for a label.
▸  Recommend at the level of the behaviour, not the hypothetical diagnosis.
▸  Specify what, who, how often, for how long, and how it will be measured.
▸  Name the Continuum of Support level.</t>
        </is>
      </c>
      <c r="Q149" s="170" t="inlineStr">
        <is>
          <t>EXPLAIN
▸  To a parent: “There isn’t a diagnosis for this, and it’s still real and still workable. Here’s what we do.”
▸  To a teacher: describe the behaviour in countable terms, not in trait terms.
▸  To the child: ask what helps, and use their words in the report.</t>
        </is>
      </c>
      <c r="R149" s="170" t="inlineStr">
        <is>
          <t>CHILD’S VOICE AND QUESTIONS
▸  Talking Mats · Blob Tree · scaling on a drawn ladder · sentence completion · day mapping.
▸  Q: “So there’s nothing wrong with him?” A: “There’s a real difficulty and it doesn’t have a label. Labels help get resources; they don’t make a difficulty more or less real.”
▸  Q: “Should we get him assessed privately?” A: give the honest position on what a diagnosis would and would not change here.</t>
        </is>
      </c>
      <c r="S149" s="170" t="inlineStr">
        <is>
          <t>YOUR PRACTICE
▸  Bring a case where you were pulled toward a label the data did not support.
▸  Reflect: did I describe, or did I reach? Whose language did I use?</t>
        </is>
      </c>
      <c r="T149" s="170" t="inlineStr">
        <is>
          <t>WHAT TO DO NEXT
▸  Proceed to formulation. These belong at the behavioural level of the Interactive Factors Framework.
▸  Test whether an unmet learning need is underneath before concluding anything.</t>
        </is>
      </c>
      <c r="U149" s="170" t="inlineStr">
        <is>
          <t>WHERE THE EVIDENCE GOES
▸  Psychological report
▸  Appendix 5 entry
▸  Log sheet</t>
        </is>
      </c>
      <c r="V149" s="170" t="inlineStr">
        <is>
          <t>CITATIONS
▸  Frederickson &amp; Cline (2009)
▸  Monsen &amp; Frederickson (2008)
▸  NEPS Continuum of Support</t>
        </is>
      </c>
    </row>
    <row r="150" ht="19.5" customHeight="1" s="128">
      <c r="A150" s="147" t="inlineStr">
        <is>
          <t>AGE BAND</t>
        </is>
      </c>
      <c r="B150" s="147" t="inlineStr">
        <is>
          <t>1. Assessment</t>
        </is>
      </c>
      <c r="C150" s="147" t="inlineStr">
        <is>
          <t>Special Setting (class or school)</t>
        </is>
      </c>
      <c r="D150" s="147" t="n"/>
      <c r="E150" s="147" t="inlineStr">
        <is>
          <t>Everything below is this age</t>
        </is>
      </c>
      <c r="F150" s="147" t="n"/>
      <c r="G150" s="147" t="n"/>
      <c r="H150" s="147" t="n"/>
      <c r="I150" s="147" t="n"/>
      <c r="J150" s="147" t="n"/>
      <c r="K150" s="147" t="n"/>
      <c r="L150" s="147" t="n"/>
      <c r="M150" s="147" t="n"/>
      <c r="N150" s="147" t="n"/>
      <c r="O150" s="147" t="n"/>
      <c r="P150" s="147" t="n"/>
      <c r="Q150" s="147" t="n"/>
      <c r="R150" s="147" t="n"/>
      <c r="S150" s="147" t="n"/>
      <c r="T150" s="147" t="n"/>
      <c r="U150" s="147" t="n"/>
      <c r="V150" s="147" t="n"/>
    </row>
    <row r="151" ht="408.75" customHeight="1" s="128">
      <c r="A151" s="205" t="inlineStr">
        <is>
          <t>CONDITION</t>
        </is>
      </c>
      <c r="B151" s="205" t="inlineStr">
        <is>
          <t>1. Assessment</t>
        </is>
      </c>
      <c r="C151" s="206" t="inlineStr">
        <is>
          <t>Special Setting (class or school)</t>
        </is>
      </c>
      <c r="D151" s="205" t="inlineStr">
        <is>
          <t>DIAGNOSED</t>
        </is>
      </c>
      <c r="E151" s="206" t="inlineStr">
        <is>
          <t>Autism</t>
        </is>
      </c>
      <c r="F151" s="205" t="inlineStr">
        <is>
          <t>DSM-5-TR Autism Spectrum Disorder · ICD-11 6A02</t>
        </is>
      </c>
      <c r="G151" s="205" t="inlineStr">
        <is>
          <t>YES</t>
        </is>
      </c>
      <c r="H151" s="207" t="inlineStr">
        <is>
          <t>WHERE THIS SITS
▸  NEPS referral form category: 4. SOCIAL — and 1. LEARNING where language or cognition is implicated
▸  UCD competency: 1. Assessment
▸  CORU: 3.1 · 3.2 · 5.28 · 5.29 · 5.30 · 5.31 · 5.32
▸  PSI: 2.2.2 · 2.3.1 · 1.3.1 · 1.2.8
▸  Law and policy: Children First Act 2015 · EPSEN Act 2004 · Equal Status Acts 2000–2018 · GDPR</t>
        </is>
      </c>
      <c r="I151" s="207" t="inlineStr">
        <is>
          <t>WHAT IT IS, AND WHAT IT IS NOT
▸  A NEURODEVELOPMENTAL DIFFERENCE present from early development, defined by two domains: (a) persistent differences in social communication and social interaction, and (b) restricted, repetitive patterns of behaviour, interests or activities — which includes sensory differences (American Psychiatric Association, 2022, DSM-5-TR).
▸  DSM-5-TR specifies three support levels — requiring support, requiring substantial support, requiring very substantial support — rated separately for each of the two domains. A person can be level 1 for one and level 3 for the other.
▸  It is lifelong. It is not an illness, and it is not something a person recovers from or grows out of.
▸  Prevalence is commonly cited around 1 in 100 internationally, with higher rates in more recent screening studies. In Ireland, NCSE and Department of Education figures are the relevant local source.
▸  IMPORTANT FOR PRACTICE: it is DIMENSIONAL, not categorical in nature — autistic traits are distributed continuously in the population and the diagnostic line is a clinical judgement about impairment, not a biological boundary.
▸  NOT a result of parenting. The 'refrigerator mother' theory (Bettelheim, 1967) was wrong and caused enormous harm. Say so plainly if a parent raises it.
▸  NOT caused by vaccines. Wakefield et al. (1998) was retracted by The Lancet in 2010 and Wakefield was struck off. Taylor, Swerdfeger &amp; Eslick (2014) meta-analysed over 1.2 million children and found no association.
▸  NOT the same as intellectual disability. They co-occur but are separate. Many autistic people have average or above-average cognitive ability.
▸  NOT usually accompanied by savant skills. Jones &amp; Sasson (2023) found that non-autistic adults frequently believed savant syndrome to be a CORE feature of autism — it is rare, and this belief is a documented misconception.
▸  NOT a lack of empathy. This is one of the most damaging myths. Autistic people frequently report strong emotional empathy; the difference is in reading and signalling, and the 'double empathy problem' (Milton, 2012) shows the mismatch runs BOTH ways — non-autistic people are equally poor at reading autistic people.
▸  NOT more common in boys to the extent historically believed. Girls are under-identified because diagnostic criteria and instruments were developed on male samples and because masking is more common.
▸  NOT something that needs to be 'normalised'. Gillespie-Lynch et al. (2017) found that greater endorsement of the importance of normalising autistic people was associated with HEIGHTENED stigma.</t>
        </is>
      </c>
      <c r="J151" s="207" t="inlineStr">
        <is>
          <t>HOW COMMON AT THIS AGE
▸  OVERALL: commonly cited around 1 in 100 worldwide (Zeidan et al., 2022, meta-analysis of global prevalence). More recent screening-based studies report higher figures.
▸  IRELAND: the 2022 Census recorded autism for the first time. Department of Education and NCSE figures are the relevant local source for school-age numbers — check the current year rather than quoting from memory.
▸  SEX RATIO: historically cited as 4:1 male to female. Loomes, Hill &amp; Mandy (2017) meta-analysed this and concluded the true ratio is closer to 3:1, with the difference explained by diagnostic bias — girls meeting criteria are disproportionately missed.
▸  AT OTHER AGES (for context): USA (CDC ADDM Network, 2023 report, 8-year-olds) · EARLY YEARS 0–5 · SCHOOL AGE 6–12 · ADOLESCENT 13–16 AND ADULTS</t>
        </is>
      </c>
      <c r="K151" s="207" t="inlineStr">
        <is>
          <t>THE PATHWAY AND THE TIMELINE
▸ TYPICAL AGE OF IDENTIFICATION, AND WHY THEN
   Commonly 3–6 in Ireland, though reliable diagnosis from 24 months is achievable. Social communication demands rise sharply at preschool and again at school entry, which is when differences become visible against peers. Girls and verbally able children are frequently identified much later — often adolescence or adulthood — because masking delays recognition rather than delaying onset.
▸ WHO DIAGNOSES IT
   Under 18 in Ireland: the Children's Disability Network Team (CDNT) under Progressing Disability Services, or CAMHS where mental health complexity dominates. Assessment of Need under the Disability Act 2005 is a separate statutory route with its own timelines. Over 18: adult diagnostic services, with significant regional variation.
▸ WHO COULD HAVE WRITTEN THE REPORT IN FRONT OF YOU
   CDNT multi-disciplinary report (psychologist, SLT, OT). Private psychologist or psychiatrist. CAMHS. An Assessment of Need report. A school's Student Support File is not a diagnostic document — check which you are holding.
▸ WHO YOU REFER TO
   CDNT for diagnostic assessment. SLT where language is implicated. OT for sensory or motor. CAMHS where mental health difficulty is present. AsIAm and Middletown for family and school resources.
▸ 'SHOULD WE HAVE COME SOONER?'
   Answer honestly and without implying fault. Typical: 'Not necessarily. Autism is usually recognised when social demands increase, and for a lot of children that's around school age. In girls especially it often isn't obvious earlier because they compensate so well. What matters now is what we put in place.' Where there has genuinely been a long wait, name it as a service issue: waiting lists, not something the parent missed.</t>
        </is>
      </c>
      <c r="L151" s="207" t="inlineStr">
        <is>
          <t>WHAT YOU SEE AT THIS AGE
▸  The question is fit and communication support, not identification.
▸  EARLY YEARS 0–5: differences in joint attention, pointing to share, response to name, pretend play, and reaction to sensory input. Referral to CDNT. ADOS-2 Toddler/Module 1 via the team, SCQ, developmental history. Play observation does much of the work.
▸  SCHOOL AGE 6–12: social differences become more visible as peer relationships get more complex. Yard observation, SRS-2 parent and teacher, SCQ. Watch for anxiety appearing as a secondary presentation.
▸  ADOLESCENT 13–16: masking peaks, and mental health difficulties commonly emerge. SRS-2 including self-report. Under-identification in girls is at its most consequential here. A normal-range screen in a worried teacher's class does not close the question.
▸  YOUNG ADULT 17–26: adult diagnostic services, AQ-10 as a screen, DSA evidence for third level. The question shifts to accommodation and self-advocacy.
▸  SPECIAL SETTING: the question is usually fit and communication support, not identification.</t>
        </is>
      </c>
      <c r="M151" s="207" t="inlineStr">
        <is>
          <t>RED FLAGS AND BOUNDARIES
▸  RED FLAG — regression. Loss of previously acquired language or social skills at any age requires urgent medical referral, not a wait-and-see.
▸  RED FLAG — an autistic young person presenting with low mood, self-harm or suicidal thinking. Autistic people are at substantially elevated risk. Follow the risk protocol; do not attribute distress to autism and stop there.
▸  RED FLAG — an autistic child with a sudden behaviour change. Consider pain, illness, sensory change, or something that has happened. Communication difficulty means distress may present behaviourally.
▸  BOUNDARY — you do not diagnose. You describe the profile, say what it is consistent with, and refer. PSI 2.2.2 and 2.2.3.
▸  DIAGNOSTIC OVERSHADOWING — once a child has an autism diagnosis, everything gets attributed to it. Write down before you start what the diagnosis does NOT explain, and assess that.</t>
        </is>
      </c>
      <c r="N151" s="207" t="inlineStr">
        <is>
          <t>WHAT ELSE COULD IT BE, AND WHAT CO-OCCURS
▸  ADHD — co-occurs in roughly 28–44% of autistic people depending on the study. DSM-5 permitted dual diagnosis for the first time in 2013; before that it was prohibited, so older reports may under-record it. PRESENTS AS: attention difficulty that looks like disengagement, but is often sensory overload or processing delay. Assess both.
▸  INTELLECTUAL DISABILITY — around a third of autistic people, though estimates vary widely with sampling. PRESENTS AS: a flatter cognitive profile alongside social communication differences. Assess adaptive functioning separately.
▸  ANXIETY — very high. Meta-analytic estimates around 40% meeting criteria for at least one anxiety disorder (van Steensel et al., 2011). PRESENTS AS: rigidity, refusal, meltdown. Often misread as 'autistic behaviour' rather than treatable anxiety. THIS IS THE MOST COMMONLY MISSED CO-OCCURRENCE.
▸  DLD / LANGUAGE DISORDER — substantial overlap, and the two are hard to separate in young children. PRESENTS AS: apparent social difficulty that is actually comprehension failure.
▸  DCD — elevated. PRESENTS AS: handwriting difficulty and PE avoidance attributed to autism rather than assessed.
▸  EPILEPSY — elevated, particularly where intellectual disability co-occurs. Medical, not yours, but note it and refer.
▸  SLEEP DIFFICULTIES — very common and under-treated. Ask, because a child sleeping five hours will present very differently.
▸  DIAGNOSTIC OVERSHADOWING IS THE RISK THROUGHOUT. Write down before you start what the autism diagnosis does NOT explain, then assess that.</t>
        </is>
      </c>
      <c r="O151" s="207" t="inlineStr">
        <is>
          <t>TOOLS VALID AT THIS BAND
▸  Communication Matrix / AAC review — AGE any
     MEASURES: Current communication mode and its consistency across staff.
     CANNOT TELL YOU: Whether the system suits the pupil — that needs SLT.
     TIME: varies
▸  Vineland-3 / ABAS-3 — AGE full range
     MEASURES: Adaptive functioning against the setting's own curriculum (L1LP / L2LP).
     CANNOT TELL YOU: Progress against mainstream norms, which is rarely the right comparison here.
     TIME: 20–60 min
▸  Functional behaviour assessment (ABC) — AGE any
     MEASURES: Antecedent, behaviour, consequence patterns across a week.
     CANNOT TELL YOU: Internal state. It describes function, not feeling.
     TIME: 1 week recording
▸  Leiter-3 — AGE 3:0–75:11
     MEASURES: Non-verbal ability without spoken instruction.
     CANNOT TELL YOU: Verbal reasoning. Often the only accessible cognitive measure in a special setting.
     TIME: 45 min
▸  Adaptive measure in place of IQ — AGE any
     MEASURES: Vineland-3 or ABAS-3.
     CANNOT TELL YOU: Nothing an IQ would add for planning — in special settings the adaptive profile is usually the more useful document.
     TIME: 20–60 min</t>
        </is>
      </c>
      <c r="P151" s="207" t="inlineStr">
        <is>
          <t>WHAT YOU DO, AND WHAT YOU WRITE
▸  ENVIRONMENT FIRST: predictability (visual timetable, forewarning of change), sensory audit of the room, a designated regulation space the child can access without asking permission.
▸  PROCESSING TIME: instruction, ten-second wait, then repeat in the SAME words. Rephrasing restarts processing. This is free and it is the highest-yield single adjustment.
▸  COMMUNICATION: reduce language load, pair verbal with visual, check comprehension by asking the child to say back rather than asking 'do you understand?'
▸  SOCIAL: structured social opportunity rather than unstructured. A lunchtime club with a shared activity beats 'encourage her to join in'.
▸  MASKING: if the child is compliant at school and dysregulated at home, treat that as a finding. Reduce demand at school rather than increasing it.
▸  ASSESS AND TREAT ANXIETY SEPARATELY. Do not fold it into the autism description.
▸  STAFF: whole-staff input on autism is usually less useful than a one-page profile for this child that everyone reads.
▸  CONTINUUM LEVEL: name it. School Support or School Support Plus depending on intensity and outside involvement.
▸  MEASURE: choose something sensitive — frequency of regulation-space use, participation counts, a brief anxiety measure — with a review date in the report.
▸  REFER: CDNT for diagnostic assessment; SLT where language is implicated; OT where sensory or motor; CAMHS where mental health difficulty is present.</t>
        </is>
      </c>
      <c r="Q151" s="207" t="inlineStr">
        <is>
          <t>EXPLAIN
▸  TO A PARENT
▸  OPEN WITH WHAT THEY ALREADY KNOW: 'What have you been told about autism so far?' Then correct gently rather than lecture.
▸  'Autism is a difference in how the brain develops and processes information. It affects two main things: how a person communicates and connects with others, and how they respond to routine, change and sensory information.'
▸  'It's not caused by anything you did. It's present from early on in development, and we're recognising it now rather than it having started now.'
▸  'It's a spectrum, but not a line from mild to severe. Think of it as a set of different dials — one child might find noise very hard and social situations fine; another the reverse.'
▸  'What it doesn't tell us is how she'll do. Autism doesn't determine intelligence, or whether she'll have friends, or what she'll be able to do as an adult. What predicts those is the support around her and whether people understand her.'
▸  IF THEY ARE UPSET: 'A diagnosis doesn't change who she is. She's exactly the same child she was yesterday. What changes is that people now have a better explanation for what she needs.'
▸  SIGNPOST: AsIAm, Middletown Centre for Autism, the local CDNT. Give a name, not a category.
▸  TO A TEACHER
▸  'Autism is a difference in social communication and in how sensory information and change are processed. It's developmental and lifelong.'
▸  'For this child, the practical implications are —' then be specific to the assessment rather than generic: processing time, predictability, the sensory environment, how instructions are given.
▸  'Behaviour that looks like defiance is very often a response to demand, to sensory load, or to not having understood what was asked. Before treating it as behaviour, check comprehension and check the environment.'
▸  'Masking matters. A child who holds it together all day and falls apart at home is not fine at school — she's spending all her resources on coping.'
▸  'Processing time is the single cheapest adjustment. Ask, wait ten seconds, then ask again in the same words rather than rephrasing. Rephrasing restarts the processing.'
▸  'Routine isn't rigidity for its own sake — it's how uncertainty is managed. Warn about change rather than removing routine.'
▸  TO THE CHILD
▸  PITCH TO AGE. For a younger child: 'Everybody's brain works in its own way. Your brain is really good at noticing things other people miss, and it likes to know what's happening next. Some brains find noisy places hard work. That's called being autistic.'
▸  For an older child or adolescent: 'Autistic means your brain processes information differently — often in more detail. It can mean social stuff takes more effort, and that noise, light or change can be harder than it is for other people. It's not an illness and there's nothing wrong with you.'
▸  ALWAYS INCLUDE STRENGTHS and make them specific to this child, not generic. 'You noticed that detail that nobody else did' beats 'autistic people are good at detail.'
▸  ASK WHAT THEY THINK IT MEANS before you explain. Children often arrive with a frightening idea from a sibling or the internet.
▸  AVOID deficit framing. Botha, Dibb &amp; Frost (2020) found autistic adults describe autism as value-neutral and experience society as attaching negative meaning to it. How you explain it to a child at 9 shapes how they carry it at 19.
▸  BE HONEST about the hard parts. Children know when something is being sold to them, and an explanation that is all positives loses credibility.
▸  ANALOGIES
▸  THE VOLUME DIAL (sensory): 'Most people have a volume dial for sound, light and touch that sits at about 5. Yours might sit at 9 for sound and 2 for touch. The classroom is the same room — you're getting a different amount of it.' Grounded in the sensory criterion now formally part of DSM-5-TR.
▸  THE DIFFERENT OPERATING SYSTEM: 'It's not a broken computer. It's a different operating system. Most of the software is written for the other one, so some things take extra work — but the machine itself is fine.' Useful with adolescents and with parents; avoids deficit framing.
▸  THE TWO-WAY TRANSLATION (double empathy): 'When two people speak different languages, we don't say one of them has a language problem. Milton (2012) makes the same point about autistic and non-autistic people misreading each other — the misunderstanding goes both ways.' Use with teachers; it shifts the burden off the child.
▸  THE PHONE BATTERY (masking): 'Holding it together in school all day is like running every app at once. You get home on 4% battery. The meltdown at home isn't because home is worse — it's because the battery ran out.' Very effective with parents who are told the child is 'fine at school'.
▸  CAUTION ON ANALOGIES: check with the person. Some autistic people find machine analogies dehumanising. Ask.
▸  LANGUAGE
▸  THERE IS NO SINGLE CORRECT TERM, and this matters. Kenny et al. (2016), surveying 3,470 UK autism community members, found 'autism' and 'on the autism spectrum' most endorsed overall, with 'autistic' strongly endorsed by autistic adults and much less so by professionals.
▸  Bury et al. (2020), with 198 autistic Australian adults, found 'autistic', 'person on the autism spectrum' and 'autistic person' rated most preferred and least offensive.
▸  Bury et al. (2022) found preference relates to identity and stigma: a stronger autism identity predicted preferring identity-first language, while internalised stigma predicted finding it more offensive.
▸  Fecteau et al. (2024), in a French-Canadian sample, found a clear split — professionals preferred medical-model terms, autistic people preferred identity-first.
▸  PRACTICE RULE: ask the person or family what they use, and use that. Where you cannot ask, identity-first ('autistic person') is the majority preference among autistic adults. Mirror the family's own language in the report.
▸  Avoid: 'suffers from', 'high/low functioning' (poor predictor of actual support needs), 'a bit on the spectrum'.</t>
        </is>
      </c>
      <c r="R151" s="207" t="inlineStr">
        <is>
          <t>THE CHILD’S VOICE, AND THE QUESTIONS
▸  TALKING MATS — symbol-based framework letting a child sort topics onto a visual scale. Good because it removes the demand for spoken answers and for eye contact simultaneously, which is often what makes interviews fail. Evidence base for people with communication difficulties. → https://www.talkingmats.com/
▸  BLOB TREE (Wilson &amp; Long) — figures on a tree; the child points to which one is them. Good because it is projective rather than direct, so it does not require the child to make a claim about themselves. You used this at Grange.
▸  'ALL ABOUT ME' / ONE-PAGE PROFILE — structured template covering what people like and admire about me, what's important to me, how best to support me. Good because it is strengths-first and becomes a usable document for staff. → https://www.helensandersonassociates.co.uk/person-centred-practice/one-page-profiles/
▸  PATH and MAPS (person-centred planning) — graphic facilitation for transition planning. Good for post-primary and school-leaving because it puts the young person's own future at the centre rather than the service's.
▸  AsIAm resources (Ireland) — autistic-led, Irish context, includes materials written for children about their own diagnosis. Good because autistic-led materials avoid the deficit framing that professional materials often carry. → https://asiam.ie/
▸  MIDDLETOWN CENTRE FOR AUTISM — Irish, free research bulletins and practical resources for schools. Good because it is Irish policy context and free. → https://www.middletownautism.com/
▸  COMIC STRIP CONVERSATIONS (Gray) — drawing out what people said and thought in an incident. Good because it externalises the social situation onto paper instead of asking the child to hold it in mind and talk about it at once.
▸  QUESTIONS YOU WILL BE ASKED
▸  Q: 'Is it my fault?' — A: 'No. Autism is a difference in how the brain develops, present from very early on. Nothing you did caused it and nothing you could have done would have prevented it.' (Bettelheim's 'refrigerator mother' theory is long discredited; say so if they raise it directly.)
▸  Q: 'Will he grow out of it?' — A: 'No, it's lifelong. What changes a great deal is how well he copes and how well the people around him understand him. Those are the things we can work on.'
▸  Q: 'Does this mean he has an intellectual disability?' — A: 'Not necessarily — they're separate things. They can occur together, and plenty of autistic people have average or above-average ability. From what I've seen, [specific to this child].'
▸  Q: 'Could it be the vaccines?' — A: 'No. That claim came from a 1998 paper that was retracted and its author struck off. A meta-analysis of over 1.2 million children found no link. I know it's still out there, and I understand why people ask.'
▸  Q: 'He makes eye contact and he has a friend, so it can't be autism?' — A: 'Those are two of the most common misunderstandings. Many autistic people make eye contact, sometimes because they've learned to, and many have friendships. The diagnosis is about the pattern across social communication and about repetitive behaviour and sensory differences, not about any single behaviour.'
▸  Q: 'She's fine at school though.' — A: 'That's really common and it's called masking. Holding it together all day takes everything she has, which is why it comes out at home. Being fine at school and struggling at home is a pattern, not a contradiction.'
▸  Q: 'Does she know?' / 'Should we tell her?' — A: 'That's your decision and I can help you think it through. What we do know is that children usually already sense they're different, and having a name for it tends to be a relief rather than a blow — particularly if it comes with an explanation of strengths as well.'
▸  Q: 'What can you actually do for us?' — A: 'I can't diagnose — that's the CDNT. What I can do is describe her profile, say what it's consistent with, make the referral, and put supports in place in school now rather than waiting.'</t>
        </is>
      </c>
      <c r="S151" s="207" t="inlineStr">
        <is>
          <t>YOUR PRACTICE
▸  SUPERVISION
▸  Bring the exact words you used to explain autism to the parent. Not the summary — the words. Ask your supervisor what they would have said differently.
▸  Ask: 'when a family's language and the research consensus differ, which do you follow?' There is a defensible answer either way and you need to hear it argued.
▸  Raise any moment you were asked something you could not answer. That is the highest-value supervision item in this whole area.
▸  Ask how your service handles the gap between an identified profile and the CDNT waiting list — what do you tell a family who will wait two years?
▸  Discuss diagnostic overshadowing on your actual cases: for each autistic child on your caseload, what has NOT been assessed because autism was already there?
▸  Ask to observe your supervisor giving an autism-related feedback session, and complete the Appendix 7 the same day.
▸  If you felt out of your depth, say so in those words. PSI 2.2.4 requires consulting when you are not competent to deal with what is in front of you.
▸  REFLECTION
▸  ON HOW YOU EXPLAINED IT — Did I use LANGUAGE-FIRST or SHARED LANGUAGE? Language-first means I arrived with my terminology and the family adapted to it. Shared language means I asked what they use and built from there. Kenny et al. (2016) found no community consensus on terms, so arriving with a fixed vocabulary is a decision, not a neutral act. Which did I do, and why?
▸  ON THE TEACHER CONVERSATION — Did I explain autism, or did I explain THIS CHILD? A general explanation is easier to give and far less useful. Did the teacher leave with something to do on Monday?
▸  ON REGISTER — Did I actually change register between the parent, the teacher and the child, or did I give the same explanation three times at different speeds? Changing register means changing what is included, not simplifying vocabulary.
▸  ON MY OWN ASSUMPTIONS — What did I assume about this family's understanding before I opened my mouth? Where did that come from? CORU 5.44 requires reflecting on how my own culture and beliefs shape practice.
▸  ON THE DEFICIT PULL — Count the sentences. How many described what the child cannot do versus what they can? Botha et al. (2020) found autistic people experience society as attaching negative meaning to a neutral difference. My report is part of that society.
▸  ON WHAT I AVOIDED — Was there a question I hoped would not be asked? What would I need to know to have welcomed it?
▸  WHAT GOOD LOOKS LIKE: 'The mother used 'has autism' throughout, so I mirrored that rather than switching to 'autistic', and noted in the file that the young person's own preference should be asked at the next review. I had been defaulting to identity-first because that is what I read, without asking.'
▸  WHAT POOR LOOKS LIKE: 'I explained autism to the parent and she seemed to understand.' — no evidence of checking, no reflection on register, nothing learned.</t>
        </is>
      </c>
      <c r="T151" s="207" t="inlineStr">
        <is>
          <t>WHAT TO DO NEXT
▸  Proceed to FORMULATION using a named framework — Monsen, Interactive Factors, COMOIRA or Carr.
▸  If a learning need may be driving the presentation, proceed to attainment assessment before concluding.
▸  If risk or safeguarding emerged, none of the above — follow the protocol and tell your supervisor the same day.
▸  If the referral question is not answered by what you found, go back and renegotiate it.</t>
        </is>
      </c>
      <c r="U151" s="207" t="inlineStr">
        <is>
          <t>WHERE THE EVIDENCE GOES
▸  Psychological report
▸  Appendix 5 entry tagged 1. Assessment
▸  Appendix 7 if observed
▸  Table 3 — Special Setting
▸  Log sheet — tag the referral area and the competency</t>
        </is>
      </c>
      <c r="V151" s="207" t="inlineStr">
        <is>
          <t>CITATIONS
▸  American Psychiatric Association (2022). Diagnostic and Statistical Manual of Mental Disorders (5th ed., text rev.). DSM-5-TR.
▸  Kenny, L., Hattersley, C., Molins, B., Buckley, C., Povey, C., &amp; Pellicano, E. (2016). Which terms should be used to describe autism? Perspectives from the UK autism community. Autism, 20(4), 442–462.
▸  Bury, S. M., Jellett, R., Spoor, J. R., &amp; Hedley, D. (2020). 'It defines who I am' or 'it's something I have': What language do autistic Australian adults prefer? Journal of Autism and Developmental Disorders.
▸  Bury, S. M., et al. (2022). Understanding language preference: Autism knowledge, experience of stigma and autism identity. Autism.
▸  Gillespie-Lynch, K., Kapp, S. K., Brooks, P. J., Pickens, J., &amp; Schwartzman, B. (2017). Whose expertise is it? Evidence for autistic adults as critical autism experts. Frontiers in Psychology, 8, 438.
▸  Botha, M., Dibb, B., &amp; Frost, D. M. (2020). 'Autism is me': An investigation of how autistic individuals make sense of autism and stigma. Disability &amp; Society.
▸  Jones, D. R., &amp; Sasson, N. J. (2023). A mixed method comparison of stigma toward autism and schizophrenia. Frontiers in Psychiatry, 14, 1263525.
▸  Milton, D. E. M. (2012). On the ontological status of autism: The 'double empathy problem'. Disability &amp; Society, 27(6), 883–887.
▸  Taylor, L. E., Swerdfeger, A. L., &amp; Eslick, G. D. (2014). Vaccines are not associated with autism: An evidence-based meta-analysis. Vaccine, 32(29).
▸  Fecteau, S.-M., et al. (2024). 'Not a trouble': Autism-related language preferences by French-Canadian adults. Neurodiversity.</t>
        </is>
      </c>
    </row>
    <row r="152" ht="169.5" customHeight="1" s="128">
      <c r="A152" s="208" t="inlineStr">
        <is>
          <t>CO-OCCURRING</t>
        </is>
      </c>
      <c r="B152" s="208" t="inlineStr">
        <is>
          <t>1. Assessment</t>
        </is>
      </c>
      <c r="C152" s="171" t="inlineStr">
        <is>
          <t>Special Setting (class or school)</t>
        </is>
      </c>
      <c r="D152" s="208" t="inlineStr">
        <is>
          <t>CO-OCCURS WITH AUTISM</t>
        </is>
      </c>
      <c r="E152" s="209" t="inlineStr">
        <is>
          <t>ADHD</t>
        </is>
      </c>
      <c r="F152" s="208" t="inlineStr">
        <is>
          <t>see its own entry</t>
        </is>
      </c>
      <c r="G152" s="208" t="inlineStr">
        <is>
          <t>YES — assess separately</t>
        </is>
      </c>
      <c r="H152" s="171" t="inlineStr">
        <is>
          <t>WHERE THIS SITS
▸  Sits under 1. Assessment, alongside Autism.
▸  NEPS category: 4. SOCIAL — and 1. LEARNING where language or cognition is implicated</t>
        </is>
      </c>
      <c r="I152" s="171" t="inlineStr">
        <is>
          <t>HOW OFTEN IT CO-OCCURS
▸  co-occurs in roughly 28–44% of autistic people depending on the study. DSM-5 permitted dual diagnosis for the first time in 2013; before that it was prohibited, so older reports may under-record it.</t>
        </is>
      </c>
      <c r="J152" s="171" t="inlineStr">
        <is>
          <t>HOW IT PRESENTS WHEN IT CO-OCCURS
▸  attention difficulty that looks like disengagement, but is often sensory overload or processing delay. Assess both.</t>
        </is>
      </c>
      <c r="K152" s="171" t="inlineStr">
        <is>
          <t>THE RISK
▸  Do not assume the primary diagnosis explains this.
▸  Write down before you start what the primary diagnosis does NOT explain, then assess that.
▸  Diagnostic overshadowing is the single most common error in co-occurring presentations.</t>
        </is>
      </c>
      <c r="L152" s="171" t="inlineStr">
        <is>
          <t>—</t>
        </is>
      </c>
      <c r="M152" s="171" t="inlineStr">
        <is>
          <t>—</t>
        </is>
      </c>
      <c r="N152" s="171" t="inlineStr">
        <is>
          <t>—</t>
        </is>
      </c>
      <c r="O152" s="171" t="inlineStr">
        <is>
          <t>ASSESS
▸  Assess this separately, with its own measures.
▸  Build the case for each condition independently rather than letting evidence for one carry the other.</t>
        </is>
      </c>
      <c r="P152" s="171" t="inlineStr">
        <is>
          <t>DO
▸  State in the report what would be needed to establish this second presentation.
▸  That is often a referral rather than a conclusion you can reach yourself.</t>
        </is>
      </c>
      <c r="Q152" s="171" t="inlineStr">
        <is>
          <t>—</t>
        </is>
      </c>
      <c r="R152" s="171" t="inlineStr">
        <is>
          <t>—</t>
        </is>
      </c>
      <c r="S152" s="171" t="inlineStr">
        <is>
          <t>YOUR PRACTICE
▸  Bring it to supervision: for each child on my caseload with this diagnosis, what has NOT been assessed because the diagnosis was already there?</t>
        </is>
      </c>
      <c r="T152" s="171" t="inlineStr">
        <is>
          <t>WHAT TO DO NEXT
▸  Assess separately, then refer if the threshold is met.</t>
        </is>
      </c>
      <c r="U152" s="171" t="inlineStr">
        <is>
          <t>WHERE THE EVIDENCE GOES
▸  Psychological report — state the co-occurrence and what it changes.</t>
        </is>
      </c>
      <c r="V152" s="171" t="inlineStr">
        <is>
          <t>—</t>
        </is>
      </c>
    </row>
    <row r="153" ht="169.5" customHeight="1" s="128">
      <c r="A153" s="208" t="inlineStr">
        <is>
          <t>CO-OCCURRING</t>
        </is>
      </c>
      <c r="B153" s="208" t="inlineStr">
        <is>
          <t>1. Assessment</t>
        </is>
      </c>
      <c r="C153" s="171" t="inlineStr">
        <is>
          <t>Special Setting (class or school)</t>
        </is>
      </c>
      <c r="D153" s="208" t="inlineStr">
        <is>
          <t>CO-OCCURS WITH AUTISM</t>
        </is>
      </c>
      <c r="E153" s="209" t="inlineStr">
        <is>
          <t>INTELLECTUAL DISABILITY</t>
        </is>
      </c>
      <c r="F153" s="208" t="inlineStr">
        <is>
          <t>see its own entry</t>
        </is>
      </c>
      <c r="G153" s="208" t="inlineStr">
        <is>
          <t>YES — assess separately</t>
        </is>
      </c>
      <c r="H153" s="171" t="inlineStr">
        <is>
          <t>WHERE THIS SITS
▸  Sits under 1. Assessment, alongside Autism.
▸  NEPS category: 4. SOCIAL — and 1. LEARNING where language or cognition is implicated</t>
        </is>
      </c>
      <c r="I153" s="171" t="inlineStr">
        <is>
          <t>HOW OFTEN IT CO-OCCURS
▸  around a third of autistic people, though estimates vary widely with sampling.</t>
        </is>
      </c>
      <c r="J153" s="171" t="inlineStr">
        <is>
          <t>HOW IT PRESENTS WHEN IT CO-OCCURS
▸  a flatter cognitive profile alongside social communication differences. Assess adaptive functioning separately.</t>
        </is>
      </c>
      <c r="K153" s="171" t="inlineStr">
        <is>
          <t>THE RISK
▸  Do not assume the primary diagnosis explains this.
▸  Write down before you start what the primary diagnosis does NOT explain, then assess that.
▸  Diagnostic overshadowing is the single most common error in co-occurring presentations.</t>
        </is>
      </c>
      <c r="L153" s="171" t="inlineStr">
        <is>
          <t>—</t>
        </is>
      </c>
      <c r="M153" s="171" t="inlineStr">
        <is>
          <t>—</t>
        </is>
      </c>
      <c r="N153" s="171" t="inlineStr">
        <is>
          <t>—</t>
        </is>
      </c>
      <c r="O153" s="171" t="inlineStr">
        <is>
          <t>ASSESS
▸  Assess this separately, with its own measures.
▸  Build the case for each condition independently rather than letting evidence for one carry the other.</t>
        </is>
      </c>
      <c r="P153" s="171" t="inlineStr">
        <is>
          <t>DO
▸  State in the report what would be needed to establish this second presentation.
▸  That is often a referral rather than a conclusion you can reach yourself.</t>
        </is>
      </c>
      <c r="Q153" s="171" t="inlineStr">
        <is>
          <t>—</t>
        </is>
      </c>
      <c r="R153" s="171" t="inlineStr">
        <is>
          <t>—</t>
        </is>
      </c>
      <c r="S153" s="171" t="inlineStr">
        <is>
          <t>YOUR PRACTICE
▸  Bring it to supervision: for each child on my caseload with this diagnosis, what has NOT been assessed because the diagnosis was already there?</t>
        </is>
      </c>
      <c r="T153" s="171" t="inlineStr">
        <is>
          <t>WHAT TO DO NEXT
▸  Assess separately, then refer if the threshold is met.</t>
        </is>
      </c>
      <c r="U153" s="171" t="inlineStr">
        <is>
          <t>WHERE THE EVIDENCE GOES
▸  Psychological report — state the co-occurrence and what it changes.</t>
        </is>
      </c>
      <c r="V153" s="171" t="inlineStr">
        <is>
          <t>—</t>
        </is>
      </c>
    </row>
    <row r="154" ht="169.5" customHeight="1" s="128">
      <c r="A154" s="208" t="inlineStr">
        <is>
          <t>CO-OCCURRING</t>
        </is>
      </c>
      <c r="B154" s="208" t="inlineStr">
        <is>
          <t>1. Assessment</t>
        </is>
      </c>
      <c r="C154" s="171" t="inlineStr">
        <is>
          <t>Special Setting (class or school)</t>
        </is>
      </c>
      <c r="D154" s="208" t="inlineStr">
        <is>
          <t>CO-OCCURS WITH AUTISM</t>
        </is>
      </c>
      <c r="E154" s="209" t="inlineStr">
        <is>
          <t>ANXIETY</t>
        </is>
      </c>
      <c r="F154" s="208" t="inlineStr">
        <is>
          <t>see its own entry</t>
        </is>
      </c>
      <c r="G154" s="208" t="inlineStr">
        <is>
          <t>YES — assess separately</t>
        </is>
      </c>
      <c r="H154" s="171" t="inlineStr">
        <is>
          <t>WHERE THIS SITS
▸  Sits under 1. Assessment, alongside Autism.
▸  NEPS category: 4. SOCIAL — and 1. LEARNING where language or cognition is implicated</t>
        </is>
      </c>
      <c r="I154" s="171" t="inlineStr">
        <is>
          <t>HOW OFTEN IT CO-OCCURS
▸  very high. Meta-analytic estimates around 40% meeting criteria for at least one anxiety disorder (van Steensel et al., 2011).</t>
        </is>
      </c>
      <c r="J154" s="171" t="inlineStr">
        <is>
          <t>HOW IT PRESENTS WHEN IT CO-OCCURS
▸  rigidity, refusal, meltdown. Often misread as 'autistic behaviour' rather than treatable anxiety. THIS IS THE MOST COMMONLY MISSED CO-OCCURRENCE.</t>
        </is>
      </c>
      <c r="K154" s="171" t="inlineStr">
        <is>
          <t>THE RISK
▸  Do not assume the primary diagnosis explains this.
▸  Write down before you start what the primary diagnosis does NOT explain, then assess that.
▸  Diagnostic overshadowing is the single most common error in co-occurring presentations.</t>
        </is>
      </c>
      <c r="L154" s="171" t="inlineStr">
        <is>
          <t>—</t>
        </is>
      </c>
      <c r="M154" s="171" t="inlineStr">
        <is>
          <t>—</t>
        </is>
      </c>
      <c r="N154" s="171" t="inlineStr">
        <is>
          <t>—</t>
        </is>
      </c>
      <c r="O154" s="171" t="inlineStr">
        <is>
          <t>ASSESS
▸  Assess this separately, with its own measures.
▸  Build the case for each condition independently rather than letting evidence for one carry the other.</t>
        </is>
      </c>
      <c r="P154" s="171" t="inlineStr">
        <is>
          <t>DO
▸  State in the report what would be needed to establish this second presentation.
▸  That is often a referral rather than a conclusion you can reach yourself.</t>
        </is>
      </c>
      <c r="Q154" s="171" t="inlineStr">
        <is>
          <t>—</t>
        </is>
      </c>
      <c r="R154" s="171" t="inlineStr">
        <is>
          <t>—</t>
        </is>
      </c>
      <c r="S154" s="171" t="inlineStr">
        <is>
          <t>YOUR PRACTICE
▸  Bring it to supervision: for each child on my caseload with this diagnosis, what has NOT been assessed because the diagnosis was already there?</t>
        </is>
      </c>
      <c r="T154" s="171" t="inlineStr">
        <is>
          <t>WHAT TO DO NEXT
▸  Assess separately, then refer if the threshold is met.</t>
        </is>
      </c>
      <c r="U154" s="171" t="inlineStr">
        <is>
          <t>WHERE THE EVIDENCE GOES
▸  Psychological report — state the co-occurrence and what it changes.</t>
        </is>
      </c>
      <c r="V154" s="171" t="inlineStr">
        <is>
          <t>—</t>
        </is>
      </c>
    </row>
    <row r="155" ht="169.5" customHeight="1" s="128">
      <c r="A155" s="208" t="inlineStr">
        <is>
          <t>CO-OCCURRING</t>
        </is>
      </c>
      <c r="B155" s="208" t="inlineStr">
        <is>
          <t>1. Assessment</t>
        </is>
      </c>
      <c r="C155" s="171" t="inlineStr">
        <is>
          <t>Special Setting (class or school)</t>
        </is>
      </c>
      <c r="D155" s="208" t="inlineStr">
        <is>
          <t>CO-OCCURS WITH AUTISM</t>
        </is>
      </c>
      <c r="E155" s="209" t="inlineStr">
        <is>
          <t>DLD / LANGUAGE DISORDER</t>
        </is>
      </c>
      <c r="F155" s="208" t="inlineStr">
        <is>
          <t>see its own entry</t>
        </is>
      </c>
      <c r="G155" s="208" t="inlineStr">
        <is>
          <t>YES — assess separately</t>
        </is>
      </c>
      <c r="H155" s="171" t="inlineStr">
        <is>
          <t>WHERE THIS SITS
▸  Sits under 1. Assessment, alongside Autism.
▸  NEPS category: 4. SOCIAL — and 1. LEARNING where language or cognition is implicated</t>
        </is>
      </c>
      <c r="I155" s="171" t="inlineStr">
        <is>
          <t>HOW OFTEN IT CO-OCCURS
▸  substantial overlap, and the two are hard to separate in young children.</t>
        </is>
      </c>
      <c r="J155" s="171" t="inlineStr">
        <is>
          <t>HOW IT PRESENTS WHEN IT CO-OCCURS
▸  apparent social difficulty that is actually comprehension failure.</t>
        </is>
      </c>
      <c r="K155" s="171" t="inlineStr">
        <is>
          <t>THE RISK
▸  Do not assume the primary diagnosis explains this.
▸  Write down before you start what the primary diagnosis does NOT explain, then assess that.
▸  Diagnostic overshadowing is the single most common error in co-occurring presentations.</t>
        </is>
      </c>
      <c r="L155" s="171" t="inlineStr">
        <is>
          <t>—</t>
        </is>
      </c>
      <c r="M155" s="171" t="inlineStr">
        <is>
          <t>—</t>
        </is>
      </c>
      <c r="N155" s="171" t="inlineStr">
        <is>
          <t>—</t>
        </is>
      </c>
      <c r="O155" s="171" t="inlineStr">
        <is>
          <t>ASSESS
▸  Assess this separately, with its own measures.
▸  Build the case for each condition independently rather than letting evidence for one carry the other.</t>
        </is>
      </c>
      <c r="P155" s="171" t="inlineStr">
        <is>
          <t>DO
▸  State in the report what would be needed to establish this second presentation.
▸  That is often a referral rather than a conclusion you can reach yourself.</t>
        </is>
      </c>
      <c r="Q155" s="171" t="inlineStr">
        <is>
          <t>—</t>
        </is>
      </c>
      <c r="R155" s="171" t="inlineStr">
        <is>
          <t>—</t>
        </is>
      </c>
      <c r="S155" s="171" t="inlineStr">
        <is>
          <t>YOUR PRACTICE
▸  Bring it to supervision: for each child on my caseload with this diagnosis, what has NOT been assessed because the diagnosis was already there?</t>
        </is>
      </c>
      <c r="T155" s="171" t="inlineStr">
        <is>
          <t>WHAT TO DO NEXT
▸  Assess separately, then refer if the threshold is met.</t>
        </is>
      </c>
      <c r="U155" s="171" t="inlineStr">
        <is>
          <t>WHERE THE EVIDENCE GOES
▸  Psychological report — state the co-occurrence and what it changes.</t>
        </is>
      </c>
      <c r="V155" s="171" t="inlineStr">
        <is>
          <t>—</t>
        </is>
      </c>
    </row>
    <row r="156" ht="169.5" customHeight="1" s="128">
      <c r="A156" s="208" t="inlineStr">
        <is>
          <t>CO-OCCURRING</t>
        </is>
      </c>
      <c r="B156" s="208" t="inlineStr">
        <is>
          <t>1. Assessment</t>
        </is>
      </c>
      <c r="C156" s="171" t="inlineStr">
        <is>
          <t>Special Setting (class or school)</t>
        </is>
      </c>
      <c r="D156" s="208" t="inlineStr">
        <is>
          <t>CO-OCCURS WITH AUTISM</t>
        </is>
      </c>
      <c r="E156" s="209" t="inlineStr">
        <is>
          <t>DCD</t>
        </is>
      </c>
      <c r="F156" s="208" t="inlineStr">
        <is>
          <t>see its own entry</t>
        </is>
      </c>
      <c r="G156" s="208" t="inlineStr">
        <is>
          <t>YES — assess separately</t>
        </is>
      </c>
      <c r="H156" s="171" t="inlineStr">
        <is>
          <t>WHERE THIS SITS
▸  Sits under 1. Assessment, alongside Autism.
▸  NEPS category: 4. SOCIAL — and 1. LEARNING where language or cognition is implicated</t>
        </is>
      </c>
      <c r="I156" s="171" t="inlineStr">
        <is>
          <t>HOW OFTEN IT CO-OCCURS
▸  elevated.</t>
        </is>
      </c>
      <c r="J156" s="171" t="inlineStr">
        <is>
          <t>HOW IT PRESENTS WHEN IT CO-OCCURS
▸  handwriting difficulty and PE avoidance attributed to autism rather than assessed.</t>
        </is>
      </c>
      <c r="K156" s="171" t="inlineStr">
        <is>
          <t>THE RISK
▸  Do not assume the primary diagnosis explains this.
▸  Write down before you start what the primary diagnosis does NOT explain, then assess that.
▸  Diagnostic overshadowing is the single most common error in co-occurring presentations.</t>
        </is>
      </c>
      <c r="L156" s="171" t="inlineStr">
        <is>
          <t>—</t>
        </is>
      </c>
      <c r="M156" s="171" t="inlineStr">
        <is>
          <t>—</t>
        </is>
      </c>
      <c r="N156" s="171" t="inlineStr">
        <is>
          <t>—</t>
        </is>
      </c>
      <c r="O156" s="171" t="inlineStr">
        <is>
          <t>ASSESS
▸  Assess this separately, with its own measures.
▸  Build the case for each condition independently rather than letting evidence for one carry the other.</t>
        </is>
      </c>
      <c r="P156" s="171" t="inlineStr">
        <is>
          <t>DO
▸  State in the report what would be needed to establish this second presentation.
▸  That is often a referral rather than a conclusion you can reach yourself.</t>
        </is>
      </c>
      <c r="Q156" s="171" t="inlineStr">
        <is>
          <t>—</t>
        </is>
      </c>
      <c r="R156" s="171" t="inlineStr">
        <is>
          <t>—</t>
        </is>
      </c>
      <c r="S156" s="171" t="inlineStr">
        <is>
          <t>YOUR PRACTICE
▸  Bring it to supervision: for each child on my caseload with this diagnosis, what has NOT been assessed because the diagnosis was already there?</t>
        </is>
      </c>
      <c r="T156" s="171" t="inlineStr">
        <is>
          <t>WHAT TO DO NEXT
▸  Assess separately, then refer if the threshold is met.</t>
        </is>
      </c>
      <c r="U156" s="171" t="inlineStr">
        <is>
          <t>WHERE THE EVIDENCE GOES
▸  Psychological report — state the co-occurrence and what it changes.</t>
        </is>
      </c>
      <c r="V156" s="171" t="inlineStr">
        <is>
          <t>—</t>
        </is>
      </c>
    </row>
    <row r="157" ht="169.5" customHeight="1" s="128">
      <c r="A157" s="208" t="inlineStr">
        <is>
          <t>CO-OCCURRING</t>
        </is>
      </c>
      <c r="B157" s="208" t="inlineStr">
        <is>
          <t>1. Assessment</t>
        </is>
      </c>
      <c r="C157" s="171" t="inlineStr">
        <is>
          <t>Special Setting (class or school)</t>
        </is>
      </c>
      <c r="D157" s="208" t="inlineStr">
        <is>
          <t>CO-OCCURS WITH AUTISM</t>
        </is>
      </c>
      <c r="E157" s="209" t="inlineStr">
        <is>
          <t>EPILEPSY</t>
        </is>
      </c>
      <c r="F157" s="208" t="inlineStr">
        <is>
          <t>see its own entry</t>
        </is>
      </c>
      <c r="G157" s="208" t="inlineStr">
        <is>
          <t>YES — assess separately</t>
        </is>
      </c>
      <c r="H157" s="171" t="inlineStr">
        <is>
          <t>WHERE THIS SITS
▸  Sits under 1. Assessment, alongside Autism.
▸  NEPS category: 4. SOCIAL — and 1. LEARNING where language or cognition is implicated</t>
        </is>
      </c>
      <c r="I157" s="171" t="inlineStr">
        <is>
          <t>HOW OFTEN IT CO-OCCURS
▸  Rate not stated in source — check before quoting.</t>
        </is>
      </c>
      <c r="J157" s="171" t="inlineStr">
        <is>
          <t>HOW IT PRESENTS WHEN IT CO-OCCURS
▸  elevated, particularly where intellectual disability co-occurs. Medical, not yours, but note it and refer.</t>
        </is>
      </c>
      <c r="K157" s="171" t="inlineStr">
        <is>
          <t>THE RISK
▸  Do not assume the primary diagnosis explains this.
▸  Write down before you start what the primary diagnosis does NOT explain, then assess that.
▸  Diagnostic overshadowing is the single most common error in co-occurring presentations.</t>
        </is>
      </c>
      <c r="L157" s="171" t="inlineStr">
        <is>
          <t>—</t>
        </is>
      </c>
      <c r="M157" s="171" t="inlineStr">
        <is>
          <t>—</t>
        </is>
      </c>
      <c r="N157" s="171" t="inlineStr">
        <is>
          <t>—</t>
        </is>
      </c>
      <c r="O157" s="171" t="inlineStr">
        <is>
          <t>ASSESS
▸  Assess this separately, with its own measures.
▸  Build the case for each condition independently rather than letting evidence for one carry the other.</t>
        </is>
      </c>
      <c r="P157" s="171" t="inlineStr">
        <is>
          <t>DO
▸  State in the report what would be needed to establish this second presentation.
▸  That is often a referral rather than a conclusion you can reach yourself.</t>
        </is>
      </c>
      <c r="Q157" s="171" t="inlineStr">
        <is>
          <t>—</t>
        </is>
      </c>
      <c r="R157" s="171" t="inlineStr">
        <is>
          <t>—</t>
        </is>
      </c>
      <c r="S157" s="171" t="inlineStr">
        <is>
          <t>YOUR PRACTICE
▸  Bring it to supervision: for each child on my caseload with this diagnosis, what has NOT been assessed because the diagnosis was already there?</t>
        </is>
      </c>
      <c r="T157" s="171" t="inlineStr">
        <is>
          <t>WHAT TO DO NEXT
▸  Assess separately, then refer if the threshold is met.</t>
        </is>
      </c>
      <c r="U157" s="171" t="inlineStr">
        <is>
          <t>WHERE THE EVIDENCE GOES
▸  Psychological report — state the co-occurrence and what it changes.</t>
        </is>
      </c>
      <c r="V157" s="171" t="inlineStr">
        <is>
          <t>—</t>
        </is>
      </c>
    </row>
    <row r="158" ht="169.5" customHeight="1" s="128">
      <c r="A158" s="208" t="inlineStr">
        <is>
          <t>CO-OCCURRING</t>
        </is>
      </c>
      <c r="B158" s="208" t="inlineStr">
        <is>
          <t>1. Assessment</t>
        </is>
      </c>
      <c r="C158" s="171" t="inlineStr">
        <is>
          <t>Special Setting (class or school)</t>
        </is>
      </c>
      <c r="D158" s="208" t="inlineStr">
        <is>
          <t>CO-OCCURS WITH AUTISM</t>
        </is>
      </c>
      <c r="E158" s="209" t="inlineStr">
        <is>
          <t>SLEEP DIFFICULTIES</t>
        </is>
      </c>
      <c r="F158" s="208" t="inlineStr">
        <is>
          <t>see its own entry</t>
        </is>
      </c>
      <c r="G158" s="208" t="inlineStr">
        <is>
          <t>YES — assess separately</t>
        </is>
      </c>
      <c r="H158" s="171" t="inlineStr">
        <is>
          <t>WHERE THIS SITS
▸  Sits under 1. Assessment, alongside Autism.
▸  NEPS category: 4. SOCIAL — and 1. LEARNING where language or cognition is implicated</t>
        </is>
      </c>
      <c r="I158" s="171" t="inlineStr">
        <is>
          <t>HOW OFTEN IT CO-OCCURS
▸  Rate not stated in source — check before quoting.</t>
        </is>
      </c>
      <c r="J158" s="171" t="inlineStr">
        <is>
          <t>HOW IT PRESENTS WHEN IT CO-OCCURS
▸  very common and under-treated. Ask, because a child sleeping five hours will present very differently.</t>
        </is>
      </c>
      <c r="K158" s="171" t="inlineStr">
        <is>
          <t>THE RISK
▸  Do not assume the primary diagnosis explains this.
▸  Write down before you start what the primary diagnosis does NOT explain, then assess that.
▸  Diagnostic overshadowing is the single most common error in co-occurring presentations.</t>
        </is>
      </c>
      <c r="L158" s="171" t="inlineStr">
        <is>
          <t>—</t>
        </is>
      </c>
      <c r="M158" s="171" t="inlineStr">
        <is>
          <t>—</t>
        </is>
      </c>
      <c r="N158" s="171" t="inlineStr">
        <is>
          <t>—</t>
        </is>
      </c>
      <c r="O158" s="171" t="inlineStr">
        <is>
          <t>ASSESS
▸  Assess this separately, with its own measures.
▸  Build the case for each condition independently rather than letting evidence for one carry the other.</t>
        </is>
      </c>
      <c r="P158" s="171" t="inlineStr">
        <is>
          <t>DO
▸  State in the report what would be needed to establish this second presentation.
▸  That is often a referral rather than a conclusion you can reach yourself.</t>
        </is>
      </c>
      <c r="Q158" s="171" t="inlineStr">
        <is>
          <t>—</t>
        </is>
      </c>
      <c r="R158" s="171" t="inlineStr">
        <is>
          <t>—</t>
        </is>
      </c>
      <c r="S158" s="171" t="inlineStr">
        <is>
          <t>YOUR PRACTICE
▸  Bring it to supervision: for each child on my caseload with this diagnosis, what has NOT been assessed because the diagnosis was already there?</t>
        </is>
      </c>
      <c r="T158" s="171" t="inlineStr">
        <is>
          <t>WHAT TO DO NEXT
▸  Assess separately, then refer if the threshold is met.</t>
        </is>
      </c>
      <c r="U158" s="171" t="inlineStr">
        <is>
          <t>WHERE THE EVIDENCE GOES
▸  Psychological report — state the co-occurrence and what it changes.</t>
        </is>
      </c>
      <c r="V158" s="171" t="inlineStr">
        <is>
          <t>—</t>
        </is>
      </c>
    </row>
    <row r="159" ht="408.75" customHeight="1" s="128">
      <c r="A159" s="210" t="inlineStr">
        <is>
          <t>PRESENTATION</t>
        </is>
      </c>
      <c r="B159" s="210" t="inlineStr">
        <is>
          <t>1. Assessment</t>
        </is>
      </c>
      <c r="C159" s="170" t="inlineStr">
        <is>
          <t>Special Setting (class or school)</t>
        </is>
      </c>
      <c r="D159" s="210" t="inlineStr">
        <is>
          <t>SYMPTOM-ONLY</t>
        </is>
      </c>
      <c r="E159" s="211" t="inlineStr">
        <is>
          <t>Presentations related to Autism — no diagnosis</t>
        </is>
      </c>
      <c r="F159" s="210" t="inlineStr">
        <is>
          <t>No DSM code</t>
        </is>
      </c>
      <c r="G159" s="210" t="inlineStr">
        <is>
          <t>YES — these present at every band</t>
        </is>
      </c>
      <c r="H159" s="170" t="inlineStr">
        <is>
          <t>WHERE THIS SITS
▸  NEPS category: as above
▸  UCD competency: 1. Assessment
▸  CORU: 3.1 · 3.2 · 5.28 · 5.29 · 5.30 · 5.31 · 5.32
▸  PSI: 2.2.2 · 2.3.1 · 1.3.1 · 1.2.8</t>
        </is>
      </c>
      <c r="I159" s="170" t="inlineStr">
        <is>
          <t>THE PRESENTATIONS — no diagnosis needed, and most referrals look like this
▸  Social communication differences without diagnosis
▸  Masking and the cost of it
▸  Loneliness without observable difficulty
▸  Pathological Demand Avoidance (PDA) profile
▸  Sensory modulation differences
▸  Rigidity and routine that is not OCD</t>
        </is>
      </c>
      <c r="J159" s="170" t="inlineStr">
        <is>
          <t>HOW COMMON
▸  No prevalence figures exist for these — they are descriptions, not categories.
▸  They are more common than the diagnosis they sit beside.</t>
        </is>
      </c>
      <c r="K159" s="170" t="inlineStr">
        <is>
          <t>THE PATHWAY
▸  No diagnostic pathway. Nobody diagnoses these.
▸  You describe them, formulate around them, and recommend. That is the whole pathway.
▸  If a parent asks who diagnoses it: nobody. Say that plainly, and say it does not make the difficulty less real or less workable.</t>
        </is>
      </c>
      <c r="L159" s="170" t="inlineStr">
        <is>
          <t>WHAT YOU SEE
▸  These are what the referral form actually describes in Section 5.
▸  Look for the pattern across settings rather than a threshold.</t>
        </is>
      </c>
      <c r="M159" s="170" t="inlineStr">
        <is>
          <t>RED FLAGS
▸  Escalating distress, withdrawal or risk indicators — follow the protocol regardless of whether a diagnosis exists.
▸  Do not let the absence of a diagnosis delay a safeguarding response.</t>
        </is>
      </c>
      <c r="N159" s="170" t="inlineStr">
        <is>
          <t>WHAT ELSE COULD IT BE
▸  Each of these can be the visible edge of the diagnosed condition above.
▸  Each can also occur entirely on its own.
▸  Test the sequence: which came first?</t>
        </is>
      </c>
      <c r="O159" s="170" t="inlineStr">
        <is>
          <t>ASSESS
▸  Observation with a comparison peer.
▸  Teacher and parent interview.
▸  Pupil interview — their account is the evidence here.
▸  Rating scales describe perception, not the presentation itself.</t>
        </is>
      </c>
      <c r="P159" s="170" t="inlineStr">
        <is>
          <t>DO
▸  Name the presentation precisely rather than reaching for a label.
▸  Recommend at the level of the behaviour, not the hypothetical diagnosis.
▸  Specify what, who, how often, for how long, and how it will be measured.
▸  Name the Continuum of Support level.</t>
        </is>
      </c>
      <c r="Q159" s="170" t="inlineStr">
        <is>
          <t>EXPLAIN
▸  To a parent: “There isn’t a diagnosis for this, and it’s still real and still workable. Here’s what we do.”
▸  To a teacher: describe the behaviour in countable terms, not in trait terms.
▸  To the child: ask what helps, and use their words in the report.</t>
        </is>
      </c>
      <c r="R159" s="170" t="inlineStr">
        <is>
          <t>CHILD’S VOICE AND QUESTIONS
▸  Talking Mats · Blob Tree · scaling on a drawn ladder · sentence completion · day mapping.
▸  Q: “So there’s nothing wrong with him?” A: “There’s a real difficulty and it doesn’t have a label. Labels help get resources; they don’t make a difficulty more or less real.”
▸  Q: “Should we get him assessed privately?” A: give the honest position on what a diagnosis would and would not change here.</t>
        </is>
      </c>
      <c r="S159" s="170" t="inlineStr">
        <is>
          <t>YOUR PRACTICE
▸  Bring a case where you were pulled toward a label the data did not support.
▸  Reflect: did I describe, or did I reach? Whose language did I use?</t>
        </is>
      </c>
      <c r="T159" s="170" t="inlineStr">
        <is>
          <t>WHAT TO DO NEXT
▸  Proceed to formulation. These belong at the behavioural level of the Interactive Factors Framework.
▸  Test whether an unmet learning need is underneath before concluding anything.</t>
        </is>
      </c>
      <c r="U159" s="170" t="inlineStr">
        <is>
          <t>WHERE THE EVIDENCE GOES
▸  Psychological report
▸  Appendix 5 entry
▸  Log sheet</t>
        </is>
      </c>
      <c r="V159" s="170" t="inlineStr">
        <is>
          <t>CITATIONS
▸  Frederickson &amp; Cline (2009)
▸  Monsen &amp; Frederickson (2008)
▸  NEPS Continuum of Support</t>
        </is>
      </c>
    </row>
    <row r="160" ht="408.75" customHeight="1" s="128">
      <c r="A160" s="205" t="inlineStr">
        <is>
          <t>CONDITION</t>
        </is>
      </c>
      <c r="B160" s="205" t="inlineStr">
        <is>
          <t>1. Assessment</t>
        </is>
      </c>
      <c r="C160" s="206" t="inlineStr">
        <is>
          <t>Special Setting (class or school)</t>
        </is>
      </c>
      <c r="D160" s="205" t="inlineStr">
        <is>
          <t>DIAGNOSED</t>
        </is>
      </c>
      <c r="E160" s="206" t="inlineStr">
        <is>
          <t>ADHD</t>
        </is>
      </c>
      <c r="F160" s="205" t="inlineStr">
        <is>
          <t>DSM-5-TR Attention-Deficit/Hyperactivity Disorder · ICD-11 6A05</t>
        </is>
      </c>
      <c r="G160" s="205" t="inlineStr">
        <is>
          <t>YES — with caution</t>
        </is>
      </c>
      <c r="H160" s="207" t="inlineStr">
        <is>
          <t>WHERE THIS SITS
▸  NEPS referral form category: 1. LEARNING (1.1 Attention, concentration and work skills) — and 2. BEHAVIOUR
▸  UCD competency: 1. Assessment
▸  CORU: 3.1 · 3.2 · 5.28 · 5.29 · 5.30 · 5.31 · 5.32
▸  PSI: 2.2.2 · 2.3.1 · 1.3.1 · 1.2.8
▸  Law and policy: Children First Act 2015 · EPSEN Act 2004 · Equal Status Acts 2000–2018 · GDPR</t>
        </is>
      </c>
      <c r="I160" s="207" t="inlineStr">
        <is>
          <t>WHAT IT IS, AND WHAT IT IS NOT
▸  A neurodevelopmental condition defined by a persistent pattern of INATTENTION and/or HYPERACTIVITY-IMPULSIVITY that interferes with functioning or development (APA, 2022, DSM-5-TR).
▸  Three presentations: predominantly inattentive, predominantly hyperactive/impulsive, and combined. Presentation can change with age — hyperactivity typically reduces while inattention persists.
▸  Criteria require: several symptoms present before age 12; symptoms in TWO OR MORE settings; clear interference with functioning; and not better explained by another condition.
▸  The best-supported account is of EXECUTIVE FUNCTION and DELAY AVERSION difficulties, not of a deficit of attention per se — attention is often intense on high-interest tasks. Barkley (1997) frames it as a disorder of behavioural inhibition and self-regulation.
▸  It is DIMENSIONAL. Traits are continuously distributed; the diagnostic line is a judgement about impairment.
▸  Heritability is among the highest of any psychiatric condition, commonly estimated around 70–80%.
▸  NOT caused by sugar. Wolraich, Wilson &amp; White (1995) meta-analysed this and found no effect on behaviour or cognition. The belief persists strongly.
▸  NOT caused by screens, poor parenting or bad teaching. These can worsen presentation; they do not cause it.
▸  NOT an absence of attention. Hyperfocus on high-interest activity is characteristic and is routinely used as evidence AGAINST the diagnosis by teachers and family. It is not.
▸  NOT only hyperactive boys. The predominantly inattentive presentation is under-identified, particularly in girls, who are more often quiet, disorganised and internalising.
▸  NOT outgrown. Hyperactivity reduces; inattention and executive difficulty commonly persist into adulthood.
▸  NOT resolved by medication alone. Medication is effective for core symptoms in many people and does not teach skills, organise an environment, or repair self-concept.</t>
        </is>
      </c>
      <c r="J160" s="207" t="inlineStr">
        <is>
          <t>HOW COMMON AT THIS AGE
▸  OVERALL: worldwide pooled prevalence in children and adolescents around 5–7% (Polanczyk et al., 2007, 2014 meta-analyses). Adult prevalence around 2.5%.
▸  IRELAND: ADHD Ireland cites around 5% of children. Department of Education and HSE identification figures will be lower than prevalence.
▸  SEX RATIO: clinic samples historically 3:1 to 9:1 male. Community samples closer to 2:1 or lower, indicating substantial under-identification in girls — the same diagnostic bias pattern as autism.
▸  AT OTHER AGES (for context): EARLY YEARS 0–5 · SCHOOL AGE 6–12 · ADOLESCENT 13–16 · ADULT</t>
        </is>
      </c>
      <c r="K160" s="207" t="inlineStr">
        <is>
          <t>THE PATHWAY AND THE TIMELINE
▸ TYPICAL AGE OF IDENTIFICATION, AND WHY THEN
   Usually 6–12. Criteria require symptoms before age 12 and in two or more settings. Identification clusters when sustained independent seatwork begins, because that is the demand the difficulty is most visible against. The inattentive presentation is identified considerably later, and girls later again.
▸ WHO DIAGNOSES IT
   Ireland: CAMHS, or Primary Care Psychology / community paediatrics depending on complexity and region. Medication is prescribed by a psychiatrist or paediatrician, never by a psychologist. Private assessment is common because of waiting times.
▸ WHO COULD HAVE WRITTEN THE REPORT IN FRONT OF YOU
   CAMHS psychiatrist or psychologist. Community paediatrician. Private psychologist or psychiatrist. A school-completed Conners or SDQ is a screening instrument, not a diagnosis.
▸ WHO YOU REFER TO
   CAMHS or Primary Care depending on complexity. GP first in many areas. OT where motor or sensory. SLT where instruction-following is the issue.
▸ 'SHOULD WE HAVE COME SOONER?'
   'Most children are identified around this age, because it's when the demands make it visible. If she's the quiet, disorganised kind rather than the disruptive kind, that's the presentation most often missed — and that's about how the system notices, not about you.'</t>
        </is>
      </c>
      <c r="L160" s="207" t="inlineStr">
        <is>
          <t>WHAT YOU SEE AT THIS AGE
▸  Distinguish ADHD from work pitched above the pupil's level. Rule the second out first.
▸  EARLY YEARS 0–5: rarely diagnosed and hard to distinguish from typical development. Conners EC, structured observation, developmental history. Frame as developmental rather than diagnostic.
▸  SCHOOL AGE 6–12: the main identification window, usually when sustained seatwork demands begin. Conners-4 parent and teacher, BRIEF-2, TEA-Ch2, classroom observation with a comparison peer. Parent-teacher disagreement is common and is data.
▸  ADOLESCENT 13–16: hyperactivity declines; organisation, homework and time-management difficulties dominate. Self-report becomes essential — Conners-4 self-report, BRIEF-2 self-report. Risk-taking and substance use need asking about.
▸  YOUNG ADULT 17–26: adult services, DSA for third level, workplace adjustment. Many first identified here.
▸  SPECIAL SETTING: distinguish ADHD from work pitched above the pupil's level. Rule the second out first.</t>
        </is>
      </c>
      <c r="M160" s="207" t="inlineStr">
        <is>
          <t>RED FLAGS AND BOUNDARIES
▸  RED FLAG — an adolescent with ADHD and emerging substance use, self-harm or risk-taking. Elevated risk across all three. Follow the risk protocol.
▸  RED FLAG — a child on medication whose presentation has changed sharply. Could be dose, could be something else. Medical; refer, do not adjust anything.
▸  RED FLAG — sudden onset of attention difficulty in a previously settled child. ADHD is developmental and present before 12. Sudden onset suggests something else — sleep, illness, trauma, a life event.
▸  BOUNDARY — you do not diagnose ADHD and you do not advise on medication. PSI 2.2.2, 2.2.3.
▸  WATCH — inattention is the final common pathway of many things: hearing loss, anxiety, sleep deprivation, an unidentified learning difficulty, trauma. Rule those out before concluding.</t>
        </is>
      </c>
      <c r="N160" s="207" t="inlineStr">
        <is>
          <t>WHAT ELSE COULD IT BE, AND WHAT CO-OCCURS
▸  SPECIFIC LEARNING DIFFICULTY — 30–50% overlap. PRESENTS AS: inattention during literacy work specifically. ALWAYS assess attainment; escape from an unreadable task looks identical to inattention.
▸  AUTISM — 28–44%. PRESENTS AS: social difficulty plus attention difficulty. Dual diagnosis has been permitted since DSM-5 (2013); older records may not reflect it.
▸  ODD / CONDUCT DIFFICULTY — elevated, particularly where ADHD has gone unidentified and the child has accumulated years of correction. PRESENTS AS: defiance that is often a learned response to chronic failure.
▸  ANXIETY AND LOW MOOD — elevated, usually secondary. PRESENTS AS: avoidance and somatic complaints. Treat the ADHD and much reduces, but not all.
▸  DCD — elevated. PRESENTS AS: messy, slow written work attributed to carelessness.
▸  DLD — elevated. PRESENTS AS: not following instructions, which is comprehension rather than attention.
▸  SLEEP DIFFICULTY — very common and bidirectional. Always ask; a child sleeping six hours will screen positive on everything.</t>
        </is>
      </c>
      <c r="O160" s="207" t="inlineStr">
        <is>
          <t>TOOLS VALID AT THIS BAND
▸  Functional behaviour assessment (ABC) — AGE any
     MEASURES: Antecedent, behaviour, consequence patterns across a week.
     CANNOT TELL YOU: Internal state. It describes function, not feeling.
     TIME: 1 week recording
▸  Leiter-3 — AGE 3:0–75:11
     MEASURES: Non-verbal ability without spoken instruction.
     CANNOT TELL YOU: Verbal reasoning. Often the only accessible cognitive measure in a special setting.
     TIME: 45 min
▸  Adaptive measure in place of IQ — AGE any
     MEASURES: Vineland-3 or ABAS-3.
     CANNOT TELL YOU: Nothing an IQ would add for planning — in special settings the adaptive profile is usually the more useful document.
     TIME: 20–60 min</t>
        </is>
      </c>
      <c r="P160" s="207" t="inlineStr">
        <is>
          <t>WHAT YOU DO, AND WHAT YOU WRITE
▸  EXTERNALISE THE EXECUTIVE FUNCTION. Visual task lists, checklists, timers, a written homework record. Do not expect internal organisation and then penalise its absence.
▸  ONE INSTRUCTION AT A TIME, or written down. Working memory is usually the bottleneck.
▸  CHUNK WORK with a visible finish line. 'Do five, then show me' beats 'do the page'.
▸  LEGITIMATE MOVEMENT built in — a job, an errand, a standing option. Movement suppressed re-emerges as disruption.
▸  PRIVATE CUES, not public correction. Agree a signal with the child in advance.
▸  SEATING and proximity to the teacher, away from high-traffic areas. Cheap and effective.
▸  ASSESS ATTAINMENT. Never treat inattention as the whole story until an unidentified learning difficulty is ruled out.
▸  SELF-MONITORING for older children — a simple tally the child keeps themselves. Evidence supports self-monitoring and it transfers ownership.
▸  HOMEWORK: negotiate volume rather than expecting the same as peers. A child taking three hours over thirty minutes' work is not learning.
▸  CONTINUUM LEVEL: School Support, or School Support Plus where outside services are involved.
▸  REFER: CAMHS or Primary Care for diagnostic assessment depending on complexity; OT where motor or sensory; SLT where instructions are the issue.
▸  DO NOT recommend diet change, omega supplements or screen elimination as treatments for core ADHD. The evidence does not support them and PSI 4.2.2 applies.</t>
        </is>
      </c>
      <c r="Q160" s="207" t="inlineStr">
        <is>
          <t>EXPLAIN
▸  TO A PARENT
▸  'ADHD is a difference in the brain's self-management system — starting things, stopping things, holding information in mind, and resisting distraction. It's not about not caring or not trying.'
▸  'The name is a bit misleading. It isn't a shortage of attention — it's difficulty DIRECTING attention to order. That's why he can spend three hours on something he loves and three minutes on homework.'
▸  'It's highly heritable. Very often a parent recognises a lot of it in themselves, and that's worth knowing rather than avoiding.'
▸  'It's not caused by sugar, screens or parenting. Those can make a hard day harder. They didn't cause this.'
▸  'What helps is structure that's external rather than expected of him — visual reminders, broken-down tasks, movement built in — plus, for some children, medication, which is a medical decision and not mine.'
▸  SIGNPOST: ADHD Ireland, and the CAMHS or Primary Care route for assessment.
▸  TO A TEACHER
▸  'The difficulty is executive function — starting, sustaining, switching and inhibiting. Think of it as a self-management difficulty rather than a listening problem.'
▸  'Hyperfocus is part of the picture, not evidence against it. Being able to concentrate on something interesting is normal for ADHD.'
▸  'Put the structure outside the child. Visual task lists, one instruction at a time, chunked work with a clear finish line, and a legitimate way to move.'
▸  'Proximity and private cues work better than public correction. Public correction costs the relationship and rarely changes the behaviour.'
▸  'Working memory is usually the bottleneck. Three-step instructions arrive as one step. Write them down or give them one at a time.'
▸  'Notice the inattentive presentation. The quiet, disorganised child who never causes trouble is the one most likely to be missed.'
▸  TO THE CHILD
▸  YOUNGER: 'Your brain is really good at noticing everything all at once. That's great for spotting things and it makes it hard when you only need to notice one thing. It also makes it tricky to get started and to stop.'
▸  OLDER: 'ADHD means the part of your brain that manages what you do next works differently. Starting things is harder, stopping is harder, and holding instructions in your head is harder. It's not about effort and it's not about being clever.'
▸  NAME THE HYPERFOCUS AS A STRENGTH, specifically: 'you spent an hour on that and got it exactly right — that's your brain doing what it does well.'
▸  ASK: 'What's the hardest part of the school day?' and 'when is it easiest?' The comparison is where the intervention comes from.
▸  BE CAREFUL WITH 'you just need to try harder' language, including your own. Children with ADHD have usually heard it for years and it is the fastest route to disengagement.
▸  ANALOGIES
▸  THE ORCHESTRA WITHOUT A CONDUCTOR: 'All the instruments are there and they're good ones. What's missing is the conductor deciding who plays when.' Barkley's inhibition account in plain terms; works well with parents and older children.
▸  THE BROWSER WITH FORTY TABS: 'Everything's open at once and something's playing music and you can't find which tab.' Good with adolescents — it is recognisable rather than pathologising.
▸  THE RAIN AND THE UMBRELLA (medication): 'Medication doesn't teach him to organise. It holds the umbrella so he can learn while it's raining.' Good for parents deciding about medication.
▸  THE INTEREST-POWERED ENGINE: 'Most engines run on petrol. This one runs on interest and urgency. When there's neither, it won't start — no matter how hard you push it.' Explains hyperfocus and homework in one image.
▸  LANGUAGE
▸  'ADHD' is the accepted term and is used by advocacy organisations including ADHD Ireland.
▸  Community preference is mixed on person-first versus identity-first; 'person with ADHD' and 'ADHDer' are both in use. Ask.
▸  Avoid: 'suffers from ADHD', 'hyper', 'ADD' (no longer a diagnostic term — it was folded into ADHD in DSM-IV).
▸  Avoid describing children as 'naughty', 'defiant' or 'lazy' in reports. These are interpretations, and PSI 1.2.8 requires labelling opinion clearly.</t>
        </is>
      </c>
      <c r="R160" s="207" t="inlineStr">
        <is>
          <t>THE CHILD’S VOICE, AND THE QUESTIONS
▸  'MY THOUGHTS ABOUT SCHOOL' (NEPS) — Irish, free, in schools already. Good because staff recognise it and it surfaces the school-day map. → https://www.gov.ie/en/publication/52ee2-neps-resources-and-publications/
▸  DAY MAPPING — the child marks a timeline of a typical day green/amber/red. Good because it locates the difficulty in time and setting rather than in the child, and generates precise targets.
▸  SCALING ON A LADDER — good because it gives a follow-up question ('what puts you at a 4?') that produces exceptions.
▸  ADHD IRELAND young people's materials — Irish context, written for young people. Good because self-understanding predicts self-advocacy in adolescence. → https://adhdireland.ie/
▸  STRENGTHS CARD SORT — the child sorts strengths cards into 'like me' / 'not like me'. Good because children with ADHD have usually accumulated years of negative feedback and direct questions about strengths produce nothing.
▸  QUESTIONS YOU WILL BE ASKED
▸  Q: 'But he can play video games for hours — so how can he have attention problems?' — A: 'That's hyperfocus and it's part of the picture rather than evidence against it. The difficulty is directing attention to order, not having none. High-interest activity supplies the direction for him.'
▸  Q: 'Is it the sugar?' — A: 'No. That's been tested properly — a meta-analysis found no effect of sugar on behaviour or cognition. It's one of the most persistent beliefs about ADHD and it isn't supported.'
▸  Q: 'Is it my parenting?' — A: 'No. It's highly heritable and present from early development. Parenting affects how hard the days are; it didn't cause this.'
▸  Q: 'Will he need medication?' — A: 'That's a medical decision and not mine to make. What I can say is that medication helps core symptoms for many children and doesn't teach organisation or repair confidence — so it's usually one part rather than the answer.'
▸  Q: 'Will he grow out of it?' — A: 'The hyperactivity usually reduces. The organisation and attention side often continues into adulthood. Most people find strategies that work.'
▸  Q: 'The teacher says he's fine when he wants to be.' — A: 'I'd want to look at when those times are, because that usually tells us exactly what he needs. If he's fine in short, structured, interesting tasks, that's the design brief rather than proof he could do it all along.'
▸  Q: 'She's quiet and does her work, so it can't be ADHD?' — A: 'The inattentive presentation looks like that — quiet, disorganised, drifting rather than disruptive. It's the one most often missed, especially in girls.'
▸  Q: 'Isn't ADHD over-diagnosed?' — A: 'It's both, in different places. Under-identified in girls and in the inattentive presentation, and there are concerns about identification in other groups. What matters here is whether this child meets criteria and is impaired, which is what the assessment looks at.'</t>
        </is>
      </c>
      <c r="S160" s="207" t="inlineStr">
        <is>
          <t>YOUR PRACTICE
▸  SUPERVISION
▸  Bring a case where parent and teacher ratings diverged sharply and ask how your supervisor reads that.
▸  Ask about the local referral route and threshold — CAMHS versus Primary Care — and what actually gets accepted.
▸  Raise any case where you suspect an unidentified learning difficulty underneath the attention referral. This is the most common formulation error in ADHD work.
▸  Discuss what you say to a parent asking about medication, word for word.
▸  Ask how your service handles a school that is treating ADHD as a behaviour problem.
▸  Bring the quiet inattentive child you nearly missed. There will be one.
▸  REFLECTION
▸  ON HOW I EXPLAINED IT — Did I explain ADHD, or did I explain what this child needs on Monday? Did the teacher leave with something specific?
▸  ON LANGUAGE — Did I use the family's terms or mine? Did I check whether the young person prefers 'has ADHD' or 'is ADHD'?
▸  ON THE HYPERFOCUS CONVERSATION — When someone said 'he can concentrate when he wants to', did I correct it clearly, or let it stand because contradicting felt awkward?
▸  ON MY OWN LANGUAGE IN THE REPORT — did I write 'refuses', 'won't', 'chooses not to'? Those are interpretations, and they follow a child for years.
▸  ON RULING OUT — did I assess attainment, ask about hearing, ask about sleep, before concluding attention? If not, my formulation is a hypothesis presented as a finding.
▸  ON THE INATTENTIVE CHILD — am I identifying the quiet ones, or only the ones the school is finding difficult?
▸  WHAT GOOD LOOKS LIKE: 'I had framed my feedback around attention, and the teacher pushed back that he concentrates fine in art. Rather than defending, I asked what art looks like — short tasks, movement, immediate feedback, high interest. That became the recommendation. My first framing would have produced an argument.'
▸  WHAT POOR LOOKS LIKE: 'Consistent with ADHD; referral recommended.' — no ruling out, no recommendations the school can act on, nothing learned.</t>
        </is>
      </c>
      <c r="T160" s="207" t="inlineStr">
        <is>
          <t>WHAT TO DO NEXT
▸  Proceed to FORMULATION using a named framework — Monsen, Interactive Factors, COMOIRA or Carr.
▸  If a learning need may be driving the presentation, proceed to attainment assessment before concluding.
▸  If risk or safeguarding emerged, none of the above — follow the protocol and tell your supervisor the same day.
▸  If the referral question is not answered by what you found, go back and renegotiate it.</t>
        </is>
      </c>
      <c r="U160" s="207" t="inlineStr">
        <is>
          <t>WHERE THE EVIDENCE GOES
▸  Psychological report
▸  Appendix 5 entry tagged 1. Assessment
▸  Appendix 7 if observed
▸  Table 3 — Special Setting
▸  Log sheet — tag the referral area and the competency</t>
        </is>
      </c>
      <c r="V160" s="207" t="inlineStr">
        <is>
          <t>CITATIONS
▸  American Psychiatric Association (2022). DSM-5-TR — Attention-Deficit/Hyperactivity Disorder.
▸  Polanczyk, G., de Lima, M. S., Horta, B. L., Biederman, J., &amp; Rohde, L. A. (2007). The worldwide prevalence of ADHD: A systematic review and metaregression analysis. American Journal of Psychiatry, 164(6), 942–948.
▸  Barkley, R. A. (1997). Behavioral inhibition, sustained attention, and executive functions. Psychological Bulletin, 121(1), 65–94.
▸  Wolraich, M. L., Wilson, D. B., &amp; White, J. W. (1995). The effect of sugar on behavior or cognition in children: A meta-analysis. JAMA, 274(20), 1617–1621.
▸  Willcutt, E. G. (2012). The prevalence of DSM-IV ADHD: A meta-analytic review. Neurotherapeutics, 9(3), 490–499.
▸  Pennington, B. F. (2006). From single to multiple deficit models of developmental disorders. Cognition, 101(2), 385–413.
▸  NICE (2018, updated). Attention deficit hyperactivity disorder: diagnosis and management. NG87.</t>
        </is>
      </c>
    </row>
    <row r="161" ht="169.5" customHeight="1" s="128">
      <c r="A161" s="208" t="inlineStr">
        <is>
          <t>CO-OCCURRING</t>
        </is>
      </c>
      <c r="B161" s="208" t="inlineStr">
        <is>
          <t>1. Assessment</t>
        </is>
      </c>
      <c r="C161" s="171" t="inlineStr">
        <is>
          <t>Special Setting (class or school)</t>
        </is>
      </c>
      <c r="D161" s="208" t="inlineStr">
        <is>
          <t>CO-OCCURS WITH ADHD</t>
        </is>
      </c>
      <c r="E161" s="209" t="inlineStr">
        <is>
          <t>SPECIFIC LEARNING DIFFICULTY</t>
        </is>
      </c>
      <c r="F161" s="208" t="inlineStr">
        <is>
          <t>see its own entry</t>
        </is>
      </c>
      <c r="G161" s="208" t="inlineStr">
        <is>
          <t>YES — assess separately</t>
        </is>
      </c>
      <c r="H161" s="171" t="inlineStr">
        <is>
          <t>WHERE THIS SITS
▸  Sits under 1. Assessment, alongside ADHD.
▸  NEPS category: 1. LEARNING (1.1 Attention, concentration and work skills) — and 2. BEHAVIOUR</t>
        </is>
      </c>
      <c r="I161" s="171" t="inlineStr">
        <is>
          <t>HOW OFTEN IT CO-OCCURS
▸  30–50% overlap.</t>
        </is>
      </c>
      <c r="J161" s="171" t="inlineStr">
        <is>
          <t>HOW IT PRESENTS WHEN IT CO-OCCURS
▸  inattention during literacy work specifically. ALWAYS assess attainment; escape from an unreadable task looks identical to inattention.</t>
        </is>
      </c>
      <c r="K161" s="171" t="inlineStr">
        <is>
          <t>THE RISK
▸  Do not assume the primary diagnosis explains this.
▸  Write down before you start what the primary diagnosis does NOT explain, then assess that.
▸  Diagnostic overshadowing is the single most common error in co-occurring presentations.</t>
        </is>
      </c>
      <c r="L161" s="171" t="inlineStr">
        <is>
          <t>—</t>
        </is>
      </c>
      <c r="M161" s="171" t="inlineStr">
        <is>
          <t>—</t>
        </is>
      </c>
      <c r="N161" s="171" t="inlineStr">
        <is>
          <t>—</t>
        </is>
      </c>
      <c r="O161" s="171" t="inlineStr">
        <is>
          <t>ASSESS
▸  Assess this separately, with its own measures.
▸  Build the case for each condition independently rather than letting evidence for one carry the other.</t>
        </is>
      </c>
      <c r="P161" s="171" t="inlineStr">
        <is>
          <t>DO
▸  State in the report what would be needed to establish this second presentation.
▸  That is often a referral rather than a conclusion you can reach yourself.</t>
        </is>
      </c>
      <c r="Q161" s="171" t="inlineStr">
        <is>
          <t>—</t>
        </is>
      </c>
      <c r="R161" s="171" t="inlineStr">
        <is>
          <t>—</t>
        </is>
      </c>
      <c r="S161" s="171" t="inlineStr">
        <is>
          <t>YOUR PRACTICE
▸  Bring it to supervision: for each child on my caseload with this diagnosis, what has NOT been assessed because the diagnosis was already there?</t>
        </is>
      </c>
      <c r="T161" s="171" t="inlineStr">
        <is>
          <t>WHAT TO DO NEXT
▸  Assess separately, then refer if the threshold is met.</t>
        </is>
      </c>
      <c r="U161" s="171" t="inlineStr">
        <is>
          <t>WHERE THE EVIDENCE GOES
▸  Psychological report — state the co-occurrence and what it changes.</t>
        </is>
      </c>
      <c r="V161" s="171" t="inlineStr">
        <is>
          <t>—</t>
        </is>
      </c>
    </row>
    <row r="162" ht="169.5" customHeight="1" s="128">
      <c r="A162" s="208" t="inlineStr">
        <is>
          <t>CO-OCCURRING</t>
        </is>
      </c>
      <c r="B162" s="208" t="inlineStr">
        <is>
          <t>1. Assessment</t>
        </is>
      </c>
      <c r="C162" s="171" t="inlineStr">
        <is>
          <t>Special Setting (class or school)</t>
        </is>
      </c>
      <c r="D162" s="208" t="inlineStr">
        <is>
          <t>CO-OCCURS WITH ADHD</t>
        </is>
      </c>
      <c r="E162" s="209" t="inlineStr">
        <is>
          <t>AUTISM</t>
        </is>
      </c>
      <c r="F162" s="208" t="inlineStr">
        <is>
          <t>see its own entry</t>
        </is>
      </c>
      <c r="G162" s="208" t="inlineStr">
        <is>
          <t>YES — assess separately</t>
        </is>
      </c>
      <c r="H162" s="171" t="inlineStr">
        <is>
          <t>WHERE THIS SITS
▸  Sits under 1. Assessment, alongside ADHD.
▸  NEPS category: 1. LEARNING (1.1 Attention, concentration and work skills) — and 2. BEHAVIOUR</t>
        </is>
      </c>
      <c r="I162" s="171" t="inlineStr">
        <is>
          <t>HOW OFTEN IT CO-OCCURS
▸  28–44%.</t>
        </is>
      </c>
      <c r="J162" s="171" t="inlineStr">
        <is>
          <t>HOW IT PRESENTS WHEN IT CO-OCCURS
▸  social difficulty plus attention difficulty. Dual diagnosis has been permitted since DSM-5 (2013); older records may not reflect it.</t>
        </is>
      </c>
      <c r="K162" s="171" t="inlineStr">
        <is>
          <t>THE RISK
▸  Do not assume the primary diagnosis explains this.
▸  Write down before you start what the primary diagnosis does NOT explain, then assess that.
▸  Diagnostic overshadowing is the single most common error in co-occurring presentations.</t>
        </is>
      </c>
      <c r="L162" s="171" t="inlineStr">
        <is>
          <t>—</t>
        </is>
      </c>
      <c r="M162" s="171" t="inlineStr">
        <is>
          <t>—</t>
        </is>
      </c>
      <c r="N162" s="171" t="inlineStr">
        <is>
          <t>—</t>
        </is>
      </c>
      <c r="O162" s="171" t="inlineStr">
        <is>
          <t>ASSESS
▸  Assess this separately, with its own measures.
▸  Build the case for each condition independently rather than letting evidence for one carry the other.</t>
        </is>
      </c>
      <c r="P162" s="171" t="inlineStr">
        <is>
          <t>DO
▸  State in the report what would be needed to establish this second presentation.
▸  That is often a referral rather than a conclusion you can reach yourself.</t>
        </is>
      </c>
      <c r="Q162" s="171" t="inlineStr">
        <is>
          <t>—</t>
        </is>
      </c>
      <c r="R162" s="171" t="inlineStr">
        <is>
          <t>—</t>
        </is>
      </c>
      <c r="S162" s="171" t="inlineStr">
        <is>
          <t>YOUR PRACTICE
▸  Bring it to supervision: for each child on my caseload with this diagnosis, what has NOT been assessed because the diagnosis was already there?</t>
        </is>
      </c>
      <c r="T162" s="171" t="inlineStr">
        <is>
          <t>WHAT TO DO NEXT
▸  Assess separately, then refer if the threshold is met.</t>
        </is>
      </c>
      <c r="U162" s="171" t="inlineStr">
        <is>
          <t>WHERE THE EVIDENCE GOES
▸  Psychological report — state the co-occurrence and what it changes.</t>
        </is>
      </c>
      <c r="V162" s="171" t="inlineStr">
        <is>
          <t>—</t>
        </is>
      </c>
    </row>
    <row r="163" ht="169.5" customHeight="1" s="128">
      <c r="A163" s="208" t="inlineStr">
        <is>
          <t>CO-OCCURRING</t>
        </is>
      </c>
      <c r="B163" s="208" t="inlineStr">
        <is>
          <t>1. Assessment</t>
        </is>
      </c>
      <c r="C163" s="171" t="inlineStr">
        <is>
          <t>Special Setting (class or school)</t>
        </is>
      </c>
      <c r="D163" s="208" t="inlineStr">
        <is>
          <t>CO-OCCURS WITH ADHD</t>
        </is>
      </c>
      <c r="E163" s="209" t="inlineStr">
        <is>
          <t>ODD / CONDUCT DIFFICULTY</t>
        </is>
      </c>
      <c r="F163" s="208" t="inlineStr">
        <is>
          <t>see its own entry</t>
        </is>
      </c>
      <c r="G163" s="208" t="inlineStr">
        <is>
          <t>YES — assess separately</t>
        </is>
      </c>
      <c r="H163" s="171" t="inlineStr">
        <is>
          <t>WHERE THIS SITS
▸  Sits under 1. Assessment, alongside ADHD.
▸  NEPS category: 1. LEARNING (1.1 Attention, concentration and work skills) — and 2. BEHAVIOUR</t>
        </is>
      </c>
      <c r="I163" s="171" t="inlineStr">
        <is>
          <t>HOW OFTEN IT CO-OCCURS
▸  elevated, particularly where ADHD has gone unidentified and the child has accumulated years of correction.</t>
        </is>
      </c>
      <c r="J163" s="171" t="inlineStr">
        <is>
          <t>HOW IT PRESENTS WHEN IT CO-OCCURS
▸  defiance that is often a learned response to chronic failure.</t>
        </is>
      </c>
      <c r="K163" s="171" t="inlineStr">
        <is>
          <t>THE RISK
▸  Do not assume the primary diagnosis explains this.
▸  Write down before you start what the primary diagnosis does NOT explain, then assess that.
▸  Diagnostic overshadowing is the single most common error in co-occurring presentations.</t>
        </is>
      </c>
      <c r="L163" s="171" t="inlineStr">
        <is>
          <t>—</t>
        </is>
      </c>
      <c r="M163" s="171" t="inlineStr">
        <is>
          <t>—</t>
        </is>
      </c>
      <c r="N163" s="171" t="inlineStr">
        <is>
          <t>—</t>
        </is>
      </c>
      <c r="O163" s="171" t="inlineStr">
        <is>
          <t>ASSESS
▸  Assess this separately, with its own measures.
▸  Build the case for each condition independently rather than letting evidence for one carry the other.</t>
        </is>
      </c>
      <c r="P163" s="171" t="inlineStr">
        <is>
          <t>DO
▸  State in the report what would be needed to establish this second presentation.
▸  That is often a referral rather than a conclusion you can reach yourself.</t>
        </is>
      </c>
      <c r="Q163" s="171" t="inlineStr">
        <is>
          <t>—</t>
        </is>
      </c>
      <c r="R163" s="171" t="inlineStr">
        <is>
          <t>—</t>
        </is>
      </c>
      <c r="S163" s="171" t="inlineStr">
        <is>
          <t>YOUR PRACTICE
▸  Bring it to supervision: for each child on my caseload with this diagnosis, what has NOT been assessed because the diagnosis was already there?</t>
        </is>
      </c>
      <c r="T163" s="171" t="inlineStr">
        <is>
          <t>WHAT TO DO NEXT
▸  Assess separately, then refer if the threshold is met.</t>
        </is>
      </c>
      <c r="U163" s="171" t="inlineStr">
        <is>
          <t>WHERE THE EVIDENCE GOES
▸  Psychological report — state the co-occurrence and what it changes.</t>
        </is>
      </c>
      <c r="V163" s="171" t="inlineStr">
        <is>
          <t>—</t>
        </is>
      </c>
    </row>
    <row r="164" ht="169.5" customHeight="1" s="128">
      <c r="A164" s="208" t="inlineStr">
        <is>
          <t>CO-OCCURRING</t>
        </is>
      </c>
      <c r="B164" s="208" t="inlineStr">
        <is>
          <t>1. Assessment</t>
        </is>
      </c>
      <c r="C164" s="171" t="inlineStr">
        <is>
          <t>Special Setting (class or school)</t>
        </is>
      </c>
      <c r="D164" s="208" t="inlineStr">
        <is>
          <t>CO-OCCURS WITH ADHD</t>
        </is>
      </c>
      <c r="E164" s="209" t="inlineStr">
        <is>
          <t>ANXIETY AND LOW MOOD</t>
        </is>
      </c>
      <c r="F164" s="208" t="inlineStr">
        <is>
          <t>see its own entry</t>
        </is>
      </c>
      <c r="G164" s="208" t="inlineStr">
        <is>
          <t>YES — assess separately</t>
        </is>
      </c>
      <c r="H164" s="171" t="inlineStr">
        <is>
          <t>WHERE THIS SITS
▸  Sits under 1. Assessment, alongside ADHD.
▸  NEPS category: 1. LEARNING (1.1 Attention, concentration and work skills) — and 2. BEHAVIOUR</t>
        </is>
      </c>
      <c r="I164" s="171" t="inlineStr">
        <is>
          <t>HOW OFTEN IT CO-OCCURS
▸  elevated, usually secondary.</t>
        </is>
      </c>
      <c r="J164" s="171" t="inlineStr">
        <is>
          <t>HOW IT PRESENTS WHEN IT CO-OCCURS
▸  avoidance and somatic complaints. Treat the ADHD and much reduces, but not all.</t>
        </is>
      </c>
      <c r="K164" s="171" t="inlineStr">
        <is>
          <t>THE RISK
▸  Do not assume the primary diagnosis explains this.
▸  Write down before you start what the primary diagnosis does NOT explain, then assess that.
▸  Diagnostic overshadowing is the single most common error in co-occurring presentations.</t>
        </is>
      </c>
      <c r="L164" s="171" t="inlineStr">
        <is>
          <t>—</t>
        </is>
      </c>
      <c r="M164" s="171" t="inlineStr">
        <is>
          <t>—</t>
        </is>
      </c>
      <c r="N164" s="171" t="inlineStr">
        <is>
          <t>—</t>
        </is>
      </c>
      <c r="O164" s="171" t="inlineStr">
        <is>
          <t>ASSESS
▸  Assess this separately, with its own measures.
▸  Build the case for each condition independently rather than letting evidence for one carry the other.</t>
        </is>
      </c>
      <c r="P164" s="171" t="inlineStr">
        <is>
          <t>DO
▸  State in the report what would be needed to establish this second presentation.
▸  That is often a referral rather than a conclusion you can reach yourself.</t>
        </is>
      </c>
      <c r="Q164" s="171" t="inlineStr">
        <is>
          <t>—</t>
        </is>
      </c>
      <c r="R164" s="171" t="inlineStr">
        <is>
          <t>—</t>
        </is>
      </c>
      <c r="S164" s="171" t="inlineStr">
        <is>
          <t>YOUR PRACTICE
▸  Bring it to supervision: for each child on my caseload with this diagnosis, what has NOT been assessed because the diagnosis was already there?</t>
        </is>
      </c>
      <c r="T164" s="171" t="inlineStr">
        <is>
          <t>WHAT TO DO NEXT
▸  Assess separately, then refer if the threshold is met.</t>
        </is>
      </c>
      <c r="U164" s="171" t="inlineStr">
        <is>
          <t>WHERE THE EVIDENCE GOES
▸  Psychological report — state the co-occurrence and what it changes.</t>
        </is>
      </c>
      <c r="V164" s="171" t="inlineStr">
        <is>
          <t>—</t>
        </is>
      </c>
    </row>
    <row r="165" ht="169.5" customHeight="1" s="128">
      <c r="A165" s="208" t="inlineStr">
        <is>
          <t>CO-OCCURRING</t>
        </is>
      </c>
      <c r="B165" s="208" t="inlineStr">
        <is>
          <t>1. Assessment</t>
        </is>
      </c>
      <c r="C165" s="171" t="inlineStr">
        <is>
          <t>Special Setting (class or school)</t>
        </is>
      </c>
      <c r="D165" s="208" t="inlineStr">
        <is>
          <t>CO-OCCURS WITH ADHD</t>
        </is>
      </c>
      <c r="E165" s="209" t="inlineStr">
        <is>
          <t>DCD</t>
        </is>
      </c>
      <c r="F165" s="208" t="inlineStr">
        <is>
          <t>see its own entry</t>
        </is>
      </c>
      <c r="G165" s="208" t="inlineStr">
        <is>
          <t>YES — assess separately</t>
        </is>
      </c>
      <c r="H165" s="171" t="inlineStr">
        <is>
          <t>WHERE THIS SITS
▸  Sits under 1. Assessment, alongside ADHD.
▸  NEPS category: 1. LEARNING (1.1 Attention, concentration and work skills) — and 2. BEHAVIOUR</t>
        </is>
      </c>
      <c r="I165" s="171" t="inlineStr">
        <is>
          <t>HOW OFTEN IT CO-OCCURS
▸  elevated.</t>
        </is>
      </c>
      <c r="J165" s="171" t="inlineStr">
        <is>
          <t>HOW IT PRESENTS WHEN IT CO-OCCURS
▸  messy, slow written work attributed to carelessness.</t>
        </is>
      </c>
      <c r="K165" s="171" t="inlineStr">
        <is>
          <t>THE RISK
▸  Do not assume the primary diagnosis explains this.
▸  Write down before you start what the primary diagnosis does NOT explain, then assess that.
▸  Diagnostic overshadowing is the single most common error in co-occurring presentations.</t>
        </is>
      </c>
      <c r="L165" s="171" t="inlineStr">
        <is>
          <t>—</t>
        </is>
      </c>
      <c r="M165" s="171" t="inlineStr">
        <is>
          <t>—</t>
        </is>
      </c>
      <c r="N165" s="171" t="inlineStr">
        <is>
          <t>—</t>
        </is>
      </c>
      <c r="O165" s="171" t="inlineStr">
        <is>
          <t>ASSESS
▸  Assess this separately, with its own measures.
▸  Build the case for each condition independently rather than letting evidence for one carry the other.</t>
        </is>
      </c>
      <c r="P165" s="171" t="inlineStr">
        <is>
          <t>DO
▸  State in the report what would be needed to establish this second presentation.
▸  That is often a referral rather than a conclusion you can reach yourself.</t>
        </is>
      </c>
      <c r="Q165" s="171" t="inlineStr">
        <is>
          <t>—</t>
        </is>
      </c>
      <c r="R165" s="171" t="inlineStr">
        <is>
          <t>—</t>
        </is>
      </c>
      <c r="S165" s="171" t="inlineStr">
        <is>
          <t>YOUR PRACTICE
▸  Bring it to supervision: for each child on my caseload with this diagnosis, what has NOT been assessed because the diagnosis was already there?</t>
        </is>
      </c>
      <c r="T165" s="171" t="inlineStr">
        <is>
          <t>WHAT TO DO NEXT
▸  Assess separately, then refer if the threshold is met.</t>
        </is>
      </c>
      <c r="U165" s="171" t="inlineStr">
        <is>
          <t>WHERE THE EVIDENCE GOES
▸  Psychological report — state the co-occurrence and what it changes.</t>
        </is>
      </c>
      <c r="V165" s="171" t="inlineStr">
        <is>
          <t>—</t>
        </is>
      </c>
    </row>
    <row r="166" ht="169.5" customHeight="1" s="128">
      <c r="A166" s="208" t="inlineStr">
        <is>
          <t>CO-OCCURRING</t>
        </is>
      </c>
      <c r="B166" s="208" t="inlineStr">
        <is>
          <t>1. Assessment</t>
        </is>
      </c>
      <c r="C166" s="171" t="inlineStr">
        <is>
          <t>Special Setting (class or school)</t>
        </is>
      </c>
      <c r="D166" s="208" t="inlineStr">
        <is>
          <t>CO-OCCURS WITH ADHD</t>
        </is>
      </c>
      <c r="E166" s="209" t="inlineStr">
        <is>
          <t>DLD</t>
        </is>
      </c>
      <c r="F166" s="208" t="inlineStr">
        <is>
          <t>see its own entry</t>
        </is>
      </c>
      <c r="G166" s="208" t="inlineStr">
        <is>
          <t>YES — assess separately</t>
        </is>
      </c>
      <c r="H166" s="171" t="inlineStr">
        <is>
          <t>WHERE THIS SITS
▸  Sits under 1. Assessment, alongside ADHD.
▸  NEPS category: 1. LEARNING (1.1 Attention, concentration and work skills) — and 2. BEHAVIOUR</t>
        </is>
      </c>
      <c r="I166" s="171" t="inlineStr">
        <is>
          <t>HOW OFTEN IT CO-OCCURS
▸  elevated.</t>
        </is>
      </c>
      <c r="J166" s="171" t="inlineStr">
        <is>
          <t>HOW IT PRESENTS WHEN IT CO-OCCURS
▸  not following instructions, which is comprehension rather than attention.</t>
        </is>
      </c>
      <c r="K166" s="171" t="inlineStr">
        <is>
          <t>THE RISK
▸  Do not assume the primary diagnosis explains this.
▸  Write down before you start what the primary diagnosis does NOT explain, then assess that.
▸  Diagnostic overshadowing is the single most common error in co-occurring presentations.</t>
        </is>
      </c>
      <c r="L166" s="171" t="inlineStr">
        <is>
          <t>—</t>
        </is>
      </c>
      <c r="M166" s="171" t="inlineStr">
        <is>
          <t>—</t>
        </is>
      </c>
      <c r="N166" s="171" t="inlineStr">
        <is>
          <t>—</t>
        </is>
      </c>
      <c r="O166" s="171" t="inlineStr">
        <is>
          <t>ASSESS
▸  Assess this separately, with its own measures.
▸  Build the case for each condition independently rather than letting evidence for one carry the other.</t>
        </is>
      </c>
      <c r="P166" s="171" t="inlineStr">
        <is>
          <t>DO
▸  State in the report what would be needed to establish this second presentation.
▸  That is often a referral rather than a conclusion you can reach yourself.</t>
        </is>
      </c>
      <c r="Q166" s="171" t="inlineStr">
        <is>
          <t>—</t>
        </is>
      </c>
      <c r="R166" s="171" t="inlineStr">
        <is>
          <t>—</t>
        </is>
      </c>
      <c r="S166" s="171" t="inlineStr">
        <is>
          <t>YOUR PRACTICE
▸  Bring it to supervision: for each child on my caseload with this diagnosis, what has NOT been assessed because the diagnosis was already there?</t>
        </is>
      </c>
      <c r="T166" s="171" t="inlineStr">
        <is>
          <t>WHAT TO DO NEXT
▸  Assess separately, then refer if the threshold is met.</t>
        </is>
      </c>
      <c r="U166" s="171" t="inlineStr">
        <is>
          <t>WHERE THE EVIDENCE GOES
▸  Psychological report — state the co-occurrence and what it changes.</t>
        </is>
      </c>
      <c r="V166" s="171" t="inlineStr">
        <is>
          <t>—</t>
        </is>
      </c>
    </row>
    <row r="167" ht="169.5" customHeight="1" s="128">
      <c r="A167" s="208" t="inlineStr">
        <is>
          <t>CO-OCCURRING</t>
        </is>
      </c>
      <c r="B167" s="208" t="inlineStr">
        <is>
          <t>1. Assessment</t>
        </is>
      </c>
      <c r="C167" s="171" t="inlineStr">
        <is>
          <t>Special Setting (class or school)</t>
        </is>
      </c>
      <c r="D167" s="208" t="inlineStr">
        <is>
          <t>CO-OCCURS WITH ADHD</t>
        </is>
      </c>
      <c r="E167" s="209" t="inlineStr">
        <is>
          <t>SLEEP DIFFICULTY</t>
        </is>
      </c>
      <c r="F167" s="208" t="inlineStr">
        <is>
          <t>see its own entry</t>
        </is>
      </c>
      <c r="G167" s="208" t="inlineStr">
        <is>
          <t>YES — assess separately</t>
        </is>
      </c>
      <c r="H167" s="171" t="inlineStr">
        <is>
          <t>WHERE THIS SITS
▸  Sits under 1. Assessment, alongside ADHD.
▸  NEPS category: 1. LEARNING (1.1 Attention, concentration and work skills) — and 2. BEHAVIOUR</t>
        </is>
      </c>
      <c r="I167" s="171" t="inlineStr">
        <is>
          <t>HOW OFTEN IT CO-OCCURS
▸  Rate not stated in source — check before quoting.</t>
        </is>
      </c>
      <c r="J167" s="171" t="inlineStr">
        <is>
          <t>HOW IT PRESENTS WHEN IT CO-OCCURS
▸  very common and bidirectional. Always ask; a child sleeping six hours will screen positive on everything.</t>
        </is>
      </c>
      <c r="K167" s="171" t="inlineStr">
        <is>
          <t>THE RISK
▸  Do not assume the primary diagnosis explains this.
▸  Write down before you start what the primary diagnosis does NOT explain, then assess that.
▸  Diagnostic overshadowing is the single most common error in co-occurring presentations.</t>
        </is>
      </c>
      <c r="L167" s="171" t="inlineStr">
        <is>
          <t>—</t>
        </is>
      </c>
      <c r="M167" s="171" t="inlineStr">
        <is>
          <t>—</t>
        </is>
      </c>
      <c r="N167" s="171" t="inlineStr">
        <is>
          <t>—</t>
        </is>
      </c>
      <c r="O167" s="171" t="inlineStr">
        <is>
          <t>ASSESS
▸  Assess this separately, with its own measures.
▸  Build the case for each condition independently rather than letting evidence for one carry the other.</t>
        </is>
      </c>
      <c r="P167" s="171" t="inlineStr">
        <is>
          <t>DO
▸  State in the report what would be needed to establish this second presentation.
▸  That is often a referral rather than a conclusion you can reach yourself.</t>
        </is>
      </c>
      <c r="Q167" s="171" t="inlineStr">
        <is>
          <t>—</t>
        </is>
      </c>
      <c r="R167" s="171" t="inlineStr">
        <is>
          <t>—</t>
        </is>
      </c>
      <c r="S167" s="171" t="inlineStr">
        <is>
          <t>YOUR PRACTICE
▸  Bring it to supervision: for each child on my caseload with this diagnosis, what has NOT been assessed because the diagnosis was already there?</t>
        </is>
      </c>
      <c r="T167" s="171" t="inlineStr">
        <is>
          <t>WHAT TO DO NEXT
▸  Assess separately, then refer if the threshold is met.</t>
        </is>
      </c>
      <c r="U167" s="171" t="inlineStr">
        <is>
          <t>WHERE THE EVIDENCE GOES
▸  Psychological report — state the co-occurrence and what it changes.</t>
        </is>
      </c>
      <c r="V167" s="171" t="inlineStr">
        <is>
          <t>—</t>
        </is>
      </c>
    </row>
    <row r="168" ht="408.75" customHeight="1" s="128">
      <c r="A168" s="210" t="inlineStr">
        <is>
          <t>PRESENTATION</t>
        </is>
      </c>
      <c r="B168" s="210" t="inlineStr">
        <is>
          <t>1. Assessment</t>
        </is>
      </c>
      <c r="C168" s="170" t="inlineStr">
        <is>
          <t>Special Setting (class or school)</t>
        </is>
      </c>
      <c r="D168" s="210" t="inlineStr">
        <is>
          <t>SYMPTOM-ONLY</t>
        </is>
      </c>
      <c r="E168" s="211" t="inlineStr">
        <is>
          <t>Presentations related to ADHD — no diagnosis</t>
        </is>
      </c>
      <c r="F168" s="210" t="inlineStr">
        <is>
          <t>No DSM code</t>
        </is>
      </c>
      <c r="G168" s="210" t="inlineStr">
        <is>
          <t>YES — these present at every band</t>
        </is>
      </c>
      <c r="H168" s="170" t="inlineStr">
        <is>
          <t>WHERE THIS SITS
▸  NEPS category: as above
▸  UCD competency: 1. Assessment
▸  CORU: 3.1 · 3.2 · 5.28 · 5.29 · 5.30 · 5.31 · 5.32
▸  PSI: 2.2.2 · 2.3.1 · 1.3.1 · 1.2.8</t>
        </is>
      </c>
      <c r="I168" s="170" t="inlineStr">
        <is>
          <t>THE PRESENTATIONS — no diagnosis needed, and most referrals look like this
▸  Working memory difficulty
▸  Inhibition difficulty
▸  Task initiation difficulty
▸  Motivation and engagement with work
▸  Work rate and pace of output
▸  Organisation of materials, books and equipment
▸  Homework completion and follow-through
▸  Fatigue, sleep and time-of-day effects on attention</t>
        </is>
      </c>
      <c r="J168" s="170" t="inlineStr">
        <is>
          <t>HOW COMMON
▸  No prevalence figures exist for these — they are descriptions, not categories.
▸  They are more common than the diagnosis they sit beside.</t>
        </is>
      </c>
      <c r="K168" s="170" t="inlineStr">
        <is>
          <t>THE PATHWAY
▸  No diagnostic pathway. Nobody diagnoses these.
▸  You describe them, formulate around them, and recommend. That is the whole pathway.
▸  If a parent asks who diagnoses it: nobody. Say that plainly, and say it does not make the difficulty less real or less workable.</t>
        </is>
      </c>
      <c r="L168" s="170" t="inlineStr">
        <is>
          <t>WHAT YOU SEE
▸  These are what the referral form actually describes in Section 5.
▸  Look for the pattern across settings rather than a threshold.</t>
        </is>
      </c>
      <c r="M168" s="170" t="inlineStr">
        <is>
          <t>RED FLAGS
▸  Escalating distress, withdrawal or risk indicators — follow the protocol regardless of whether a diagnosis exists.
▸  Do not let the absence of a diagnosis delay a safeguarding response.</t>
        </is>
      </c>
      <c r="N168" s="170" t="inlineStr">
        <is>
          <t>WHAT ELSE COULD IT BE
▸  Each of these can be the visible edge of the diagnosed condition above.
▸  Each can also occur entirely on its own.
▸  Test the sequence: which came first?</t>
        </is>
      </c>
      <c r="O168" s="170" t="inlineStr">
        <is>
          <t>ASSESS
▸  Observation with a comparison peer.
▸  Teacher and parent interview.
▸  Pupil interview — their account is the evidence here.
▸  Rating scales describe perception, not the presentation itself.</t>
        </is>
      </c>
      <c r="P168" s="170" t="inlineStr">
        <is>
          <t>DO
▸  Name the presentation precisely rather than reaching for a label.
▸  Recommend at the level of the behaviour, not the hypothetical diagnosis.
▸  Specify what, who, how often, for how long, and how it will be measured.
▸  Name the Continuum of Support level.</t>
        </is>
      </c>
      <c r="Q168" s="170" t="inlineStr">
        <is>
          <t>EXPLAIN
▸  To a parent: “There isn’t a diagnosis for this, and it’s still real and still workable. Here’s what we do.”
▸  To a teacher: describe the behaviour in countable terms, not in trait terms.
▸  To the child: ask what helps, and use their words in the report.</t>
        </is>
      </c>
      <c r="R168" s="170" t="inlineStr">
        <is>
          <t>CHILD’S VOICE AND QUESTIONS
▸  Talking Mats · Blob Tree · scaling on a drawn ladder · sentence completion · day mapping.
▸  Q: “So there’s nothing wrong with him?” A: “There’s a real difficulty and it doesn’t have a label. Labels help get resources; they don’t make a difficulty more or less real.”
▸  Q: “Should we get him assessed privately?” A: give the honest position on what a diagnosis would and would not change here.</t>
        </is>
      </c>
      <c r="S168" s="170" t="inlineStr">
        <is>
          <t>YOUR PRACTICE
▸  Bring a case where you were pulled toward a label the data did not support.
▸  Reflect: did I describe, or did I reach? Whose language did I use?</t>
        </is>
      </c>
      <c r="T168" s="170" t="inlineStr">
        <is>
          <t>WHAT TO DO NEXT
▸  Proceed to formulation. These belong at the behavioural level of the Interactive Factors Framework.
▸  Test whether an unmet learning need is underneath before concluding anything.</t>
        </is>
      </c>
      <c r="U168" s="170" t="inlineStr">
        <is>
          <t>WHERE THE EVIDENCE GOES
▸  Psychological report
▸  Appendix 5 entry
▸  Log sheet</t>
        </is>
      </c>
      <c r="V168" s="170" t="inlineStr">
        <is>
          <t>CITATIONS
▸  Frederickson &amp; Cline (2009)
▸  Monsen &amp; Frederickson (2008)
▸  NEPS Continuum of Support</t>
        </is>
      </c>
    </row>
    <row r="169" ht="408.75" customHeight="1" s="128">
      <c r="A169" s="205" t="inlineStr">
        <is>
          <t>CONDITION</t>
        </is>
      </c>
      <c r="B169" s="205" t="inlineStr">
        <is>
          <t>1. Assessment</t>
        </is>
      </c>
      <c r="C169" s="206" t="inlineStr">
        <is>
          <t>Special Setting (class or school)</t>
        </is>
      </c>
      <c r="D169" s="205" t="inlineStr">
        <is>
          <t>DIAGNOSED</t>
        </is>
      </c>
      <c r="E169" s="206" t="inlineStr">
        <is>
          <t>General Learning Disability (GLD) / Intellectual Disability</t>
        </is>
      </c>
      <c r="F169" s="205" t="inlineStr">
        <is>
          <t>DSM-5-TR Intellectual Developmental Disorder · ICD-11 6A00 · Irish education: mild / moderate / severe-profound GLD</t>
        </is>
      </c>
      <c r="G169" s="205" t="inlineStr">
        <is>
          <t>YES</t>
        </is>
      </c>
      <c r="H169" s="207" t="inlineStr">
        <is>
          <t>WHERE THIS SITS
▸  NEPS referral form category: 1. LEARNING (1.3 Comprehension and general ability)
▸  UCD competency: 1. Assessment
▸  CORU: 3.1 · 3.2 · 5.28 · 5.29 · 5.30 · 5.31 · 5.32
▸  PSI: 2.2.2 · 2.3.1 · 1.3.1 · 1.2.8
▸  Law and policy: Children First Act 2015 · EPSEN Act 2004 · Equal Status Acts 2000–2018 · GDPR</t>
        </is>
      </c>
      <c r="I169" s="207" t="inlineStr">
        <is>
          <t>WHAT IT IS, AND WHAT IT IS NOT
▸  Defined by THREE criteria, all of which must be met (APA, 2022): (a) deficits in intellectual functioning confirmed by clinical assessment and standardised testing; (b) deficits in ADAPTIVE functioning across conceptual, social and practical domains; (c) onset during the developmental period.
▸  CRITICAL POINT: DSM-5 moved severity from IQ score to ADAPTIVE FUNCTIONING. Severity is determined by adaptive functioning, not by IQ. Many practitioners have not updated this.
▸  Irish education uses mild (approx. IQ 50–70), moderate (35–49), severe/profound (below 35) GLD as categories for resource allocation. These bands are administrative, not diagnostic.
▸  Borderline intellectual functioning (roughly 70–79) is NOT intellectual disability, has no category, and often receives no resource — while having substantial educational impact. It is a DSM-5-TR V-code.
▸  Onset in the developmental period is essential. An acquired difficulty after a brain injury is a different diagnosis.
▸  NOT the same as a specific learning difficulty. Dyslexia is a SPECIFIC difficulty against an otherwise typical profile; GLD is a GENERAL difficulty across domains. Parents and teachers confuse these constantly.
▸  NOT fixed and unchangeable. Adaptive functioning improves with teaching and support; that is the whole point of measuring it separately.
▸  NOT determined by an IQ number alone. Diagnosing on IQ without adaptive assessment is incorrect under current criteria.
▸  NOT a predictor of quality of life, relationships or employment. Support and opportunity predict those.
▸  NOT 'mental handicap', 'retardation' or any historical term. Do not use them, including when quoting older reports without flagging it.</t>
        </is>
      </c>
      <c r="J169" s="207" t="inlineStr">
        <is>
          <t>HOW COMMON AT THIS AGE
▸  OVERALL: around 1% of the population internationally (Maulik et al., 2011, meta-analysis), with mild ID accounting for the large majority.
▸  IRELAND: the National Intellectual Disability Database (NIDD), run by the Health Research Board, is the authoritative Irish source. Check the current annual report.
▸  SOCIOECONOMIC GRADIENT: mild ID is strongly associated with socioeconomic disadvantage, which is a reason for caution about attribution and for assessing opportunity as well as ability.
▸  AT OTHER AGES (for context): MILD GLD is the largest group by far and the most likely to be identified late, because the profile is less visibly distinct in early years. · MODERATE, SEVERE AND PROFOUND are usually identified in the early years, often through the CDNT rather than through school. · EARLY YEARS 0–5 · SCHOOL AGE 6–12 · ADOLESCENT AND ADULT</t>
        </is>
      </c>
      <c r="K169" s="207" t="inlineStr">
        <is>
          <t>THE PATHWAY AND THE TIMELINE
▸ TYPICAL AGE OF IDENTIFICATION, AND WHY THEN
   Moderate to profound: usually identified in the first three years, often through the Public Health Nurse or paediatrics, because developmental milestones are visibly delayed. Mild GLD: typically 6–9, because the profile is not visibly distinct until curriculum demands outpace the child. Under 5 the term used is Global Developmental Delay, because cognitive profiles are unstable and a formal ID diagnosis would be unreliable.
▸ WHO DIAGNOSES IT
   CDNT, or clinical psychology within disability services. Requires both a cognitive assessment and an adaptive assessment — neither alone is sufficient under current criteria. An educational psychologist identifies the educational profile and its implications; the diagnosis sits with the clinical team.
▸ WHO COULD HAVE WRITTEN THE REPORT IN FRONT OF YOU
   CDNT psychologist. Paediatrician. Assessment of Need report. An older NEPS report identifying 'general learning disability' for resource purposes — which is an educational categorisation, not a clinical diagnosis. Know which you are reading.
▸ WHO YOU REFER TO
   CDNT for diagnosis and adaptive support. SLT for communication. OT for motor and self-care. SENO for placement and resource. Adult disability services from 16 for transition.
▸ 'SHOULD WE HAVE COME SOONER?'
   For mild GLD: 'No. It usually isn't visible until the work gets harder than she can manage, and that's around now. Coming earlier wouldn't have shown anything different.' For moderate or above identified late: that is unusual and worth exploring gently — but frame it as a gap in the system, and check what was actually done rather than assuming.</t>
        </is>
      </c>
      <c r="L169" s="207" t="inlineStr">
        <is>
          <t>WHAT YOU SEE AT THIS AGE
▸  Adaptive profile against the setting curriculum is usually more informative than any IQ.
▸  EARLY YEARS 0–5: identified through developmental delay. Griffiths III or Bayley-4 via CDNT, Vineland-3 or ABAS-3. Diagnosis is often deferred — 'global developmental delay' is used under 5 because profiles are unstable.
▸  SCHOOL AGE 6–12: WISC-V plus an adaptive measure plus attainment. Both criteria must be assessed. Use GAI where index scatter exceeds 23 points.
▸  ADOLESCENT 13–16: the question shifts to curriculum route (L1LP/L2LP) and to transition. Adaptive assessment becomes more important than cognitive.
▸  YOUNG ADULT 17–26: WAIS-IV and ABAS-3 adult form for adult service eligibility. Functional and vocational focus.
▸  SPECIAL SETTING: adaptive profile against the setting curriculum is usually more informative than any IQ.</t>
        </is>
      </c>
      <c r="M169" s="207" t="inlineStr">
        <is>
          <t>RED FLAGS AND BOUNDARIES
▸  RED FLAG — regression or loss of skills. Urgent medical referral.
▸  RED FLAG — safeguarding. Children and adults with intellectual disability are at substantially elevated risk of abuse and are less likely to be believed. Take any concern seriously and follow the protocol immediately.
▸  RED FLAG — a large gap between cognitive and adaptive scores. Consider opportunity, over-support, or an underestimating cognitive assessment. Do not average them.
▸  BOUNDARY — diagnosis sits with the CDNT or clinical services. You assess and describe; you do not diagnose.
▸  DIAGNOSTIC OVERSHADOWING — mental health difficulties in people with intellectual disability are routinely missed because distress is read as part of the disability.</t>
        </is>
      </c>
      <c r="N169" s="207" t="inlineStr">
        <is>
          <t>WHAT ELSE COULD IT BE, AND WHAT CO-OCCURS
▸  MENTAL HEALTH DIFFICULTY — substantially elevated across all conditions. PRESENTS AS: behaviour change. Diagnostic overshadowing is severe here; distress is read as part of the disability and goes untreated. This is the single most important co-occurrence to hold in mind.
▸  AUTISM — around a third of people with ID. PRESENTS AS: social communication differences on top of the learning profile. Assess separately.
▸  ADHD — elevated. PRESENTS AS: attention difficulty that may simply be work pitched above the child's level. Rule that out first.
▸  EPILEPSY — strongly elevated, particularly at moderate to profound levels. Medical; note and refer.
▸  COMMUNICATION DIFFICULTY — very common and often the real barrier. SLT involvement is usually more useful than more cognitive assessment.
▸  PHYSICAL AND SENSORY IMPAIRMENT — elevated, particularly in genetic syndromes. Always check vision and hearing before attributing anything to cognition.
▸  SPECIFIC LEARNING DIFFICULTY — can co-occur. A child with GLD whose reading is far below even their own cognitive level has something additional going on.
▸  SLEEP AND FEEDING DIFFICULTIES — common, under-asked-about, and they change the whole presentation.</t>
        </is>
      </c>
      <c r="O169" s="207" t="inlineStr">
        <is>
          <t>TOOLS VALID AT THIS BAND
▸  Leiter-3 — AGE 3:0–75:11
     MEASURES: Non-verbal ability without spoken instruction.
     CANNOT TELL YOU: Verbal reasoning. Often the only accessible cognitive measure in a special setting.
     TIME: 45 min
▸  Adaptive measure in place of IQ — AGE any
     MEASURES: Vineland-3 or ABAS-3.
     CANNOT TELL YOU: Nothing an IQ would add for planning — in special settings the adaptive profile is usually the more useful document.
     TIME: 20–60 min
▸  Vineland-3 / ABAS-3 — AGE full range
     MEASURES: Adaptive functioning against the setting's own curriculum (L1LP / L2LP).
     CANNOT TELL YOU: Progress against mainstream norms, which is rarely the right comparison here.
     TIME: 20–60 min
▸  Communication Matrix / AAC review — AGE any
     MEASURES: Current communication mode and its consistency across staff.
     CANNOT TELL YOU: Whether the system suits the pupil — that needs SLT.
     TIME: varies</t>
        </is>
      </c>
      <c r="P169" s="207" t="inlineStr">
        <is>
          <t>WHAT YOU DO, AND WHAT YOU WRITE
▸  PITCH THE CURRICULUM TO THE CHILD, NOT THE CLASS. This is the recommendation that matters most and the one schools find hardest. Say the level explicitly.
▸  TEACH TO MASTERY with more repetition, in more contexts, over a longer period, before moving on.
▸  PLAN FOR GENERALISATION EXPLICITLY. Something learned in the SET room will not transfer to the classroom unless it is taught there too.
▸  CONCRETE BEFORE PICTORIAL BEFORE ABSTRACT, and do not rush the concrete stage.
▸  ADAPTIVE SKILLS ARE CURRICULUM. Dressing, money, time, safety, travel. For post-primary, this is more important than academic content.
▸  REDUCE LANGUAGE LOAD in instructions; check comprehension by asking for a demonstration rather than a yes.
▸  CURRICULUM ROUTE at post-primary: consider L1LP or L2LP and raise it early, not in sixth year.
▸  TRANSITION PLANNING from at least 14. Adult services have different thresholds and long lead times.
▸  WATCH FOR OVER-SUPPORT. An SNA doing the task is not the child learning the task. Build fading into the plan.
▸  CONTINUUM LEVEL: usually School Support Plus with outside involvement. Name it and justify it.
▸  REFER: CDNT for diagnosis and adaptive support; SLT for communication; OT where motor or self-care; SENO for placement and resource.</t>
        </is>
      </c>
      <c r="Q169" s="207" t="inlineStr">
        <is>
          <t>EXPLAIN
▸  TO A PARENT
▸  'A general learning disability means learning is harder across most areas, not just one. It affects how quickly new things are learned and how much repetition and support is needed.'
▸  'It's about two things together: how she reasons and problem-solves, and how she manages everyday things — dressing, money, keeping safe, getting along with others. We look at both, because the everyday side is what actually matters day to day.'
▸  'It's been there from early on. We're identifying it now; it hasn't started now.'
▸  'It doesn't tell us what she'll be able to do. It tells us how she learns best and how much support she needs while she's learning. Those are different questions.'
▸  IF THEY ASK ABOUT THE FUTURE: be honest and specific. 'I can tell you what the next two years should look like. I can't tell you about twenty years, and anyone who does is guessing.'
▸  SIGNPOST: the CDNT, Inclusion Ireland, Down Syndrome Ireland where relevant, and the SENO for placement questions.
▸  TO A TEACHER
▸  'Learning is slower across the board rather than in one area, so differentiation needs to be about level and pace, not just about extra time.'
▸  'Start from the adaptive profile as much as the cognitive one. If she can't yet follow a three-step instruction, that's the ceiling for how instructions should be given, regardless of the topic.'
▸  'More repetition, in more contexts, with more concrete materials, and longer before moving on. The curriculum level has to match where she is, not where the class is.'
▸  'Generalisation is the key difficulty. Something learned in one setting often doesn't transfer. Plan to teach it again in the place it's needed.'
▸  'Check for the L1LP and L2LP options at post-primary — the curriculum route matters more than the hours.'
▸  TO THE CHILD
▸  'Everyone learns at their own speed. You learn best when things are broken into smaller steps and when you get to practise lots of times. That's just how your brain works best.'
▸  Focus on HOW they learn, not on a label or a level. Children rarely benefit from being told an IQ band.
▸  'What are you good at?' first. Then 'what's the trickiest bit of school?' Then 'what helps when it's tricky?'
▸  Be honest if asked directly: 'Some things take you longer than other people, and that's true. It doesn't say anything about how good you are at being you.'
▸  Check what they have overheard. Children often know the word 'disability' has been used and have no idea what it means.
▸  ANALOGIES
▸  THE ROAD, NOT THE DESTINATION: 'Everyone's travelling the same road. Some people are in a faster car. It doesn't change where the road goes — it changes how many stops you make.' Good with parents; avoids implying a ceiling.
▸  BUILDING WITH SMALLER BRICKS: 'If most people build with big blocks, she's building with smaller ones. She'll build the same wall — it takes more bricks and more time, and it's just as solid.' Good for explaining repetition to teachers.
▸  THE TORCH VERSUS THE FLOODLIGHT (specific vs general): 'A specific learning difficulty is like one light being out in a room. A general learning disability is the whole room being dimmer.' Useful for the confusion parents most often have.
▸  CAUTION: avoid any analogy implying a fixed limit. Adaptive functioning is modifiable and the analogy should not say otherwise.
▸  LANGUAGE
▸  In Ireland, 'general learning disability' is the education term; 'intellectual disability' is the health and diagnostic term. You will meet both. Use the one the setting uses and define it once.
▸  Inclusion Ireland and self-advocacy organisations favour 'person with an intellectual disability' — person-first is the majority preference in this community, which is the opposite of the autism position. Do not generalise across conditions.
▸  Never: 'mental handicap', 'retardation', 'low-functioning', 'mentally disabled'.
▸  Avoid stating an IQ number in a report where a description would do the same work. Numbers get repeated out of context for years.</t>
        </is>
      </c>
      <c r="R169" s="207" t="inlineStr">
        <is>
          <t>THE CHILD’S VOICE, AND THE QUESTIONS
▸  TALKING MATS — strong evidence base specifically with people with intellectual disability. Good because it reduces the language demand of being consulted. → https://www.talkingmats.com/
▸  ONE-PAGE PROFILE — strengths-first, transfers with the child between settings. Good because staff actually read one page.
▸  PATH / MAPS — person-centred transition planning, graphic. Good for school leavers because it starts from the young person's preferred future.
▸  PHOTO-ELICITATION — the young person photographs what matters to them and talks from the photos. Good because it removes the need to generate content verbally on the spot.
▸  INCLUSION IRELAND easy-read materials — Irish, self-advocacy led. Good because easy-read is a genuine accessibility standard, not a simplification. → https://inclusionireland.ie/
▸  PREFERENCE ASSESSMENT (structured choice-making) — systematic presentation of options to establish what the person actually prefers. Good where verbal report is not available; it is the ethical alternative to assuming.
▸  QUESTIONS YOU WILL BE ASKED
▸  Q: 'What's her IQ?' — A: 'I can tell you the range, but I'd rather tell you what it means, because the number on its own is easy to misread. What it tells us is [describe]. What matters more day to day is how she manages everyday tasks, and that's the other half of the assessment.'
▸  Q: 'Will she catch up?' — A: 'She'll keep learning and keep making progress. The gap with her peers is likely to stay, and that's what the word 'disability' is describing. What changes is how much she can do independently, and that does improve a lot with the right teaching.'
▸  Q: 'Is this the same as dyslexia?' — A: 'No. Dyslexia is a specific difficulty — one area that's much harder than everything else. This is more general, affecting learning across most areas. Different profile, different supports.'
▸  Q: 'Will she go to a normal school?' — A: 'Most children with a general learning disability are in mainstream, and plenty are in special classes or special schools. It's a question of which setting can give her what she needs, not a question of category. I can walk you through what each looks like.'
▸  Q: 'Will she be able to live independently / get a job?' — A: 'Honestly, I can't tell you that from an assessment at eight. What I can tell you is what she needs over the next two years, and that the adaptive skills we work on now are exactly the ones that matter for that question later.'
▸  Q: 'Did I cause this?' — A: 'No. It's present from early development. There are lots of causes and in many cases we never identify one.'
▸  Q: 'The school says she's fine.' — A: 'She may well be coping, and coping and learning aren't the same thing. What I'm looking at is whether the work she's given is at the level she can actually access.'</t>
        </is>
      </c>
      <c r="S169" s="207" t="inlineStr">
        <is>
          <t>YOUR PRACTICE
▸  SUPERVISION
▸  Bring the report and ask: does this read as a description of a person or of a score?
▸  Ask how your supervisor answers the 'what will she be able to do?' question, in their actual words.
▸  Raise the gap between the education categories (mild/moderate/severe) and the diagnostic criteria, and how your service handles it.
▸  Discuss borderline intellectual functioning — children who fall between the categories and receive nothing. What does your service do?
▸  Ask about placement conversations specifically: how do you frame special class or special school as a question of fit rather than of category?
▸  Bring any case where the cognitive and adaptive profiles diverged sharply and ask how to write that.
▸  REFLECTION
▸  ON LANGUAGE — Did I check which term this family uses before I used one? Education says 'general learning disability', health says 'intellectual disability', and self-advocacy organisations favour person-first. Which did I use and did I decide or default?
▸  ON THE NUMBER — Did I state an IQ score where a description would have done the same work? Numbers get repeated out of context for years. Was it necessary?
▸  ON ADAPTIVE FUNCTIONING — Did I give it equal weight to the cognitive assessment, or did I treat it as the supporting document? Current criteria determine severity by adaptive functioning, not IQ. Did my report reflect that?
▸  ON THE FUTURE QUESTION — When the parent asked what this means for adulthood, what did I actually say? Did I stay within what is knowable, or did I reassure beyond the evidence?
▸  ON THE TEACHER CONVERSATION — Did I explain the difference between general and specific learning difficulty clearly enough that they could explain it to someone else? That confusion is the most common one in schools.
▸  ON MY OWN ASSUMPTIONS about what this child's life will be like. Name them. They shape what you recommend.
▸  WHAT GOOD LOOKS LIKE: 'I realised afterwards that I had described her almost entirely through the cognitive assessment, and the adaptive profile — which is where her actual strengths were — got two lines. I have rewritten the summary to lead with what she can do independently.'
▸  WHAT POOR LOOKS LIKE: 'The assessment confirmed a mild general learning disability and recommendations were made.' — no reflection, no register, nothing about how it was received.</t>
        </is>
      </c>
      <c r="T169" s="207" t="inlineStr">
        <is>
          <t>WHAT TO DO NEXT
▸  Proceed to FORMULATION using a named framework — Monsen, Interactive Factors, COMOIRA or Carr.
▸  If a learning need may be driving the presentation, proceed to attainment assessment before concluding.
▸  If risk or safeguarding emerged, none of the above — follow the protocol and tell your supervisor the same day.
▸  If the referral question is not answered by what you found, go back and renegotiate it.</t>
        </is>
      </c>
      <c r="U169" s="207" t="inlineStr">
        <is>
          <t>WHERE THE EVIDENCE GOES
▸  Psychological report
▸  Appendix 5 entry tagged 1. Assessment
▸  Appendix 7 if observed
▸  Table 3 — Special Setting
▸  Log sheet — tag the referral area and the competency</t>
        </is>
      </c>
      <c r="V169" s="207" t="inlineStr">
        <is>
          <t>CITATIONS
▸  American Psychiatric Association (2022). DSM-5-TR — Intellectual Developmental Disorder.
▸  Tassé, M. J., et al. (2012). The construct of adaptive behavior: Its conceptualization, measurement, and use. American Journal on Intellectual and Developmental Disabilities, 117(4), 291–303.
▸  Schalock, R. L., et al. (2021). Intellectual Disability: Definition, Diagnosis, Classification, and Systems of Supports (12th ed.). AAIDD.
▸  NCSE (Ireland) — policy advice and guidance on students with general learning disabilities.
▸  NCCA — Level 1 and Level 2 Learning Programmes.
▸  Burgess, A., et al. (2024). Clinical utility and psychometric properties of tools for early detection of developmental concerns. DMCN.</t>
        </is>
      </c>
    </row>
    <row r="170" ht="169.5" customHeight="1" s="128">
      <c r="A170" s="208" t="inlineStr">
        <is>
          <t>CO-OCCURRING</t>
        </is>
      </c>
      <c r="B170" s="208" t="inlineStr">
        <is>
          <t>1. Assessment</t>
        </is>
      </c>
      <c r="C170" s="171" t="inlineStr">
        <is>
          <t>Special Setting (class or school)</t>
        </is>
      </c>
      <c r="D170" s="208" t="inlineStr">
        <is>
          <t>CO-OCCURS WITH GENERAL LEARNING DISABILITY (GLD)</t>
        </is>
      </c>
      <c r="E170" s="209" t="inlineStr">
        <is>
          <t>MENTAL HEALTH DIFFICULTY</t>
        </is>
      </c>
      <c r="F170" s="208" t="inlineStr">
        <is>
          <t>see its own entry</t>
        </is>
      </c>
      <c r="G170" s="208" t="inlineStr">
        <is>
          <t>YES — assess separately</t>
        </is>
      </c>
      <c r="H170" s="171" t="inlineStr">
        <is>
          <t>WHERE THIS SITS
▸  Sits under 1. Assessment, alongside General Learning Disability (GLD).
▸  NEPS category: 1. LEARNING (1.3 Comprehension and general ability)</t>
        </is>
      </c>
      <c r="I170" s="171" t="inlineStr">
        <is>
          <t>HOW OFTEN IT CO-OCCURS
▸  substantially elevated across all conditions.</t>
        </is>
      </c>
      <c r="J170" s="171" t="inlineStr">
        <is>
          <t>HOW IT PRESENTS WHEN IT CO-OCCURS
▸  behaviour change. Diagnostic overshadowing is severe here; distress is read as part of the disability and goes untreated. This is the single most important co-occurrence to hold in mind.</t>
        </is>
      </c>
      <c r="K170" s="171" t="inlineStr">
        <is>
          <t>THE RISK
▸  Do not assume the primary diagnosis explains this.
▸  Write down before you start what the primary diagnosis does NOT explain, then assess that.
▸  Diagnostic overshadowing is the single most common error in co-occurring presentations.</t>
        </is>
      </c>
      <c r="L170" s="171" t="inlineStr">
        <is>
          <t>—</t>
        </is>
      </c>
      <c r="M170" s="171" t="inlineStr">
        <is>
          <t>—</t>
        </is>
      </c>
      <c r="N170" s="171" t="inlineStr">
        <is>
          <t>—</t>
        </is>
      </c>
      <c r="O170" s="171" t="inlineStr">
        <is>
          <t>ASSESS
▸  Assess this separately, with its own measures.
▸  Build the case for each condition independently rather than letting evidence for one carry the other.</t>
        </is>
      </c>
      <c r="P170" s="171" t="inlineStr">
        <is>
          <t>DO
▸  State in the report what would be needed to establish this second presentation.
▸  That is often a referral rather than a conclusion you can reach yourself.</t>
        </is>
      </c>
      <c r="Q170" s="171" t="inlineStr">
        <is>
          <t>—</t>
        </is>
      </c>
      <c r="R170" s="171" t="inlineStr">
        <is>
          <t>—</t>
        </is>
      </c>
      <c r="S170" s="171" t="inlineStr">
        <is>
          <t>YOUR PRACTICE
▸  Bring it to supervision: for each child on my caseload with this diagnosis, what has NOT been assessed because the diagnosis was already there?</t>
        </is>
      </c>
      <c r="T170" s="171" t="inlineStr">
        <is>
          <t>WHAT TO DO NEXT
▸  Assess separately, then refer if the threshold is met.</t>
        </is>
      </c>
      <c r="U170" s="171" t="inlineStr">
        <is>
          <t>WHERE THE EVIDENCE GOES
▸  Psychological report — state the co-occurrence and what it changes.</t>
        </is>
      </c>
      <c r="V170" s="171" t="inlineStr">
        <is>
          <t>—</t>
        </is>
      </c>
    </row>
    <row r="171" ht="169.5" customHeight="1" s="128">
      <c r="A171" s="208" t="inlineStr">
        <is>
          <t>CO-OCCURRING</t>
        </is>
      </c>
      <c r="B171" s="208" t="inlineStr">
        <is>
          <t>1. Assessment</t>
        </is>
      </c>
      <c r="C171" s="171" t="inlineStr">
        <is>
          <t>Special Setting (class or school)</t>
        </is>
      </c>
      <c r="D171" s="208" t="inlineStr">
        <is>
          <t>CO-OCCURS WITH GENERAL LEARNING DISABILITY (GLD)</t>
        </is>
      </c>
      <c r="E171" s="209" t="inlineStr">
        <is>
          <t>AUTISM</t>
        </is>
      </c>
      <c r="F171" s="208" t="inlineStr">
        <is>
          <t>see its own entry</t>
        </is>
      </c>
      <c r="G171" s="208" t="inlineStr">
        <is>
          <t>YES — assess separately</t>
        </is>
      </c>
      <c r="H171" s="171" t="inlineStr">
        <is>
          <t>WHERE THIS SITS
▸  Sits under 1. Assessment, alongside General Learning Disability (GLD).
▸  NEPS category: 1. LEARNING (1.3 Comprehension and general ability)</t>
        </is>
      </c>
      <c r="I171" s="171" t="inlineStr">
        <is>
          <t>HOW OFTEN IT CO-OCCURS
▸  around a third of people with ID.</t>
        </is>
      </c>
      <c r="J171" s="171" t="inlineStr">
        <is>
          <t>HOW IT PRESENTS WHEN IT CO-OCCURS
▸  social communication differences on top of the learning profile. Assess separately.</t>
        </is>
      </c>
      <c r="K171" s="171" t="inlineStr">
        <is>
          <t>THE RISK
▸  Do not assume the primary diagnosis explains this.
▸  Write down before you start what the primary diagnosis does NOT explain, then assess that.
▸  Diagnostic overshadowing is the single most common error in co-occurring presentations.</t>
        </is>
      </c>
      <c r="L171" s="171" t="inlineStr">
        <is>
          <t>—</t>
        </is>
      </c>
      <c r="M171" s="171" t="inlineStr">
        <is>
          <t>—</t>
        </is>
      </c>
      <c r="N171" s="171" t="inlineStr">
        <is>
          <t>—</t>
        </is>
      </c>
      <c r="O171" s="171" t="inlineStr">
        <is>
          <t>ASSESS
▸  Assess this separately, with its own measures.
▸  Build the case for each condition independently rather than letting evidence for one carry the other.</t>
        </is>
      </c>
      <c r="P171" s="171" t="inlineStr">
        <is>
          <t>DO
▸  State in the report what would be needed to establish this second presentation.
▸  That is often a referral rather than a conclusion you can reach yourself.</t>
        </is>
      </c>
      <c r="Q171" s="171" t="inlineStr">
        <is>
          <t>—</t>
        </is>
      </c>
      <c r="R171" s="171" t="inlineStr">
        <is>
          <t>—</t>
        </is>
      </c>
      <c r="S171" s="171" t="inlineStr">
        <is>
          <t>YOUR PRACTICE
▸  Bring it to supervision: for each child on my caseload with this diagnosis, what has NOT been assessed because the diagnosis was already there?</t>
        </is>
      </c>
      <c r="T171" s="171" t="inlineStr">
        <is>
          <t>WHAT TO DO NEXT
▸  Assess separately, then refer if the threshold is met.</t>
        </is>
      </c>
      <c r="U171" s="171" t="inlineStr">
        <is>
          <t>WHERE THE EVIDENCE GOES
▸  Psychological report — state the co-occurrence and what it changes.</t>
        </is>
      </c>
      <c r="V171" s="171" t="inlineStr">
        <is>
          <t>—</t>
        </is>
      </c>
    </row>
    <row r="172" ht="169.5" customHeight="1" s="128">
      <c r="A172" s="208" t="inlineStr">
        <is>
          <t>CO-OCCURRING</t>
        </is>
      </c>
      <c r="B172" s="208" t="inlineStr">
        <is>
          <t>1. Assessment</t>
        </is>
      </c>
      <c r="C172" s="171" t="inlineStr">
        <is>
          <t>Special Setting (class or school)</t>
        </is>
      </c>
      <c r="D172" s="208" t="inlineStr">
        <is>
          <t>CO-OCCURS WITH GENERAL LEARNING DISABILITY (GLD)</t>
        </is>
      </c>
      <c r="E172" s="209" t="inlineStr">
        <is>
          <t>ADHD</t>
        </is>
      </c>
      <c r="F172" s="208" t="inlineStr">
        <is>
          <t>see its own entry</t>
        </is>
      </c>
      <c r="G172" s="208" t="inlineStr">
        <is>
          <t>YES — assess separately</t>
        </is>
      </c>
      <c r="H172" s="171" t="inlineStr">
        <is>
          <t>WHERE THIS SITS
▸  Sits under 1. Assessment, alongside General Learning Disability (GLD).
▸  NEPS category: 1. LEARNING (1.3 Comprehension and general ability)</t>
        </is>
      </c>
      <c r="I172" s="171" t="inlineStr">
        <is>
          <t>HOW OFTEN IT CO-OCCURS
▸  elevated.</t>
        </is>
      </c>
      <c r="J172" s="171" t="inlineStr">
        <is>
          <t>HOW IT PRESENTS WHEN IT CO-OCCURS
▸  attention difficulty that may simply be work pitched above the child's level. Rule that out first.</t>
        </is>
      </c>
      <c r="K172" s="171" t="inlineStr">
        <is>
          <t>THE RISK
▸  Do not assume the primary diagnosis explains this.
▸  Write down before you start what the primary diagnosis does NOT explain, then assess that.
▸  Diagnostic overshadowing is the single most common error in co-occurring presentations.</t>
        </is>
      </c>
      <c r="L172" s="171" t="inlineStr">
        <is>
          <t>—</t>
        </is>
      </c>
      <c r="M172" s="171" t="inlineStr">
        <is>
          <t>—</t>
        </is>
      </c>
      <c r="N172" s="171" t="inlineStr">
        <is>
          <t>—</t>
        </is>
      </c>
      <c r="O172" s="171" t="inlineStr">
        <is>
          <t>ASSESS
▸  Assess this separately, with its own measures.
▸  Build the case for each condition independently rather than letting evidence for one carry the other.</t>
        </is>
      </c>
      <c r="P172" s="171" t="inlineStr">
        <is>
          <t>DO
▸  State in the report what would be needed to establish this second presentation.
▸  That is often a referral rather than a conclusion you can reach yourself.</t>
        </is>
      </c>
      <c r="Q172" s="171" t="inlineStr">
        <is>
          <t>—</t>
        </is>
      </c>
      <c r="R172" s="171" t="inlineStr">
        <is>
          <t>—</t>
        </is>
      </c>
      <c r="S172" s="171" t="inlineStr">
        <is>
          <t>YOUR PRACTICE
▸  Bring it to supervision: for each child on my caseload with this diagnosis, what has NOT been assessed because the diagnosis was already there?</t>
        </is>
      </c>
      <c r="T172" s="171" t="inlineStr">
        <is>
          <t>WHAT TO DO NEXT
▸  Assess separately, then refer if the threshold is met.</t>
        </is>
      </c>
      <c r="U172" s="171" t="inlineStr">
        <is>
          <t>WHERE THE EVIDENCE GOES
▸  Psychological report — state the co-occurrence and what it changes.</t>
        </is>
      </c>
      <c r="V172" s="171" t="inlineStr">
        <is>
          <t>—</t>
        </is>
      </c>
    </row>
    <row r="173" ht="169.5" customHeight="1" s="128">
      <c r="A173" s="208" t="inlineStr">
        <is>
          <t>CO-OCCURRING</t>
        </is>
      </c>
      <c r="B173" s="208" t="inlineStr">
        <is>
          <t>1. Assessment</t>
        </is>
      </c>
      <c r="C173" s="171" t="inlineStr">
        <is>
          <t>Special Setting (class or school)</t>
        </is>
      </c>
      <c r="D173" s="208" t="inlineStr">
        <is>
          <t>CO-OCCURS WITH GENERAL LEARNING DISABILITY (GLD)</t>
        </is>
      </c>
      <c r="E173" s="209" t="inlineStr">
        <is>
          <t>EPILEPSY</t>
        </is>
      </c>
      <c r="F173" s="208" t="inlineStr">
        <is>
          <t>see its own entry</t>
        </is>
      </c>
      <c r="G173" s="208" t="inlineStr">
        <is>
          <t>YES — assess separately</t>
        </is>
      </c>
      <c r="H173" s="171" t="inlineStr">
        <is>
          <t>WHERE THIS SITS
▸  Sits under 1. Assessment, alongside General Learning Disability (GLD).
▸  NEPS category: 1. LEARNING (1.3 Comprehension and general ability)</t>
        </is>
      </c>
      <c r="I173" s="171" t="inlineStr">
        <is>
          <t>HOW OFTEN IT CO-OCCURS
▸  Rate not stated in source — check before quoting.</t>
        </is>
      </c>
      <c r="J173" s="171" t="inlineStr">
        <is>
          <t>HOW IT PRESENTS WHEN IT CO-OCCURS
▸  strongly elevated, particularly at moderate to profound levels. Medical; note and refer.</t>
        </is>
      </c>
      <c r="K173" s="171" t="inlineStr">
        <is>
          <t>THE RISK
▸  Do not assume the primary diagnosis explains this.
▸  Write down before you start what the primary diagnosis does NOT explain, then assess that.
▸  Diagnostic overshadowing is the single most common error in co-occurring presentations.</t>
        </is>
      </c>
      <c r="L173" s="171" t="inlineStr">
        <is>
          <t>—</t>
        </is>
      </c>
      <c r="M173" s="171" t="inlineStr">
        <is>
          <t>—</t>
        </is>
      </c>
      <c r="N173" s="171" t="inlineStr">
        <is>
          <t>—</t>
        </is>
      </c>
      <c r="O173" s="171" t="inlineStr">
        <is>
          <t>ASSESS
▸  Assess this separately, with its own measures.
▸  Build the case for each condition independently rather than letting evidence for one carry the other.</t>
        </is>
      </c>
      <c r="P173" s="171" t="inlineStr">
        <is>
          <t>DO
▸  State in the report what would be needed to establish this second presentation.
▸  That is often a referral rather than a conclusion you can reach yourself.</t>
        </is>
      </c>
      <c r="Q173" s="171" t="inlineStr">
        <is>
          <t>—</t>
        </is>
      </c>
      <c r="R173" s="171" t="inlineStr">
        <is>
          <t>—</t>
        </is>
      </c>
      <c r="S173" s="171" t="inlineStr">
        <is>
          <t>YOUR PRACTICE
▸  Bring it to supervision: for each child on my caseload with this diagnosis, what has NOT been assessed because the diagnosis was already there?</t>
        </is>
      </c>
      <c r="T173" s="171" t="inlineStr">
        <is>
          <t>WHAT TO DO NEXT
▸  Assess separately, then refer if the threshold is met.</t>
        </is>
      </c>
      <c r="U173" s="171" t="inlineStr">
        <is>
          <t>WHERE THE EVIDENCE GOES
▸  Psychological report — state the co-occurrence and what it changes.</t>
        </is>
      </c>
      <c r="V173" s="171" t="inlineStr">
        <is>
          <t>—</t>
        </is>
      </c>
    </row>
    <row r="174" ht="169.5" customHeight="1" s="128">
      <c r="A174" s="208" t="inlineStr">
        <is>
          <t>CO-OCCURRING</t>
        </is>
      </c>
      <c r="B174" s="208" t="inlineStr">
        <is>
          <t>1. Assessment</t>
        </is>
      </c>
      <c r="C174" s="171" t="inlineStr">
        <is>
          <t>Special Setting (class or school)</t>
        </is>
      </c>
      <c r="D174" s="208" t="inlineStr">
        <is>
          <t>CO-OCCURS WITH GENERAL LEARNING DISABILITY (GLD)</t>
        </is>
      </c>
      <c r="E174" s="209" t="inlineStr">
        <is>
          <t>COMMUNICATION DIFFICULTY</t>
        </is>
      </c>
      <c r="F174" s="208" t="inlineStr">
        <is>
          <t>see its own entry</t>
        </is>
      </c>
      <c r="G174" s="208" t="inlineStr">
        <is>
          <t>YES — assess separately</t>
        </is>
      </c>
      <c r="H174" s="171" t="inlineStr">
        <is>
          <t>WHERE THIS SITS
▸  Sits under 1. Assessment, alongside General Learning Disability (GLD).
▸  NEPS category: 1. LEARNING (1.3 Comprehension and general ability)</t>
        </is>
      </c>
      <c r="I174" s="171" t="inlineStr">
        <is>
          <t>HOW OFTEN IT CO-OCCURS
▸  Rate not stated in source — check before quoting.</t>
        </is>
      </c>
      <c r="J174" s="171" t="inlineStr">
        <is>
          <t>HOW IT PRESENTS WHEN IT CO-OCCURS
▸  very common and often the real barrier. SLT involvement is usually more useful than more cognitive assessment.</t>
        </is>
      </c>
      <c r="K174" s="171" t="inlineStr">
        <is>
          <t>THE RISK
▸  Do not assume the primary diagnosis explains this.
▸  Write down before you start what the primary diagnosis does NOT explain, then assess that.
▸  Diagnostic overshadowing is the single most common error in co-occurring presentations.</t>
        </is>
      </c>
      <c r="L174" s="171" t="inlineStr">
        <is>
          <t>—</t>
        </is>
      </c>
      <c r="M174" s="171" t="inlineStr">
        <is>
          <t>—</t>
        </is>
      </c>
      <c r="N174" s="171" t="inlineStr">
        <is>
          <t>—</t>
        </is>
      </c>
      <c r="O174" s="171" t="inlineStr">
        <is>
          <t>ASSESS
▸  Assess this separately, with its own measures.
▸  Build the case for each condition independently rather than letting evidence for one carry the other.</t>
        </is>
      </c>
      <c r="P174" s="171" t="inlineStr">
        <is>
          <t>DO
▸  State in the report what would be needed to establish this second presentation.
▸  That is often a referral rather than a conclusion you can reach yourself.</t>
        </is>
      </c>
      <c r="Q174" s="171" t="inlineStr">
        <is>
          <t>—</t>
        </is>
      </c>
      <c r="R174" s="171" t="inlineStr">
        <is>
          <t>—</t>
        </is>
      </c>
      <c r="S174" s="171" t="inlineStr">
        <is>
          <t>YOUR PRACTICE
▸  Bring it to supervision: for each child on my caseload with this diagnosis, what has NOT been assessed because the diagnosis was already there?</t>
        </is>
      </c>
      <c r="T174" s="171" t="inlineStr">
        <is>
          <t>WHAT TO DO NEXT
▸  Assess separately, then refer if the threshold is met.</t>
        </is>
      </c>
      <c r="U174" s="171" t="inlineStr">
        <is>
          <t>WHERE THE EVIDENCE GOES
▸  Psychological report — state the co-occurrence and what it changes.</t>
        </is>
      </c>
      <c r="V174" s="171" t="inlineStr">
        <is>
          <t>—</t>
        </is>
      </c>
    </row>
    <row r="175" ht="169.5" customHeight="1" s="128">
      <c r="A175" s="208" t="inlineStr">
        <is>
          <t>CO-OCCURRING</t>
        </is>
      </c>
      <c r="B175" s="208" t="inlineStr">
        <is>
          <t>1. Assessment</t>
        </is>
      </c>
      <c r="C175" s="171" t="inlineStr">
        <is>
          <t>Special Setting (class or school)</t>
        </is>
      </c>
      <c r="D175" s="208" t="inlineStr">
        <is>
          <t>CO-OCCURS WITH GENERAL LEARNING DISABILITY (GLD)</t>
        </is>
      </c>
      <c r="E175" s="209" t="inlineStr">
        <is>
          <t>PHYSICAL AND SENSORY IMPAIRMENT</t>
        </is>
      </c>
      <c r="F175" s="208" t="inlineStr">
        <is>
          <t>see its own entry</t>
        </is>
      </c>
      <c r="G175" s="208" t="inlineStr">
        <is>
          <t>YES — assess separately</t>
        </is>
      </c>
      <c r="H175" s="171" t="inlineStr">
        <is>
          <t>WHERE THIS SITS
▸  Sits under 1. Assessment, alongside General Learning Disability (GLD).
▸  NEPS category: 1. LEARNING (1.3 Comprehension and general ability)</t>
        </is>
      </c>
      <c r="I175" s="171" t="inlineStr">
        <is>
          <t>HOW OFTEN IT CO-OCCURS
▸  Rate not stated in source — check before quoting.</t>
        </is>
      </c>
      <c r="J175" s="171" t="inlineStr">
        <is>
          <t>HOW IT PRESENTS WHEN IT CO-OCCURS
▸  elevated, particularly in genetic syndromes. Always check vision and hearing before attributing anything to cognition.</t>
        </is>
      </c>
      <c r="K175" s="171" t="inlineStr">
        <is>
          <t>THE RISK
▸  Do not assume the primary diagnosis explains this.
▸  Write down before you start what the primary diagnosis does NOT explain, then assess that.
▸  Diagnostic overshadowing is the single most common error in co-occurring presentations.</t>
        </is>
      </c>
      <c r="L175" s="171" t="inlineStr">
        <is>
          <t>—</t>
        </is>
      </c>
      <c r="M175" s="171" t="inlineStr">
        <is>
          <t>—</t>
        </is>
      </c>
      <c r="N175" s="171" t="inlineStr">
        <is>
          <t>—</t>
        </is>
      </c>
      <c r="O175" s="171" t="inlineStr">
        <is>
          <t>ASSESS
▸  Assess this separately, with its own measures.
▸  Build the case for each condition independently rather than letting evidence for one carry the other.</t>
        </is>
      </c>
      <c r="P175" s="171" t="inlineStr">
        <is>
          <t>DO
▸  State in the report what would be needed to establish this second presentation.
▸  That is often a referral rather than a conclusion you can reach yourself.</t>
        </is>
      </c>
      <c r="Q175" s="171" t="inlineStr">
        <is>
          <t>—</t>
        </is>
      </c>
      <c r="R175" s="171" t="inlineStr">
        <is>
          <t>—</t>
        </is>
      </c>
      <c r="S175" s="171" t="inlineStr">
        <is>
          <t>YOUR PRACTICE
▸  Bring it to supervision: for each child on my caseload with this diagnosis, what has NOT been assessed because the diagnosis was already there?</t>
        </is>
      </c>
      <c r="T175" s="171" t="inlineStr">
        <is>
          <t>WHAT TO DO NEXT
▸  Assess separately, then refer if the threshold is met.</t>
        </is>
      </c>
      <c r="U175" s="171" t="inlineStr">
        <is>
          <t>WHERE THE EVIDENCE GOES
▸  Psychological report — state the co-occurrence and what it changes.</t>
        </is>
      </c>
      <c r="V175" s="171" t="inlineStr">
        <is>
          <t>—</t>
        </is>
      </c>
    </row>
    <row r="176" ht="169.5" customHeight="1" s="128">
      <c r="A176" s="208" t="inlineStr">
        <is>
          <t>CO-OCCURRING</t>
        </is>
      </c>
      <c r="B176" s="208" t="inlineStr">
        <is>
          <t>1. Assessment</t>
        </is>
      </c>
      <c r="C176" s="171" t="inlineStr">
        <is>
          <t>Special Setting (class or school)</t>
        </is>
      </c>
      <c r="D176" s="208" t="inlineStr">
        <is>
          <t>CO-OCCURS WITH GENERAL LEARNING DISABILITY (GLD)</t>
        </is>
      </c>
      <c r="E176" s="209" t="inlineStr">
        <is>
          <t>SPECIFIC LEARNING DIFFICULTY</t>
        </is>
      </c>
      <c r="F176" s="208" t="inlineStr">
        <is>
          <t>see its own entry</t>
        </is>
      </c>
      <c r="G176" s="208" t="inlineStr">
        <is>
          <t>YES — assess separately</t>
        </is>
      </c>
      <c r="H176" s="171" t="inlineStr">
        <is>
          <t>WHERE THIS SITS
▸  Sits under 1. Assessment, alongside General Learning Disability (GLD).
▸  NEPS category: 1. LEARNING (1.3 Comprehension and general ability)</t>
        </is>
      </c>
      <c r="I176" s="171" t="inlineStr">
        <is>
          <t>HOW OFTEN IT CO-OCCURS
▸  Rate not stated in source — check before quoting.</t>
        </is>
      </c>
      <c r="J176" s="171" t="inlineStr">
        <is>
          <t>HOW IT PRESENTS WHEN IT CO-OCCURS
▸  can co-occur. A child with GLD whose reading is far below even their own cognitive level has something additional going on.</t>
        </is>
      </c>
      <c r="K176" s="171" t="inlineStr">
        <is>
          <t>THE RISK
▸  Do not assume the primary diagnosis explains this.
▸  Write down before you start what the primary diagnosis does NOT explain, then assess that.
▸  Diagnostic overshadowing is the single most common error in co-occurring presentations.</t>
        </is>
      </c>
      <c r="L176" s="171" t="inlineStr">
        <is>
          <t>—</t>
        </is>
      </c>
      <c r="M176" s="171" t="inlineStr">
        <is>
          <t>—</t>
        </is>
      </c>
      <c r="N176" s="171" t="inlineStr">
        <is>
          <t>—</t>
        </is>
      </c>
      <c r="O176" s="171" t="inlineStr">
        <is>
          <t>ASSESS
▸  Assess this separately, with its own measures.
▸  Build the case for each condition independently rather than letting evidence for one carry the other.</t>
        </is>
      </c>
      <c r="P176" s="171" t="inlineStr">
        <is>
          <t>DO
▸  State in the report what would be needed to establish this second presentation.
▸  That is often a referral rather than a conclusion you can reach yourself.</t>
        </is>
      </c>
      <c r="Q176" s="171" t="inlineStr">
        <is>
          <t>—</t>
        </is>
      </c>
      <c r="R176" s="171" t="inlineStr">
        <is>
          <t>—</t>
        </is>
      </c>
      <c r="S176" s="171" t="inlineStr">
        <is>
          <t>YOUR PRACTICE
▸  Bring it to supervision: for each child on my caseload with this diagnosis, what has NOT been assessed because the diagnosis was already there?</t>
        </is>
      </c>
      <c r="T176" s="171" t="inlineStr">
        <is>
          <t>WHAT TO DO NEXT
▸  Assess separately, then refer if the threshold is met.</t>
        </is>
      </c>
      <c r="U176" s="171" t="inlineStr">
        <is>
          <t>WHERE THE EVIDENCE GOES
▸  Psychological report — state the co-occurrence and what it changes.</t>
        </is>
      </c>
      <c r="V176" s="171" t="inlineStr">
        <is>
          <t>—</t>
        </is>
      </c>
    </row>
    <row r="177" ht="169.5" customHeight="1" s="128">
      <c r="A177" s="208" t="inlineStr">
        <is>
          <t>CO-OCCURRING</t>
        </is>
      </c>
      <c r="B177" s="208" t="inlineStr">
        <is>
          <t>1. Assessment</t>
        </is>
      </c>
      <c r="C177" s="171" t="inlineStr">
        <is>
          <t>Special Setting (class or school)</t>
        </is>
      </c>
      <c r="D177" s="208" t="inlineStr">
        <is>
          <t>CO-OCCURS WITH GENERAL LEARNING DISABILITY (GLD)</t>
        </is>
      </c>
      <c r="E177" s="209" t="inlineStr">
        <is>
          <t>SLEEP AND FEEDING DIFFICULTIES</t>
        </is>
      </c>
      <c r="F177" s="208" t="inlineStr">
        <is>
          <t>see its own entry</t>
        </is>
      </c>
      <c r="G177" s="208" t="inlineStr">
        <is>
          <t>YES — assess separately</t>
        </is>
      </c>
      <c r="H177" s="171" t="inlineStr">
        <is>
          <t>WHERE THIS SITS
▸  Sits under 1. Assessment, alongside General Learning Disability (GLD).
▸  NEPS category: 1. LEARNING (1.3 Comprehension and general ability)</t>
        </is>
      </c>
      <c r="I177" s="171" t="inlineStr">
        <is>
          <t>HOW OFTEN IT CO-OCCURS
▸  Rate not stated in source — check before quoting.</t>
        </is>
      </c>
      <c r="J177" s="171" t="inlineStr">
        <is>
          <t>HOW IT PRESENTS WHEN IT CO-OCCURS
▸  common, under-asked-about, and they change the whole presentation.</t>
        </is>
      </c>
      <c r="K177" s="171" t="inlineStr">
        <is>
          <t>THE RISK
▸  Do not assume the primary diagnosis explains this.
▸  Write down before you start what the primary diagnosis does NOT explain, then assess that.
▸  Diagnostic overshadowing is the single most common error in co-occurring presentations.</t>
        </is>
      </c>
      <c r="L177" s="171" t="inlineStr">
        <is>
          <t>—</t>
        </is>
      </c>
      <c r="M177" s="171" t="inlineStr">
        <is>
          <t>—</t>
        </is>
      </c>
      <c r="N177" s="171" t="inlineStr">
        <is>
          <t>—</t>
        </is>
      </c>
      <c r="O177" s="171" t="inlineStr">
        <is>
          <t>ASSESS
▸  Assess this separately, with its own measures.
▸  Build the case for each condition independently rather than letting evidence for one carry the other.</t>
        </is>
      </c>
      <c r="P177" s="171" t="inlineStr">
        <is>
          <t>DO
▸  State in the report what would be needed to establish this second presentation.
▸  That is often a referral rather than a conclusion you can reach yourself.</t>
        </is>
      </c>
      <c r="Q177" s="171" t="inlineStr">
        <is>
          <t>—</t>
        </is>
      </c>
      <c r="R177" s="171" t="inlineStr">
        <is>
          <t>—</t>
        </is>
      </c>
      <c r="S177" s="171" t="inlineStr">
        <is>
          <t>YOUR PRACTICE
▸  Bring it to supervision: for each child on my caseload with this diagnosis, what has NOT been assessed because the diagnosis was already there?</t>
        </is>
      </c>
      <c r="T177" s="171" t="inlineStr">
        <is>
          <t>WHAT TO DO NEXT
▸  Assess separately, then refer if the threshold is met.</t>
        </is>
      </c>
      <c r="U177" s="171" t="inlineStr">
        <is>
          <t>WHERE THE EVIDENCE GOES
▸  Psychological report — state the co-occurrence and what it changes.</t>
        </is>
      </c>
      <c r="V177" s="171" t="inlineStr">
        <is>
          <t>—</t>
        </is>
      </c>
    </row>
    <row r="178" ht="408.75" customHeight="1" s="128">
      <c r="A178" s="210" t="inlineStr">
        <is>
          <t>PRESENTATION</t>
        </is>
      </c>
      <c r="B178" s="210" t="inlineStr">
        <is>
          <t>1. Assessment</t>
        </is>
      </c>
      <c r="C178" s="170" t="inlineStr">
        <is>
          <t>Special Setting (class or school)</t>
        </is>
      </c>
      <c r="D178" s="210" t="inlineStr">
        <is>
          <t>SYMPTOM-ONLY</t>
        </is>
      </c>
      <c r="E178" s="211" t="inlineStr">
        <is>
          <t>Presentations related to General Learning Disability (GLD) — no diagnosis</t>
        </is>
      </c>
      <c r="F178" s="210" t="inlineStr">
        <is>
          <t>No DSM code</t>
        </is>
      </c>
      <c r="G178" s="210" t="inlineStr">
        <is>
          <t>YES — these present at every band</t>
        </is>
      </c>
      <c r="H178" s="170" t="inlineStr">
        <is>
          <t>WHERE THIS SITS
▸  NEPS category: as above
▸  UCD competency: 1. Assessment
▸  CORU: 3.1 · 3.2 · 5.28 · 5.29 · 5.30 · 5.31 · 5.32
▸  PSI: 2.2.2 · 2.3.1 · 1.3.1 · 1.2.8</t>
        </is>
      </c>
      <c r="I178" s="170" t="inlineStr">
        <is>
          <t>THE PRESENTATIONS — no diagnosis needed, and most referrals look like this
▸  Borderline intellectual functioning
▸  Underachievement not meeting SLD criteria
▸  Curriculum access at the current level
▸  Interrupted or missed schooling
▸  Twice exceptional — high ability plus a specific difficulty</t>
        </is>
      </c>
      <c r="J178" s="170" t="inlineStr">
        <is>
          <t>HOW COMMON
▸  No prevalence figures exist for these — they are descriptions, not categories.
▸  They are more common than the diagnosis they sit beside.</t>
        </is>
      </c>
      <c r="K178" s="170" t="inlineStr">
        <is>
          <t>THE PATHWAY
▸  No diagnostic pathway. Nobody diagnoses these.
▸  You describe them, formulate around them, and recommend. That is the whole pathway.
▸  If a parent asks who diagnoses it: nobody. Say that plainly, and say it does not make the difficulty less real or less workable.</t>
        </is>
      </c>
      <c r="L178" s="170" t="inlineStr">
        <is>
          <t>WHAT YOU SEE
▸  These are what the referral form actually describes in Section 5.
▸  Look for the pattern across settings rather than a threshold.</t>
        </is>
      </c>
      <c r="M178" s="170" t="inlineStr">
        <is>
          <t>RED FLAGS
▸  Escalating distress, withdrawal or risk indicators — follow the protocol regardless of whether a diagnosis exists.
▸  Do not let the absence of a diagnosis delay a safeguarding response.</t>
        </is>
      </c>
      <c r="N178" s="170" t="inlineStr">
        <is>
          <t>WHAT ELSE COULD IT BE
▸  Each of these can be the visible edge of the diagnosed condition above.
▸  Each can also occur entirely on its own.
▸  Test the sequence: which came first?</t>
        </is>
      </c>
      <c r="O178" s="170" t="inlineStr">
        <is>
          <t>ASSESS
▸  Observation with a comparison peer.
▸  Teacher and parent interview.
▸  Pupil interview — their account is the evidence here.
▸  Rating scales describe perception, not the presentation itself.</t>
        </is>
      </c>
      <c r="P178" s="170" t="inlineStr">
        <is>
          <t>DO
▸  Name the presentation precisely rather than reaching for a label.
▸  Recommend at the level of the behaviour, not the hypothetical diagnosis.
▸  Specify what, who, how often, for how long, and how it will be measured.
▸  Name the Continuum of Support level.</t>
        </is>
      </c>
      <c r="Q178" s="170" t="inlineStr">
        <is>
          <t>EXPLAIN
▸  To a parent: “There isn’t a diagnosis for this, and it’s still real and still workable. Here’s what we do.”
▸  To a teacher: describe the behaviour in countable terms, not in trait terms.
▸  To the child: ask what helps, and use their words in the report.</t>
        </is>
      </c>
      <c r="R178" s="170" t="inlineStr">
        <is>
          <t>CHILD’S VOICE AND QUESTIONS
▸  Talking Mats · Blob Tree · scaling on a drawn ladder · sentence completion · day mapping.
▸  Q: “So there’s nothing wrong with him?” A: “There’s a real difficulty and it doesn’t have a label. Labels help get resources; they don’t make a difficulty more or less real.”
▸  Q: “Should we get him assessed privately?” A: give the honest position on what a diagnosis would and would not change here.</t>
        </is>
      </c>
      <c r="S178" s="170" t="inlineStr">
        <is>
          <t>YOUR PRACTICE
▸  Bring a case where you were pulled toward a label the data did not support.
▸  Reflect: did I describe, or did I reach? Whose language did I use?</t>
        </is>
      </c>
      <c r="T178" s="170" t="inlineStr">
        <is>
          <t>WHAT TO DO NEXT
▸  Proceed to formulation. These belong at the behavioural level of the Interactive Factors Framework.
▸  Test whether an unmet learning need is underneath before concluding anything.</t>
        </is>
      </c>
      <c r="U178" s="170" t="inlineStr">
        <is>
          <t>WHERE THE EVIDENCE GOES
▸  Psychological report
▸  Appendix 5 entry
▸  Log sheet</t>
        </is>
      </c>
      <c r="V178" s="170" t="inlineStr">
        <is>
          <t>CITATIONS
▸  Frederickson &amp; Cline (2009)
▸  Monsen &amp; Frederickson (2008)
▸  NEPS Continuum of Support</t>
        </is>
      </c>
    </row>
    <row r="179" ht="408.75" customHeight="1" s="128">
      <c r="A179" s="205" t="inlineStr">
        <is>
          <t>CONDITION</t>
        </is>
      </c>
      <c r="B179" s="205" t="inlineStr">
        <is>
          <t>1. Assessment</t>
        </is>
      </c>
      <c r="C179" s="206" t="inlineStr">
        <is>
          <t>Special Setting (class or school)</t>
        </is>
      </c>
      <c r="D179" s="205" t="inlineStr">
        <is>
          <t>DIAGNOSED</t>
        </is>
      </c>
      <c r="E179" s="206" t="inlineStr">
        <is>
          <t>Dyslexia / Specific Learning Disorder with impairment in reading</t>
        </is>
      </c>
      <c r="F179" s="205" t="inlineStr">
        <is>
          <t>DSM-5-TR Specific Learning Disorder, with impairment in reading</t>
        </is>
      </c>
      <c r="G179" s="205" t="inlineStr">
        <is>
          <t>YES</t>
        </is>
      </c>
      <c r="H179" s="207" t="inlineStr">
        <is>
          <t>WHERE THIS SITS
▸  NEPS referral form category: 1. LEARNING (1.4 Literacy)
▸  UCD competency: 1. Assessment
▸  CORU: 3.1 · 3.2 · 5.28 · 5.29 · 5.30 · 5.31 · 5.32
▸  PSI: 2.2.2 · 2.3.1 · 1.3.1 · 1.2.8
▸  Law and policy: Children First Act 2015 · EPSEN Act 2004 · Equal Status Acts 2000–2018 · GDPR</t>
        </is>
      </c>
      <c r="I179" s="207" t="inlineStr">
        <is>
          <t>WHAT IT IS, AND WHAT IT IS NOT
▸  A SPECIFIC difficulty in accurate and/or fluent word reading, decoding and spelling, persisting despite appropriate instruction (APA, 2022).
▸  The best-supported causal account is a PHONOLOGICAL DEFICIT — difficulty representing and manipulating the sound structure of language (Snowling &amp; Hulme, 2011). Rapid automatised naming is a second reliable correlate.
▸  It is DIMENSIONAL. Pennington (2006) set out the multiple-deficit model: reading difficulty arises from several risk factors combining, not from one cause, which is why cut-offs are arbitrary and co-occurrence is the norm.
▸  'Despite appropriate instruction' is doing real work in the definition. You cannot identify dyslexia without knowing what has been taught.
▸  In Ireland the Department of Education uses 'specific learning difficulty'; the DSM term is Specific Learning Disorder. Both are in use.
▸  NOT about seeing letters backwards. Reversals are developmentally normal in early writing and are not diagnostic. This is the single most common public misconception.
▸  NOT a visual problem. Coloured overlays and tinted lenses do not have the evidence base their marketing claims; the difficulty is phonological, not optical.
▸  NOT related to intelligence. The IQ-achievement discrepancy model has been abandoned in current criteria because it under-identified children with lower cognitive scores.
▸  NOT laziness or lack of effort. Children with dyslexia typically work harder for less output.
▸  NOT cured by more of the same. If two years of unstructured reading practice has not worked, more of it will not either — the instruction has to be structured, explicit and systematic.</t>
        </is>
      </c>
      <c r="J179" s="207" t="inlineStr">
        <is>
          <t>HOW COMMON AT THIS AGE
▸  OVERALL: commonly cited at 3–7% of the population depending on cut-off, rising to around 20% if a broader definition of reading difficulty is used. The variation is because the underlying distribution is continuous and the cut-off is a decision.
▸  IRELAND: the Dyslexia Association of Ireland cites approximately 10% of the population as having dyslexia to some degree. Department of Education figures for identified specific learning difficulty will be lower because they reflect identification, not prevalence.
▸  FAMILY HISTORY: heritability is substantial. A child with an affected parent has roughly a 40–60% chance of reading difficulty. Always ask.
▸  AT OTHER AGES (for context): EARLY YEARS 0–5 · SCHOOL AGE 6–12 · ADOLESCENT 13–16 · YOUNG ADULT 17–26</t>
        </is>
      </c>
      <c r="K179" s="207" t="inlineStr">
        <is>
          <t>THE PATHWAY AND THE TIMELINE
▸ TYPICAL AGE OF IDENTIFICATION, AND WHY THEN
   Usually 7–10. Criteria require difficulty 'despite appropriate instruction', so identification cannot precede a reasonable period of systematic teaching. In practice this is later than optimal — intervention is most effective before the attainment gap widens and before confidence is affected.
▸ WHO DIAGNOSES IT
   In Ireland, educational psychologists identify specific learning difficulties, including through NEPS. There is no medical diagnosis. Private psychologists also assess, and reports vary in quality — check what criteria were applied.
▸ WHO COULD HAVE WRITTEN THE REPORT IN FRONT OF YOU
   NEPS psychologist. Private educational psychologist. An occupational therapist report covering handwriting is not a dyslexia assessment. School screening results are not identification.
▸ WHO YOU REFER TO
   Rarely onward — this is your own competency area. SLT where oral language or comprehension is implicated. OT where handwriting is motor. Audiology where hearing history is unclear. Dyslexia Association of Ireland for family support.
▸ 'SHOULD WE HAVE COME SOONER?'
   'Not really — we can't identify it until a child has had proper phonics teaching for a reasonable time, so there's a floor on how early this happens. What I would say is that what we put in place now matters more than when we started.'</t>
        </is>
      </c>
      <c r="L179" s="207" t="inlineStr">
        <is>
          <t>WHAT YOU SEE AT THIS AGE
▸  Functional literacy against the setting curriculum.
▸  EARLY YEARS 0–5: no diagnosis. Assess precursors — phonological awareness, rhyme, alliteration, letter-sound knowledge, family history. Family history is a genuine risk indicator.
▸  SCHOOL AGE 6–12: the identification window. WIAT-III, phonological battery, cognitive comparison, and instructional history. Early identification matters — intervention is most effective before the gap widens.
▸  ADOLESCENT 13–16: the question shifts to access and accommodation. RACE evidence, assistive technology, subject choice. Remediation still works but the priority is curriculum access.
▸  YOUNG ADULT 17–26: DSA evidence for third level, workplace adjustment, WRAT-5 or WIAT-III adult norms.
▸  SPECIAL SETTING: functional literacy against the setting curriculum.</t>
        </is>
      </c>
      <c r="M179" s="207" t="inlineStr">
        <is>
          <t>RED FLAGS AND BOUNDARIES
▸  RED FLAG — a child with an unidentified reading difficulty and emerging low mood or school refusal. The sequence is usually reading first, then avoidance. Treat the reading.
▸  RED FLAG — hearing history. Glue ear during the infant classes is a plausible alternative explanation and is routinely missed. Always ask.
▸  RED FLAG — no systematic phonics instruction has ever been provided. You cannot identify a disorder 'despite appropriate instruction' if there has not been appropriate instruction.
▸  WATCH FOR co-occurrence: ADHD, DLD and DCD all co-occur with reading difficulty at well above chance.</t>
        </is>
      </c>
      <c r="N179" s="207" t="inlineStr">
        <is>
          <t>WHAT ELSE COULD IT BE, AND WHAT CO-OCCURS
▸  ADHD — co-occurs in roughly 30–50% of cases in both directions. PRESENTS AS: reading difficulty plus inattention, where each worsens the other. Pennington's multiple-deficit model (2006) explains why this is expected rather than coincidental.
▸  DLD / LANGUAGE DISORDER — strongly associated. PRESENTS AS: decoding difficulty PLUS comprehension difficulty. A child who decodes accurately and still cannot answer questions has a language problem, not a decoding one.
▸  DCD — elevated. PRESENTS AS: slow, effortful handwriting on top of spelling difficulty, compounding written output problems.
▸  DYSCALCULIA — co-occurs, though less studied. PRESENTS AS: word-problem failure that may be either reading or number sense; test them apart.
▸  ANXIETY — very common and usually SECONDARY. PRESENTS AS: avoidance of reading aloud, school reluctance, somatic complaints before literacy lessons. Treat the reading and much of it resolves.
▸  LOW SELF-CONCEPT — almost universal where identification has been late. Academic self-concept drops before global self-esteem does.
▸  GLUE EAR HISTORY — not a co-occurring condition but a competing explanation. Always ask about the infant years.</t>
        </is>
      </c>
      <c r="O179" s="207" t="inlineStr">
        <is>
          <t>TOOLS VALID AT THIS BAND
▸  Communication Matrix / AAC review — AGE any
     MEASURES: Current communication mode and its consistency across staff.
     CANNOT TELL YOU: Whether the system suits the pupil — that needs SLT.
     TIME: varies
▸  Leiter-3 — AGE 3:0–75:11
     MEASURES: Non-verbal ability without spoken instruction.
     CANNOT TELL YOU: Verbal reasoning. Often the only accessible cognitive measure in a special setting.
     TIME: 45 min
▸  Adaptive measure in place of IQ — AGE any
     MEASURES: Vineland-3 or ABAS-3.
     CANNOT TELL YOU: Nothing an IQ would add for planning — in special settings the adaptive profile is usually the more useful document.
     TIME: 20–60 min</t>
        </is>
      </c>
      <c r="P179" s="207" t="inlineStr">
        <is>
          <t>WHAT YOU DO, AND WHAT YOU WRITE
▸  IDENTIFY THE COMPONENT FIRST — phonological awareness, decoding, fluency, vocabulary or comprehension — then match the intervention to it. A programme recommended without a component is a guess.
▸  STRUCTURED, EXPLICIT, SYSTEMATIC PHONICS taught to mastery. Specify: daily, 20 minutes, group of no more than three, SET-delivered, for a term.
▸  FLUENCY: repeated reading with feedback, and paired reading. Only after decoding is secure.
▸  ASSISTIVE TECHNOLOGY NOW, not when reading improves. Text-to-speech and speech-to-text give curriculum access while remediation happens.
▸  NEVER ASK TO READ ALOUD UNPREPARED. Offer the passage in advance if the child wants to participate.
▸  SEPARATE THE READING LOAD from every other subject's assessment. If she cannot read the question, that is a reading result.
▸  MONITOR FORTNIGHTLY with something sensitive — words correct per minute, non-word reading — not the annual standardised test.
▸  RACE / EXAM ACCESS at post-primary: build the evidence early, check current State Examinations Commission criteria.
▸  ADDRESS THE SECONDARY EFFECTS explicitly — confidence, avoidance — rather than assuming they resolve on their own.
▸  DO NOT RECOMMEND coloured overlays, tinted lenses or learning-styles matching. The evidence does not support them and PSI 4.2.2 applies.
▸  CONTINUUM LEVEL: School Support, moving to School Support Plus if a term of targeted intervention produces no measurable change.
▸  REFER: SLT where comprehension or oral language is implicated; OT where handwriting is motor; audiology where hearing history is unclear.</t>
        </is>
      </c>
      <c r="Q179" s="207" t="inlineStr">
        <is>
          <t>EXPLAIN
▸  TO A PARENT
▸  'Dyslexia is a difficulty with the sound structure of words — breaking them apart and putting them together. That makes decoding new words slow and effortful, which then makes everything that depends on reading harder.'
▸  'It's nothing to do with how clever she is. Her reasoning is [describe], and her reading is where the difficulty is. That gap is actually the picture.'
▸  'It's not about seeing letters backwards — that's the bit everyone has heard and it's not accurate.'
▸  'What helps is structured, explicit phonics taught to mastery, plus assistive technology so she can access the curriculum while the reading catches up. Both, not one.'
▸  SIGNPOST: Dyslexia Association of Ireland. Give the name.
▸  TO A TEACHER
▸  'The difficulty is phonological. She needs systematic, explicit phonics — and she needs it at her level, not the class level.'
▸  'Separate the reading load from the subject. If she can't read the maths word problem, that's a reading result, not a maths result. Read it to her and see what happens.'
▸  'Assistive technology now, not later. Text-to-speech and speech-to-text let her access the curriculum while the reading is being remediated. Withholding it until she can read is withholding the curriculum.'
▸  'Never ask her to read aloud unprepared in front of the class. Give her the passage the day before if she wants to participate.'
▸  'Monitor fortnightly with something sensitive — words correct per minute — not with the annual standardised test.'
▸  TO THE CHILD
▸  'Your brain finds it harder to break words into sounds and put them back together. That's what makes reading slow — it's not about how smart you are.'
▸  'Lots of people have this. It's called dyslexia. It doesn't go away, but reading gets a lot easier with the right kind of practice, and there's technology that reads things to you.'
▸  ASK: 'What's the hardest bit about reading for you?' Their answer often tells you whether it is decoding, stamina or embarrassment — three different problems.
▸  NAME A STRENGTH SPECIFICALLY: 'You worked out that answer without being able to read the question — that's the thinking part, and that's strong.'
▸  Be honest that it is lifelong. Children find that easier than discovering it later.
▸  ANALOGIES
▸  THE FOREIGN ALPHABET: 'Imagine every page was in Greek letters. You know the language, you can think about the ideas — but turning those shapes into sounds takes all your effort, and there's nothing left for understanding the story.' Good for teachers; explains why comprehension collapses.
▸  THE JAMMED LOCK: 'Most people's brains unlock a word automatically. Yours has a lock that sticks — you can still open it, it just takes longer each time.' Good with children.
▸  THE BUCKET OF EFFORT: 'Everyone starts the day with a bucket of concentration. If reading uses half the bucket before lunch, there isn't much left for anything else. That's why she's exhausted, not lazy.' Good with parents.
▸  LANGUAGE
▸  'Dyslexia' is widely used and generally accepted by the community; the Dyslexia Association of Ireland uses it directly.
▸  'Specific learning difficulty' is the Irish Department of Education term. 'Specific Learning Disorder with impairment in reading' is the DSM-5-TR term.
▸  Avoid 'word blind', 'suffers from dyslexia', and 'struggling reader' as a euphemism — it obscures rather than protects.
▸  Be careful with 'diagnosis'. In Ireland, educational psychologists identify specific learning difficulties; frame it as identification against criteria and say what criteria.</t>
        </is>
      </c>
      <c r="R179" s="207" t="inlineStr">
        <is>
          <t>THE CHILD’S VOICE, AND THE QUESTIONS
▸  READING ATTITUDE SCALES (e.g. Elementary Reading Attitude Survey) — good because reading attitude often deteriorates before attainment does, so it catches the emotional cost early.
▸  'MY THOUGHTS ABOUT SCHOOL' (NEPS Continuum of Support materials) — Irish, free, already in schools. Good because staff recognise it. → https://www.gov.ie/en/publication/52ee2-neps-resources-and-publications/
▸  SENTENCE COMPLETION ('Reading is…', 'When the teacher asks me to read…') — good because it is quick, non-threatening, and surfaces shame that direct questions miss.
▸  DYSLEXIA ASSOCIATION OF IRELAND young people's materials — Irish, written for children about their own profile. Good because self-understanding predicts self-advocacy. → https://dyslexia.ie/
▸  SCALING ON A DRAWN LADDER — good with 6–12s because it makes an abstract judgement concrete and gives you a follow-up question ('what puts you at a 4?').
▸  QUESTIONS YOU WILL BE ASKED
▸  Q: 'Does she see letters backwards?' — A: 'That's the thing everyone's heard and it isn't accurate. Reversals are normal in early writing. The actual difficulty is with the sounds in words — breaking them apart and blending them back together.'
▸  Q: 'Would coloured overlays help?' — A: 'The evidence doesn't support them, and I'd rather you spent the money and the time on something that does. If she finds a particular background easier to read, that's fine to use — it just isn't treating the dyslexia.'
▸  Q: 'Is she just not trying?' — A: 'The opposite, usually. Children with this profile work considerably harder than their classmates for less output, which is exhausting. What looks like giving up is often running out.'
▸  Q: 'Will she grow out of it?' — A: 'No, it's lifelong. Reading gets a great deal better with the right teaching, and most people find their own strategies. The difficulty with decoding new words tends to stay.'
▸  Q: 'Does this mean she's not clever?' — A: 'No, and in fact the gap between her reasoning and her reading is part of what identifies it. Her thinking is [specific]. The reading is where the difficulty sits.'
▸  Q: 'Should she use a laptop? Isn't that giving up on reading?' — A: 'No — it's two separate things. She needs the phonics teaching to improve the reading, and she needs the technology so she can access history and science while that's happening. Doing one without the other means she falls behind in everything else.'
▸  Q: 'Will she get extra time in the Leaving Cert?' — A: 'Possibly, and the application is made by the school against criteria set by the State Examinations Commission. I can set out the evidence that supports it, but I can't promise the outcome.'
▸  Q: 'The school says she's improving, so is she fine now?' — A: 'Improving is good and it doesn't mean the difficulty has gone. The thing to watch is whether she's improving fast enough to close the gap, or improving at the same rate while the gap stays the same. That's why we measure.'</t>
        </is>
      </c>
      <c r="S179" s="207" t="inlineStr">
        <is>
          <t>YOUR PRACTICE
▸  SUPERVISION
▸  Bring a recommendations section and ask your supervisor: 'who does this on Monday morning?' If they cannot answer, rewrite it.
▸  Ask how your service handles a school with no systematic phonics programme — that is a systemic conversation and it needs a strategy.
▸  Raise the identification threshold: at what point does your service say 'specific learning difficulty' and on what basis?
▸  Discuss the RACE process and what evidence actually satisfies the State Examinations Commission this year.
▸  Bring a case where the cognitive profile was low average and ask how identification works without a discrepancy model.
▸  Ask about assistive technology — what the service recommends, what schools actually have, and how to bridge the gap.
▸  REFLECTION
▸  ON INSTRUCTIONAL HISTORY — Did I establish what had actually been taught before I concluded anything? The criteria say 'despite appropriate instruction'. If I did not check, I have not met the criteria I claimed to apply.
▸  ON THE HEARING QUESTION — Did I ask specifically about glue ear and grommets in the infant years, or did I ask a general health question and accept a general answer?
▸  ON THE TEACHER CONVERSATION — Did I say 'structured phonics' and leave, or did I specify what, who, how often, for how long, and how it would be measured? An unspecified recommendation is a wish.
▸  ON ASSISTIVE TECHNOLOGY — Did I recommend it now, or imply it should wait until reading improves? Withholding access technology until a child can read is withholding the curriculum.
▸  ON HOW I EXPLAINED IT TO THE CHILD — Did I name a strength that was specific to them, or a generic one about dyslexic people? Generic strengths are heard as consolation.
▸  ON THE REVERSALS QUESTION — When the parent mentioned letters backwards, did I correct it clearly, or did I let it pass because correcting felt awkward?
▸  WHAT GOOD LOOKS LIKE: 'I had written 'targeted literacy support' in my first draft. Reading it back I could not have acted on it myself, so I rewrote it as daily 20 minutes of structured phonics, SET-delivered, group of three, monitored fortnightly on non-word reading. The school implemented it. The first version would have been filed.'
▸  WHAT POOR LOOKS LIKE: 'Assessment indicated a specific learning difficulty in reading. Literacy support is recommended.' — nothing actionable, no component identified, no instructional history.</t>
        </is>
      </c>
      <c r="T179" s="207" t="inlineStr">
        <is>
          <t>WHAT TO DO NEXT
▸  Proceed to FORMULATION using a named framework — Monsen, Interactive Factors, COMOIRA or Carr.
▸  If a learning need may be driving the presentation, proceed to attainment assessment before concluding.
▸  If risk or safeguarding emerged, none of the above — follow the protocol and tell your supervisor the same day.
▸  If the referral question is not answered by what you found, go back and renegotiate it.</t>
        </is>
      </c>
      <c r="U179" s="207" t="inlineStr">
        <is>
          <t>WHERE THE EVIDENCE GOES
▸  Psychological report
▸  Appendix 5 entry tagged 1. Assessment
▸  Appendix 7 if observed
▸  Table 3 — Special Setting
▸  Log sheet — tag the referral area and the competency</t>
        </is>
      </c>
      <c r="V179" s="207" t="inlineStr">
        <is>
          <t>CITATIONS
▸  American Psychiatric Association (2022). DSM-5-TR — Specific Learning Disorder.
▸  Snowling, M. J., &amp; Hulme, C. (2011). Evidence-based interventions for reading and language difficulties. British Journal of Educational Psychology, 81(1), 1–23.
▸  Pennington, B. F. (2006). From single to multiple deficit models of developmental disorders. Cognition, 101(2), 385–413.
▸  Ehri, L. C. (2005). Learning to read words: Theory, findings, and issues. Scientific Studies of Reading, 9(2), 167–188.
▸  Snowling, M. J., &amp; Hulme, C. (2012). Annual research review: The nature and classification of reading disorders. JCPP, 53(5), 593–607.
▸  EEF Teaching and Learning Toolkit — phonics strand.</t>
        </is>
      </c>
    </row>
    <row r="180" ht="169.5" customHeight="1" s="128">
      <c r="A180" s="208" t="inlineStr">
        <is>
          <t>CO-OCCURRING</t>
        </is>
      </c>
      <c r="B180" s="208" t="inlineStr">
        <is>
          <t>1. Assessment</t>
        </is>
      </c>
      <c r="C180" s="171" t="inlineStr">
        <is>
          <t>Special Setting (class or school)</t>
        </is>
      </c>
      <c r="D180" s="208" t="inlineStr">
        <is>
          <t>CO-OCCURS WITH DYSLEXIA</t>
        </is>
      </c>
      <c r="E180" s="209" t="inlineStr">
        <is>
          <t>ADHD</t>
        </is>
      </c>
      <c r="F180" s="208" t="inlineStr">
        <is>
          <t>see its own entry</t>
        </is>
      </c>
      <c r="G180" s="208" t="inlineStr">
        <is>
          <t>YES — assess separately</t>
        </is>
      </c>
      <c r="H180" s="171" t="inlineStr">
        <is>
          <t>WHERE THIS SITS
▸  Sits under 1. Assessment, alongside Dyslexia.
▸  NEPS category: 1. LEARNING (1.4 Literacy)</t>
        </is>
      </c>
      <c r="I180" s="171" t="inlineStr">
        <is>
          <t>HOW OFTEN IT CO-OCCURS
▸  co-occurs in roughly 30–50% of cases in both directions.</t>
        </is>
      </c>
      <c r="J180" s="171" t="inlineStr">
        <is>
          <t>HOW IT PRESENTS WHEN IT CO-OCCURS
▸  reading difficulty plus inattention, where each worsens the other. Pennington's multiple-deficit model (2006) explains why this is expected rather than coincidental.</t>
        </is>
      </c>
      <c r="K180" s="171" t="inlineStr">
        <is>
          <t>THE RISK
▸  Do not assume the primary diagnosis explains this.
▸  Write down before you start what the primary diagnosis does NOT explain, then assess that.
▸  Diagnostic overshadowing is the single most common error in co-occurring presentations.</t>
        </is>
      </c>
      <c r="L180" s="171" t="inlineStr">
        <is>
          <t>—</t>
        </is>
      </c>
      <c r="M180" s="171" t="inlineStr">
        <is>
          <t>—</t>
        </is>
      </c>
      <c r="N180" s="171" t="inlineStr">
        <is>
          <t>—</t>
        </is>
      </c>
      <c r="O180" s="171" t="inlineStr">
        <is>
          <t>ASSESS
▸  Assess this separately, with its own measures.
▸  Build the case for each condition independently rather than letting evidence for one carry the other.</t>
        </is>
      </c>
      <c r="P180" s="171" t="inlineStr">
        <is>
          <t>DO
▸  State in the report what would be needed to establish this second presentation.
▸  That is often a referral rather than a conclusion you can reach yourself.</t>
        </is>
      </c>
      <c r="Q180" s="171" t="inlineStr">
        <is>
          <t>—</t>
        </is>
      </c>
      <c r="R180" s="171" t="inlineStr">
        <is>
          <t>—</t>
        </is>
      </c>
      <c r="S180" s="171" t="inlineStr">
        <is>
          <t>YOUR PRACTICE
▸  Bring it to supervision: for each child on my caseload with this diagnosis, what has NOT been assessed because the diagnosis was already there?</t>
        </is>
      </c>
      <c r="T180" s="171" t="inlineStr">
        <is>
          <t>WHAT TO DO NEXT
▸  Assess separately, then refer if the threshold is met.</t>
        </is>
      </c>
      <c r="U180" s="171" t="inlineStr">
        <is>
          <t>WHERE THE EVIDENCE GOES
▸  Psychological report — state the co-occurrence and what it changes.</t>
        </is>
      </c>
      <c r="V180" s="171" t="inlineStr">
        <is>
          <t>—</t>
        </is>
      </c>
    </row>
    <row r="181" ht="169.5" customHeight="1" s="128">
      <c r="A181" s="208" t="inlineStr">
        <is>
          <t>CO-OCCURRING</t>
        </is>
      </c>
      <c r="B181" s="208" t="inlineStr">
        <is>
          <t>1. Assessment</t>
        </is>
      </c>
      <c r="C181" s="171" t="inlineStr">
        <is>
          <t>Special Setting (class or school)</t>
        </is>
      </c>
      <c r="D181" s="208" t="inlineStr">
        <is>
          <t>CO-OCCURS WITH DYSLEXIA</t>
        </is>
      </c>
      <c r="E181" s="209" t="inlineStr">
        <is>
          <t>DLD / LANGUAGE DISORDER</t>
        </is>
      </c>
      <c r="F181" s="208" t="inlineStr">
        <is>
          <t>see its own entry</t>
        </is>
      </c>
      <c r="G181" s="208" t="inlineStr">
        <is>
          <t>YES — assess separately</t>
        </is>
      </c>
      <c r="H181" s="171" t="inlineStr">
        <is>
          <t>WHERE THIS SITS
▸  Sits under 1. Assessment, alongside Dyslexia.
▸  NEPS category: 1. LEARNING (1.4 Literacy)</t>
        </is>
      </c>
      <c r="I181" s="171" t="inlineStr">
        <is>
          <t>HOW OFTEN IT CO-OCCURS
▸  strongly associated.</t>
        </is>
      </c>
      <c r="J181" s="171" t="inlineStr">
        <is>
          <t>HOW IT PRESENTS WHEN IT CO-OCCURS
▸  decoding difficulty PLUS comprehension difficulty. A child who decodes accurately and still cannot answer questions has a language problem, not a decoding one.</t>
        </is>
      </c>
      <c r="K181" s="171" t="inlineStr">
        <is>
          <t>THE RISK
▸  Do not assume the primary diagnosis explains this.
▸  Write down before you start what the primary diagnosis does NOT explain, then assess that.
▸  Diagnostic overshadowing is the single most common error in co-occurring presentations.</t>
        </is>
      </c>
      <c r="L181" s="171" t="inlineStr">
        <is>
          <t>—</t>
        </is>
      </c>
      <c r="M181" s="171" t="inlineStr">
        <is>
          <t>—</t>
        </is>
      </c>
      <c r="N181" s="171" t="inlineStr">
        <is>
          <t>—</t>
        </is>
      </c>
      <c r="O181" s="171" t="inlineStr">
        <is>
          <t>ASSESS
▸  Assess this separately, with its own measures.
▸  Build the case for each condition independently rather than letting evidence for one carry the other.</t>
        </is>
      </c>
      <c r="P181" s="171" t="inlineStr">
        <is>
          <t>DO
▸  State in the report what would be needed to establish this second presentation.
▸  That is often a referral rather than a conclusion you can reach yourself.</t>
        </is>
      </c>
      <c r="Q181" s="171" t="inlineStr">
        <is>
          <t>—</t>
        </is>
      </c>
      <c r="R181" s="171" t="inlineStr">
        <is>
          <t>—</t>
        </is>
      </c>
      <c r="S181" s="171" t="inlineStr">
        <is>
          <t>YOUR PRACTICE
▸  Bring it to supervision: for each child on my caseload with this diagnosis, what has NOT been assessed because the diagnosis was already there?</t>
        </is>
      </c>
      <c r="T181" s="171" t="inlineStr">
        <is>
          <t>WHAT TO DO NEXT
▸  Assess separately, then refer if the threshold is met.</t>
        </is>
      </c>
      <c r="U181" s="171" t="inlineStr">
        <is>
          <t>WHERE THE EVIDENCE GOES
▸  Psychological report — state the co-occurrence and what it changes.</t>
        </is>
      </c>
      <c r="V181" s="171" t="inlineStr">
        <is>
          <t>—</t>
        </is>
      </c>
    </row>
    <row r="182" ht="169.5" customHeight="1" s="128">
      <c r="A182" s="208" t="inlineStr">
        <is>
          <t>CO-OCCURRING</t>
        </is>
      </c>
      <c r="B182" s="208" t="inlineStr">
        <is>
          <t>1. Assessment</t>
        </is>
      </c>
      <c r="C182" s="171" t="inlineStr">
        <is>
          <t>Special Setting (class or school)</t>
        </is>
      </c>
      <c r="D182" s="208" t="inlineStr">
        <is>
          <t>CO-OCCURS WITH DYSLEXIA</t>
        </is>
      </c>
      <c r="E182" s="209" t="inlineStr">
        <is>
          <t>DCD</t>
        </is>
      </c>
      <c r="F182" s="208" t="inlineStr">
        <is>
          <t>see its own entry</t>
        </is>
      </c>
      <c r="G182" s="208" t="inlineStr">
        <is>
          <t>YES — assess separately</t>
        </is>
      </c>
      <c r="H182" s="171" t="inlineStr">
        <is>
          <t>WHERE THIS SITS
▸  Sits under 1. Assessment, alongside Dyslexia.
▸  NEPS category: 1. LEARNING (1.4 Literacy)</t>
        </is>
      </c>
      <c r="I182" s="171" t="inlineStr">
        <is>
          <t>HOW OFTEN IT CO-OCCURS
▸  elevated.</t>
        </is>
      </c>
      <c r="J182" s="171" t="inlineStr">
        <is>
          <t>HOW IT PRESENTS WHEN IT CO-OCCURS
▸  slow, effortful handwriting on top of spelling difficulty, compounding written output problems.</t>
        </is>
      </c>
      <c r="K182" s="171" t="inlineStr">
        <is>
          <t>THE RISK
▸  Do not assume the primary diagnosis explains this.
▸  Write down before you start what the primary diagnosis does NOT explain, then assess that.
▸  Diagnostic overshadowing is the single most common error in co-occurring presentations.</t>
        </is>
      </c>
      <c r="L182" s="171" t="inlineStr">
        <is>
          <t>—</t>
        </is>
      </c>
      <c r="M182" s="171" t="inlineStr">
        <is>
          <t>—</t>
        </is>
      </c>
      <c r="N182" s="171" t="inlineStr">
        <is>
          <t>—</t>
        </is>
      </c>
      <c r="O182" s="171" t="inlineStr">
        <is>
          <t>ASSESS
▸  Assess this separately, with its own measures.
▸  Build the case for each condition independently rather than letting evidence for one carry the other.</t>
        </is>
      </c>
      <c r="P182" s="171" t="inlineStr">
        <is>
          <t>DO
▸  State in the report what would be needed to establish this second presentation.
▸  That is often a referral rather than a conclusion you can reach yourself.</t>
        </is>
      </c>
      <c r="Q182" s="171" t="inlineStr">
        <is>
          <t>—</t>
        </is>
      </c>
      <c r="R182" s="171" t="inlineStr">
        <is>
          <t>—</t>
        </is>
      </c>
      <c r="S182" s="171" t="inlineStr">
        <is>
          <t>YOUR PRACTICE
▸  Bring it to supervision: for each child on my caseload with this diagnosis, what has NOT been assessed because the diagnosis was already there?</t>
        </is>
      </c>
      <c r="T182" s="171" t="inlineStr">
        <is>
          <t>WHAT TO DO NEXT
▸  Assess separately, then refer if the threshold is met.</t>
        </is>
      </c>
      <c r="U182" s="171" t="inlineStr">
        <is>
          <t>WHERE THE EVIDENCE GOES
▸  Psychological report — state the co-occurrence and what it changes.</t>
        </is>
      </c>
      <c r="V182" s="171" t="inlineStr">
        <is>
          <t>—</t>
        </is>
      </c>
    </row>
    <row r="183" ht="169.5" customHeight="1" s="128">
      <c r="A183" s="208" t="inlineStr">
        <is>
          <t>CO-OCCURRING</t>
        </is>
      </c>
      <c r="B183" s="208" t="inlineStr">
        <is>
          <t>1. Assessment</t>
        </is>
      </c>
      <c r="C183" s="171" t="inlineStr">
        <is>
          <t>Special Setting (class or school)</t>
        </is>
      </c>
      <c r="D183" s="208" t="inlineStr">
        <is>
          <t>CO-OCCURS WITH DYSLEXIA</t>
        </is>
      </c>
      <c r="E183" s="209" t="inlineStr">
        <is>
          <t>DYSCALCULIA</t>
        </is>
      </c>
      <c r="F183" s="208" t="inlineStr">
        <is>
          <t>see its own entry</t>
        </is>
      </c>
      <c r="G183" s="208" t="inlineStr">
        <is>
          <t>YES — assess separately</t>
        </is>
      </c>
      <c r="H183" s="171" t="inlineStr">
        <is>
          <t>WHERE THIS SITS
▸  Sits under 1. Assessment, alongside Dyslexia.
▸  NEPS category: 1. LEARNING (1.4 Literacy)</t>
        </is>
      </c>
      <c r="I183" s="171" t="inlineStr">
        <is>
          <t>HOW OFTEN IT CO-OCCURS
▸  co-occurs, though less studied.</t>
        </is>
      </c>
      <c r="J183" s="171" t="inlineStr">
        <is>
          <t>HOW IT PRESENTS WHEN IT CO-OCCURS
▸  word-problem failure that may be either reading or number sense; test them apart.</t>
        </is>
      </c>
      <c r="K183" s="171" t="inlineStr">
        <is>
          <t>THE RISK
▸  Do not assume the primary diagnosis explains this.
▸  Write down before you start what the primary diagnosis does NOT explain, then assess that.
▸  Diagnostic overshadowing is the single most common error in co-occurring presentations.</t>
        </is>
      </c>
      <c r="L183" s="171" t="inlineStr">
        <is>
          <t>—</t>
        </is>
      </c>
      <c r="M183" s="171" t="inlineStr">
        <is>
          <t>—</t>
        </is>
      </c>
      <c r="N183" s="171" t="inlineStr">
        <is>
          <t>—</t>
        </is>
      </c>
      <c r="O183" s="171" t="inlineStr">
        <is>
          <t>ASSESS
▸  Assess this separately, with its own measures.
▸  Build the case for each condition independently rather than letting evidence for one carry the other.</t>
        </is>
      </c>
      <c r="P183" s="171" t="inlineStr">
        <is>
          <t>DO
▸  State in the report what would be needed to establish this second presentation.
▸  That is often a referral rather than a conclusion you can reach yourself.</t>
        </is>
      </c>
      <c r="Q183" s="171" t="inlineStr">
        <is>
          <t>—</t>
        </is>
      </c>
      <c r="R183" s="171" t="inlineStr">
        <is>
          <t>—</t>
        </is>
      </c>
      <c r="S183" s="171" t="inlineStr">
        <is>
          <t>YOUR PRACTICE
▸  Bring it to supervision: for each child on my caseload with this diagnosis, what has NOT been assessed because the diagnosis was already there?</t>
        </is>
      </c>
      <c r="T183" s="171" t="inlineStr">
        <is>
          <t>WHAT TO DO NEXT
▸  Assess separately, then refer if the threshold is met.</t>
        </is>
      </c>
      <c r="U183" s="171" t="inlineStr">
        <is>
          <t>WHERE THE EVIDENCE GOES
▸  Psychological report — state the co-occurrence and what it changes.</t>
        </is>
      </c>
      <c r="V183" s="171" t="inlineStr">
        <is>
          <t>—</t>
        </is>
      </c>
    </row>
    <row r="184" ht="169.5" customHeight="1" s="128">
      <c r="A184" s="208" t="inlineStr">
        <is>
          <t>CO-OCCURRING</t>
        </is>
      </c>
      <c r="B184" s="208" t="inlineStr">
        <is>
          <t>1. Assessment</t>
        </is>
      </c>
      <c r="C184" s="171" t="inlineStr">
        <is>
          <t>Special Setting (class or school)</t>
        </is>
      </c>
      <c r="D184" s="208" t="inlineStr">
        <is>
          <t>CO-OCCURS WITH DYSLEXIA</t>
        </is>
      </c>
      <c r="E184" s="209" t="inlineStr">
        <is>
          <t>ANXIETY</t>
        </is>
      </c>
      <c r="F184" s="208" t="inlineStr">
        <is>
          <t>see its own entry</t>
        </is>
      </c>
      <c r="G184" s="208" t="inlineStr">
        <is>
          <t>YES — assess separately</t>
        </is>
      </c>
      <c r="H184" s="171" t="inlineStr">
        <is>
          <t>WHERE THIS SITS
▸  Sits under 1. Assessment, alongside Dyslexia.
▸  NEPS category: 1. LEARNING (1.4 Literacy)</t>
        </is>
      </c>
      <c r="I184" s="171" t="inlineStr">
        <is>
          <t>HOW OFTEN IT CO-OCCURS
▸  very common and usually SECONDARY.</t>
        </is>
      </c>
      <c r="J184" s="171" t="inlineStr">
        <is>
          <t>HOW IT PRESENTS WHEN IT CO-OCCURS
▸  avoidance of reading aloud, school reluctance, somatic complaints before literacy lessons. Treat the reading and much of it resolves.</t>
        </is>
      </c>
      <c r="K184" s="171" t="inlineStr">
        <is>
          <t>THE RISK
▸  Do not assume the primary diagnosis explains this.
▸  Write down before you start what the primary diagnosis does NOT explain, then assess that.
▸  Diagnostic overshadowing is the single most common error in co-occurring presentations.</t>
        </is>
      </c>
      <c r="L184" s="171" t="inlineStr">
        <is>
          <t>—</t>
        </is>
      </c>
      <c r="M184" s="171" t="inlineStr">
        <is>
          <t>—</t>
        </is>
      </c>
      <c r="N184" s="171" t="inlineStr">
        <is>
          <t>—</t>
        </is>
      </c>
      <c r="O184" s="171" t="inlineStr">
        <is>
          <t>ASSESS
▸  Assess this separately, with its own measures.
▸  Build the case for each condition independently rather than letting evidence for one carry the other.</t>
        </is>
      </c>
      <c r="P184" s="171" t="inlineStr">
        <is>
          <t>DO
▸  State in the report what would be needed to establish this second presentation.
▸  That is often a referral rather than a conclusion you can reach yourself.</t>
        </is>
      </c>
      <c r="Q184" s="171" t="inlineStr">
        <is>
          <t>—</t>
        </is>
      </c>
      <c r="R184" s="171" t="inlineStr">
        <is>
          <t>—</t>
        </is>
      </c>
      <c r="S184" s="171" t="inlineStr">
        <is>
          <t>YOUR PRACTICE
▸  Bring it to supervision: for each child on my caseload with this diagnosis, what has NOT been assessed because the diagnosis was already there?</t>
        </is>
      </c>
      <c r="T184" s="171" t="inlineStr">
        <is>
          <t>WHAT TO DO NEXT
▸  Assess separately, then refer if the threshold is met.</t>
        </is>
      </c>
      <c r="U184" s="171" t="inlineStr">
        <is>
          <t>WHERE THE EVIDENCE GOES
▸  Psychological report — state the co-occurrence and what it changes.</t>
        </is>
      </c>
      <c r="V184" s="171" t="inlineStr">
        <is>
          <t>—</t>
        </is>
      </c>
    </row>
    <row r="185" ht="169.5" customHeight="1" s="128">
      <c r="A185" s="208" t="inlineStr">
        <is>
          <t>CO-OCCURRING</t>
        </is>
      </c>
      <c r="B185" s="208" t="inlineStr">
        <is>
          <t>1. Assessment</t>
        </is>
      </c>
      <c r="C185" s="171" t="inlineStr">
        <is>
          <t>Special Setting (class or school)</t>
        </is>
      </c>
      <c r="D185" s="208" t="inlineStr">
        <is>
          <t>CO-OCCURS WITH DYSLEXIA</t>
        </is>
      </c>
      <c r="E185" s="209" t="inlineStr">
        <is>
          <t>LOW SELF-CONCEPT</t>
        </is>
      </c>
      <c r="F185" s="208" t="inlineStr">
        <is>
          <t>see its own entry</t>
        </is>
      </c>
      <c r="G185" s="208" t="inlineStr">
        <is>
          <t>YES — assess separately</t>
        </is>
      </c>
      <c r="H185" s="171" t="inlineStr">
        <is>
          <t>WHERE THIS SITS
▸  Sits under 1. Assessment, alongside Dyslexia.
▸  NEPS category: 1. LEARNING (1.4 Literacy)</t>
        </is>
      </c>
      <c r="I185" s="171" t="inlineStr">
        <is>
          <t>HOW OFTEN IT CO-OCCURS
▸  Rate not stated in source — check before quoting.</t>
        </is>
      </c>
      <c r="J185" s="171" t="inlineStr">
        <is>
          <t>HOW IT PRESENTS WHEN IT CO-OCCURS
▸  almost universal where identification has been late. Academic self-concept drops before global self-esteem does.</t>
        </is>
      </c>
      <c r="K185" s="171" t="inlineStr">
        <is>
          <t>THE RISK
▸  Do not assume the primary diagnosis explains this.
▸  Write down before you start what the primary diagnosis does NOT explain, then assess that.
▸  Diagnostic overshadowing is the single most common error in co-occurring presentations.</t>
        </is>
      </c>
      <c r="L185" s="171" t="inlineStr">
        <is>
          <t>—</t>
        </is>
      </c>
      <c r="M185" s="171" t="inlineStr">
        <is>
          <t>—</t>
        </is>
      </c>
      <c r="N185" s="171" t="inlineStr">
        <is>
          <t>—</t>
        </is>
      </c>
      <c r="O185" s="171" t="inlineStr">
        <is>
          <t>ASSESS
▸  Assess this separately, with its own measures.
▸  Build the case for each condition independently rather than letting evidence for one carry the other.</t>
        </is>
      </c>
      <c r="P185" s="171" t="inlineStr">
        <is>
          <t>DO
▸  State in the report what would be needed to establish this second presentation.
▸  That is often a referral rather than a conclusion you can reach yourself.</t>
        </is>
      </c>
      <c r="Q185" s="171" t="inlineStr">
        <is>
          <t>—</t>
        </is>
      </c>
      <c r="R185" s="171" t="inlineStr">
        <is>
          <t>—</t>
        </is>
      </c>
      <c r="S185" s="171" t="inlineStr">
        <is>
          <t>YOUR PRACTICE
▸  Bring it to supervision: for each child on my caseload with this diagnosis, what has NOT been assessed because the diagnosis was already there?</t>
        </is>
      </c>
      <c r="T185" s="171" t="inlineStr">
        <is>
          <t>WHAT TO DO NEXT
▸  Assess separately, then refer if the threshold is met.</t>
        </is>
      </c>
      <c r="U185" s="171" t="inlineStr">
        <is>
          <t>WHERE THE EVIDENCE GOES
▸  Psychological report — state the co-occurrence and what it changes.</t>
        </is>
      </c>
      <c r="V185" s="171" t="inlineStr">
        <is>
          <t>—</t>
        </is>
      </c>
    </row>
    <row r="186" ht="169.5" customHeight="1" s="128">
      <c r="A186" s="208" t="inlineStr">
        <is>
          <t>CO-OCCURRING</t>
        </is>
      </c>
      <c r="B186" s="208" t="inlineStr">
        <is>
          <t>1. Assessment</t>
        </is>
      </c>
      <c r="C186" s="171" t="inlineStr">
        <is>
          <t>Special Setting (class or school)</t>
        </is>
      </c>
      <c r="D186" s="208" t="inlineStr">
        <is>
          <t>CO-OCCURS WITH DYSLEXIA</t>
        </is>
      </c>
      <c r="E186" s="209" t="inlineStr">
        <is>
          <t>GLUE EAR HISTORY</t>
        </is>
      </c>
      <c r="F186" s="208" t="inlineStr">
        <is>
          <t>see its own entry</t>
        </is>
      </c>
      <c r="G186" s="208" t="inlineStr">
        <is>
          <t>YES — assess separately</t>
        </is>
      </c>
      <c r="H186" s="171" t="inlineStr">
        <is>
          <t>WHERE THIS SITS
▸  Sits under 1. Assessment, alongside Dyslexia.
▸  NEPS category: 1. LEARNING (1.4 Literacy)</t>
        </is>
      </c>
      <c r="I186" s="171" t="inlineStr">
        <is>
          <t>HOW OFTEN IT CO-OCCURS
▸  Rate not stated in source — check before quoting.</t>
        </is>
      </c>
      <c r="J186" s="171" t="inlineStr">
        <is>
          <t>HOW IT PRESENTS WHEN IT CO-OCCURS
▸  not a co-occurring condition but a competing explanation. Always ask about the infant years.</t>
        </is>
      </c>
      <c r="K186" s="171" t="inlineStr">
        <is>
          <t>THE RISK
▸  Do not assume the primary diagnosis explains this.
▸  Write down before you start what the primary diagnosis does NOT explain, then assess that.
▸  Diagnostic overshadowing is the single most common error in co-occurring presentations.</t>
        </is>
      </c>
      <c r="L186" s="171" t="inlineStr">
        <is>
          <t>—</t>
        </is>
      </c>
      <c r="M186" s="171" t="inlineStr">
        <is>
          <t>—</t>
        </is>
      </c>
      <c r="N186" s="171" t="inlineStr">
        <is>
          <t>—</t>
        </is>
      </c>
      <c r="O186" s="171" t="inlineStr">
        <is>
          <t>ASSESS
▸  Assess this separately, with its own measures.
▸  Build the case for each condition independently rather than letting evidence for one carry the other.</t>
        </is>
      </c>
      <c r="P186" s="171" t="inlineStr">
        <is>
          <t>DO
▸  State in the report what would be needed to establish this second presentation.
▸  That is often a referral rather than a conclusion you can reach yourself.</t>
        </is>
      </c>
      <c r="Q186" s="171" t="inlineStr">
        <is>
          <t>—</t>
        </is>
      </c>
      <c r="R186" s="171" t="inlineStr">
        <is>
          <t>—</t>
        </is>
      </c>
      <c r="S186" s="171" t="inlineStr">
        <is>
          <t>YOUR PRACTICE
▸  Bring it to supervision: for each child on my caseload with this diagnosis, what has NOT been assessed because the diagnosis was already there?</t>
        </is>
      </c>
      <c r="T186" s="171" t="inlineStr">
        <is>
          <t>WHAT TO DO NEXT
▸  Assess separately, then refer if the threshold is met.</t>
        </is>
      </c>
      <c r="U186" s="171" t="inlineStr">
        <is>
          <t>WHERE THE EVIDENCE GOES
▸  Psychological report — state the co-occurrence and what it changes.</t>
        </is>
      </c>
      <c r="V186" s="171" t="inlineStr">
        <is>
          <t>—</t>
        </is>
      </c>
    </row>
    <row r="187" ht="408.75" customHeight="1" s="128">
      <c r="A187" s="210" t="inlineStr">
        <is>
          <t>PRESENTATION</t>
        </is>
      </c>
      <c r="B187" s="210" t="inlineStr">
        <is>
          <t>1. Assessment</t>
        </is>
      </c>
      <c r="C187" s="170" t="inlineStr">
        <is>
          <t>Special Setting (class or school)</t>
        </is>
      </c>
      <c r="D187" s="210" t="inlineStr">
        <is>
          <t>SYMPTOM-ONLY</t>
        </is>
      </c>
      <c r="E187" s="211" t="inlineStr">
        <is>
          <t>Presentations related to Dyslexia — no diagnosis</t>
        </is>
      </c>
      <c r="F187" s="210" t="inlineStr">
        <is>
          <t>No DSM code</t>
        </is>
      </c>
      <c r="G187" s="210" t="inlineStr">
        <is>
          <t>YES — these present at every band</t>
        </is>
      </c>
      <c r="H187" s="170" t="inlineStr">
        <is>
          <t>WHERE THIS SITS
▸  NEPS category: as above
▸  UCD competency: 1. Assessment
▸  CORU: 3.1 · 3.2 · 5.28 · 5.29 · 5.30 · 5.31 · 5.32
▸  PSI: 2.2.2 · 2.3.1 · 1.3.1 · 1.2.8</t>
        </is>
      </c>
      <c r="I187" s="170" t="inlineStr">
        <is>
          <t>THE PRESENTATIONS — no diagnosis needed, and most referrals look like this
▸  Literacy difficulty not meeting SLD criteria
▸  Reading stamina and avoidance of reading aloud
▸  Spelling as a barrier to written output
▸  Assistive technology not yet trialled
▸  Instruction history — what has actually been taught
▸  Glue ear history during the years phonics was taught</t>
        </is>
      </c>
      <c r="J187" s="170" t="inlineStr">
        <is>
          <t>HOW COMMON
▸  No prevalence figures exist for these — they are descriptions, not categories.
▸  They are more common than the diagnosis they sit beside.</t>
        </is>
      </c>
      <c r="K187" s="170" t="inlineStr">
        <is>
          <t>THE PATHWAY
▸  No diagnostic pathway. Nobody diagnoses these.
▸  You describe them, formulate around them, and recommend. That is the whole pathway.
▸  If a parent asks who diagnoses it: nobody. Say that plainly, and say it does not make the difficulty less real or less workable.</t>
        </is>
      </c>
      <c r="L187" s="170" t="inlineStr">
        <is>
          <t>WHAT YOU SEE
▸  These are what the referral form actually describes in Section 5.
▸  Look for the pattern across settings rather than a threshold.</t>
        </is>
      </c>
      <c r="M187" s="170" t="inlineStr">
        <is>
          <t>RED FLAGS
▸  Escalating distress, withdrawal or risk indicators — follow the protocol regardless of whether a diagnosis exists.
▸  Do not let the absence of a diagnosis delay a safeguarding response.</t>
        </is>
      </c>
      <c r="N187" s="170" t="inlineStr">
        <is>
          <t>WHAT ELSE COULD IT BE
▸  Each of these can be the visible edge of the diagnosed condition above.
▸  Each can also occur entirely on its own.
▸  Test the sequence: which came first?</t>
        </is>
      </c>
      <c r="O187" s="170" t="inlineStr">
        <is>
          <t>ASSESS
▸  Observation with a comparison peer.
▸  Teacher and parent interview.
▸  Pupil interview — their account is the evidence here.
▸  Rating scales describe perception, not the presentation itself.</t>
        </is>
      </c>
      <c r="P187" s="170" t="inlineStr">
        <is>
          <t>DO
▸  Name the presentation precisely rather than reaching for a label.
▸  Recommend at the level of the behaviour, not the hypothetical diagnosis.
▸  Specify what, who, how often, for how long, and how it will be measured.
▸  Name the Continuum of Support level.</t>
        </is>
      </c>
      <c r="Q187" s="170" t="inlineStr">
        <is>
          <t>EXPLAIN
▸  To a parent: “There isn’t a diagnosis for this, and it’s still real and still workable. Here’s what we do.”
▸  To a teacher: describe the behaviour in countable terms, not in trait terms.
▸  To the child: ask what helps, and use their words in the report.</t>
        </is>
      </c>
      <c r="R187" s="170" t="inlineStr">
        <is>
          <t>CHILD’S VOICE AND QUESTIONS
▸  Talking Mats · Blob Tree · scaling on a drawn ladder · sentence completion · day mapping.
▸  Q: “So there’s nothing wrong with him?” A: “There’s a real difficulty and it doesn’t have a label. Labels help get resources; they don’t make a difficulty more or less real.”
▸  Q: “Should we get him assessed privately?” A: give the honest position on what a diagnosis would and would not change here.</t>
        </is>
      </c>
      <c r="S187" s="170" t="inlineStr">
        <is>
          <t>YOUR PRACTICE
▸  Bring a case where you were pulled toward a label the data did not support.
▸  Reflect: did I describe, or did I reach? Whose language did I use?</t>
        </is>
      </c>
      <c r="T187" s="170" t="inlineStr">
        <is>
          <t>WHAT TO DO NEXT
▸  Proceed to formulation. These belong at the behavioural level of the Interactive Factors Framework.
▸  Test whether an unmet learning need is underneath before concluding anything.</t>
        </is>
      </c>
      <c r="U187" s="170" t="inlineStr">
        <is>
          <t>WHERE THE EVIDENCE GOES
▸  Psychological report
▸  Appendix 5 entry
▸  Log sheet</t>
        </is>
      </c>
      <c r="V187" s="170" t="inlineStr">
        <is>
          <t>CITATIONS
▸  Frederickson &amp; Cline (2009)
▸  Monsen &amp; Frederickson (2008)
▸  NEPS Continuum of Support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tabColor rgb="FF2E8B57"/>
    <outlinePr summaryBelow="1" summaryRight="1"/>
    <pageSetUpPr fitToPage="0"/>
  </sheetPr>
  <dimension ref="A1:U536"/>
  <sheetViews>
    <sheetView showFormulas="0" showGridLines="1" showRowColHeaders="1" showZeros="1" rightToLeft="0" tabSelected="0" showOutlineSymbols="1" defaultGridColor="1" view="normal" topLeftCell="A1" colorId="64" zoomScale="100" zoomScaleNormal="100" zoomScalePageLayoutView="100" workbookViewId="0">
      <pane xSplit="7" ySplit="1" topLeftCell="H2" activePane="bottomRight" state="frozen"/>
      <selection pane="topLeft" activeCell="A1" activeCellId="0" sqref="A1"/>
      <selection pane="topRight" activeCell="H1" activeCellId="0" sqref="H1"/>
      <selection pane="bottomLeft" activeCell="A2" activeCellId="0" sqref="A2"/>
      <selection pane="bottomRight" activeCell="A1" activeCellId="0" sqref="A1"/>
    </sheetView>
  </sheetViews>
  <sheetFormatPr baseColWidth="8" defaultColWidth="8.6796875" defaultRowHeight="15" zeroHeight="0" outlineLevelRow="2"/>
  <cols>
    <col width="8" customWidth="1" style="127" min="1" max="1"/>
    <col width="18" customWidth="1" style="127" min="2" max="2"/>
    <col width="26" customWidth="1" style="127" min="3" max="3"/>
    <col width="24" customWidth="1" style="127" min="4" max="4"/>
    <col width="34" customWidth="1" style="127" min="5" max="5"/>
    <col width="16" customWidth="1" style="127" min="6" max="6"/>
    <col width="60" customWidth="1" style="127" min="7" max="7"/>
    <col width="62" customWidth="1" style="127" min="8" max="10"/>
    <col width="66" customWidth="1" style="127" min="11" max="11"/>
    <col width="62" customWidth="1" style="127" min="12" max="12"/>
    <col width="50" customWidth="1" style="127" min="13" max="13"/>
    <col width="44" customWidth="1" style="127" min="14" max="14"/>
    <col width="15" customWidth="1" style="127" min="15" max="15"/>
    <col width="44" customWidth="1" style="127" min="16" max="16"/>
    <col width="10" customWidth="1" style="127" min="17" max="17"/>
    <col width="15" customWidth="1" style="127" min="18" max="20"/>
    <col width="26" customWidth="1" style="127" min="21" max="21"/>
  </cols>
  <sheetData>
    <row r="1" ht="42" customHeight="1" s="128">
      <c r="A1" s="213" t="inlineStr">
        <is>
          <t>Level</t>
        </is>
      </c>
      <c r="B1" s="213" t="inlineStr">
        <is>
          <t>UCD competency</t>
        </is>
      </c>
      <c r="C1" s="213" t="inlineStr">
        <is>
          <t>Macro skill</t>
        </is>
      </c>
      <c r="D1" s="213" t="inlineStr">
        <is>
          <t>Block</t>
        </is>
      </c>
      <c r="E1" s="213" t="inlineStr">
        <is>
          <t>Micro-skill</t>
        </is>
      </c>
      <c r="F1" s="213" t="inlineStr">
        <is>
          <t>Standard</t>
        </is>
      </c>
      <c r="G1" s="213" t="inlineStr">
        <is>
          <t>WHY THIS MICRO-SKILL MATTERS</t>
        </is>
      </c>
      <c r="H1" s="214" t="inlineStr">
        <is>
          <t>1 · WATCH</t>
        </is>
      </c>
      <c r="I1" s="214" t="inlineStr">
        <is>
          <t>2 · DO ALONGSIDE</t>
        </is>
      </c>
      <c r="J1" s="214" t="inlineStr">
        <is>
          <t>3 · LEAD, SUPERVISOR IN ROOM</t>
        </is>
      </c>
      <c r="K1" s="214" t="inlineStr">
        <is>
          <t>4 · LEAD, DISCUSS AFTER</t>
        </is>
      </c>
      <c r="L1" s="214" t="inlineStr">
        <is>
          <t>5 · LEAD AND TEACH</t>
        </is>
      </c>
      <c r="M1" s="215" t="inlineStr">
        <is>
          <t>THE ERROR THAT COSTS MARKS</t>
        </is>
      </c>
      <c r="N1" s="215" t="inlineStr">
        <is>
          <t>WHAT IT FEEDS INTO NEXT</t>
        </is>
      </c>
      <c r="O1" s="216" t="inlineStr">
        <is>
          <t>WHERE I AM NOW</t>
        </is>
      </c>
      <c r="P1" s="216" t="inlineStr">
        <is>
          <t>THE SINGLE NEXT STEP</t>
        </is>
      </c>
      <c r="Q1" s="217" t="inlineStr">
        <is>
          <t>Year this sits in</t>
        </is>
      </c>
      <c r="R1" s="217" t="inlineStr">
        <is>
          <t>TARGET — stage 3 by</t>
        </is>
      </c>
      <c r="S1" s="217" t="inlineStr">
        <is>
          <t>TARGET — stage 4 by</t>
        </is>
      </c>
      <c r="T1" s="217" t="inlineStr">
        <is>
          <t>TARGET — stage 5 by</t>
        </is>
      </c>
      <c r="U1" s="217" t="inlineStr">
        <is>
          <t>Where the evidence goes</t>
        </is>
      </c>
    </row>
    <row r="2" ht="69.75" customHeight="1" s="128">
      <c r="A2" s="218" t="inlineStr">
        <is>
          <t>HOW TO USE</t>
        </is>
      </c>
      <c r="B2" s="218" t="inlineStr">
        <is>
          <t>Read down for the skills. Read across for how far you have got.</t>
        </is>
      </c>
      <c r="C2" s="218" t="n"/>
      <c r="D2" s="218" t="n"/>
      <c r="E2" s="218" t="inlineStr">
        <is>
          <t>Set column O to where you honestly are. Column M tells you the ONE thing that moves you up by one stage — not two.</t>
        </is>
      </c>
      <c r="F2" s="218" t="n"/>
      <c r="G2" s="218" t="inlineStr">
        <is>
          <t>You have seen it done and can describe what the person did, and why they did it that way.</t>
        </is>
      </c>
      <c r="H2" s="218" t="inlineStr">
        <is>
          <t>You do part of it with your supervisor present. They hold the difficult bit.</t>
        </is>
      </c>
      <c r="I2" s="218" t="inlineStr">
        <is>
          <t>You run it. They are there and can step in.</t>
        </is>
      </c>
      <c r="J2" s="218" t="inlineStr">
        <is>
          <t>You do it alone and bring it to supervision. This is the Year 1 target for most skills.</t>
        </is>
      </c>
      <c r="K2" s="218" t="inlineStr">
        <is>
          <t>You do it unsupervised and could show a peer how. You can say what you do when it goes wrong.</t>
        </is>
      </c>
      <c r="L2" s="218" t="n"/>
      <c r="M2" s="218" t="n"/>
      <c r="N2" s="218" t="n"/>
      <c r="O2" s="218" t="n"/>
      <c r="P2" s="218" t="n"/>
      <c r="Q2" s="218" t="n"/>
      <c r="R2" s="218" t="inlineStr">
        <is>
          <t>Dates are guidance, not deadlines. Year 1 target for most skills is STAGE 4, not 5.</t>
        </is>
      </c>
      <c r="S2" s="218" t="n"/>
      <c r="T2" s="218" t="n"/>
      <c r="U2" s="218" t="n"/>
    </row>
    <row r="3" ht="21.75" customHeight="1" s="128">
      <c r="A3" s="173" t="inlineStr">
        <is>
          <t>COMPETENCY</t>
        </is>
      </c>
      <c r="B3" s="173" t="inlineStr">
        <is>
          <t>1. Assessment</t>
        </is>
      </c>
      <c r="C3" s="173" t="n"/>
      <c r="D3" s="173" t="n"/>
      <c r="E3" s="173" t="inlineStr">
        <is>
          <t>10 macro skills · 30 blocks · 84 micro-skills</t>
        </is>
      </c>
      <c r="F3" s="173" t="n"/>
      <c r="G3" s="173" t="n"/>
      <c r="H3" s="173" t="n"/>
      <c r="I3" s="173" t="n"/>
      <c r="J3" s="173" t="n"/>
      <c r="K3" s="173" t="n"/>
      <c r="L3" s="173" t="n"/>
      <c r="M3" s="173" t="n"/>
      <c r="N3" s="173" t="n"/>
      <c r="O3" s="173" t="n"/>
      <c r="P3" s="173" t="n"/>
      <c r="Q3" s="173" t="n"/>
      <c r="R3" s="173" t="n"/>
      <c r="S3" s="173" t="n"/>
      <c r="T3" s="173" t="n"/>
      <c r="U3" s="173" t="n"/>
    </row>
    <row r="4" ht="19.5" customHeight="1" s="128">
      <c r="A4" s="219" t="inlineStr">
        <is>
          <t>MACRO SKILL</t>
        </is>
      </c>
      <c r="B4" s="219" t="inlineStr">
        <is>
          <t>1. Assessment</t>
        </is>
      </c>
      <c r="C4" s="219" t="inlineStr">
        <is>
          <t>Observation in classroom, playground and clinic</t>
        </is>
      </c>
      <c r="D4" s="219" t="n"/>
      <c r="E4" s="219" t="inlineStr">
        <is>
          <t>4 blocks · 11 micro-skills</t>
        </is>
      </c>
      <c r="F4" s="219" t="inlineStr">
        <is>
          <t>CORU 3.1 · 5.31 · 2.8</t>
        </is>
      </c>
      <c r="G4" s="219" t="n"/>
      <c r="H4" s="219" t="n"/>
      <c r="I4" s="219" t="n"/>
      <c r="J4" s="219" t="n"/>
      <c r="K4" s="219" t="n"/>
      <c r="L4" s="219" t="n"/>
      <c r="M4" s="219" t="n"/>
      <c r="N4" s="219" t="n"/>
      <c r="O4" s="219" t="n"/>
      <c r="P4" s="219" t="n"/>
      <c r="Q4" s="219" t="inlineStr">
        <is>
          <t>Year 1</t>
        </is>
      </c>
      <c r="R4" s="219" t="n"/>
      <c r="S4" s="219" t="n"/>
      <c r="T4" s="219" t="n"/>
      <c r="U4" s="219" t="n"/>
    </row>
    <row r="5" outlineLevel="2" ht="43.5" customHeight="1" s="128">
      <c r="A5" s="220" t="inlineStr">
        <is>
          <t>BLOCK</t>
        </is>
      </c>
      <c r="B5" s="220" t="inlineStr">
        <is>
          <t>1. Assessment</t>
        </is>
      </c>
      <c r="C5" s="220" t="inlineStr">
        <is>
          <t>Observation in classroom, playground and clinic</t>
        </is>
      </c>
      <c r="D5" s="221" t="inlineStr">
        <is>
          <t>Block 1 · Knowing the methods</t>
        </is>
      </c>
      <c r="E5" s="222" t="inlineStr">
        <is>
          <t>The four observation methods — timed interval, event sampling, ABC recording, narrative — and what each is good and bad at.</t>
        </is>
      </c>
      <c r="F5" s="220" t="inlineStr">
        <is>
          <t>3–4 hours, once · Weeks 1–2</t>
        </is>
      </c>
      <c r="G5" s="220" t="n"/>
      <c r="H5" s="220" t="n"/>
      <c r="I5" s="220" t="n"/>
      <c r="J5" s="220" t="n"/>
      <c r="K5" s="220" t="n"/>
      <c r="L5" s="220" t="n"/>
      <c r="M5" s="222" t="n"/>
      <c r="N5" s="220" t="n"/>
      <c r="O5" s="220" t="n"/>
      <c r="P5" s="220" t="inlineStr">
        <is>
          <t>How you build it: Read one methods chapter. Write a one-page comparison. Then use each once.</t>
        </is>
      </c>
      <c r="Q5" s="220" t="n"/>
      <c r="R5" s="220" t="n"/>
      <c r="S5" s="220" t="n"/>
      <c r="T5" s="220" t="n"/>
      <c r="U5" s="220" t="n"/>
    </row>
    <row r="6" outlineLevel="2" ht="408.75" customHeight="1" s="128">
      <c r="A6" s="139" t="inlineStr">
        <is>
          <t>MICRO-SKILL</t>
        </is>
      </c>
      <c r="B6" s="139" t="inlineStr">
        <is>
          <t>1. Assessment</t>
        </is>
      </c>
      <c r="C6" s="139" t="inlineStr">
        <is>
          <t>Observation in classroom, playground and clinic</t>
        </is>
      </c>
      <c r="D6" s="139" t="inlineStr">
        <is>
          <t>Block 1 · Knowing the methods</t>
        </is>
      </c>
      <c r="E6" s="223" t="inlineStr">
        <is>
          <t>Choose a method suited to the referral question</t>
        </is>
      </c>
      <c r="F6" s="139" t="inlineStr">
        <is>
          <t>CORU SoP 3.2</t>
        </is>
      </c>
      <c r="G6" s="165" t="inlineStr">
        <is>
          <t>Method choice is the single decision that determines whether an observation produces evidence or description. Momentary time sampling estimates how much of the time something occurs; partial interval over-estimates it; event recording counts discrete acts; narrative gives sequence but no prevalence. Choose the wrong one and the number you report answers a question nobody asked.</t>
        </is>
      </c>
      <c r="H6" s="165" t="inlineStr">
        <is>
          <t>WATCH FOR — which method your supervisor picked, and listen for whether they say why. Most experienced practitioners choose automatically and have not articulated it in years.
WRITE DOWN — the referral question in the referrer's words, the method used, the interval length, and whether a comparison peer was recorded.
ASK AFTERWARDS — 'you used momentary sampling rather than partial interval — what would partial interval have given you instead?' That one question is where the learning is.</t>
        </is>
      </c>
      <c r="I6" s="165" t="inlineStr">
        <is>
          <t>YOU TAKE — writing the operational definition on paper before you go in, and drafting the recording grid.
THEY HOLD — the final method decision and the interval length.
WHY THAT SPLIT — definition-writing is where trainees learn fastest and where errors are cheapest to correct. Method choice carries the consequence, so it stays with them one more round.</t>
        </is>
      </c>
      <c r="J6" s="165" t="inlineStr">
        <is>
          <t>YOU RUN IT — you choose the method, state your reasoning aloud before the observation, and your supervisor either agrees or redirects.
WHAT THEY ARE WATCHING FOR — whether your reasoning starts from the referral question or from the method you are most comfortable with. Defaulting to narrative because it feels safe is the commonest trainee pattern.
STEPPING IN LOOKS LIKE — 'before we go in, what will you do if the behaviour does not occur at all in twenty minutes?'</t>
        </is>
      </c>
      <c r="K6" s="207" t="inlineStr">
        <is>
          <t>YOU DO IT ALONE — choose the method, run it, and bring both the grid and your reasoning to supervision.
PASS TEST — you can say why this method and what another would have missed.
EVIDENCE TO FILE — the operational definition sheet, the completed grid, and one line in the report naming the method and why. Log against Assessment and against the referral area.
WHAT FAILURE LOOKS LIKE — you report a percentage without naming the sampling method, so nobody including you can tell what the number means.</t>
        </is>
      </c>
      <c r="L6" s="165" t="inlineStr">
        <is>
          <t>YOU CAN TEACH IT — you can explain to a colleague, without notes, the difference between momentary, partial-interval, whole-interval and event recording, and give a worked case where each is the right choice.
WHEN IT GOES WRONG — you can say what to do when the target behaviour does not occur during the observation window: report the zero, note the conditions, and say what you would change about the timing rather than reporting nothing.</t>
        </is>
      </c>
      <c r="M6" s="224" t="inlineStr">
        <is>
          <t>Choosing narrative recording because it requires no preparation, then discovering you cannot answer 'how often' — which is what the school actually asked.</t>
        </is>
      </c>
      <c r="N6" s="165" t="inlineStr">
        <is>
          <t>→ Feeds directly into 'Run a timed interval or event sample accurately' and into the formulation, where the observation is evidence for or against a named hypothesis.</t>
        </is>
      </c>
      <c r="O6" s="225" t="inlineStr">
        <is>
          <t>Not started</t>
        </is>
      </c>
      <c r="P6" s="165" t="inlineStr">
        <is>
          <t>WATCH FOR — which method your supervisor picked, and listen for whether they say why. Most experienced practitioners choose automatically and have not articulated it in years.</t>
        </is>
      </c>
      <c r="Q6" s="139" t="inlineStr">
        <is>
          <t>Year 1</t>
        </is>
      </c>
      <c r="R6" s="226" t="inlineStr">
        <is>
          <t>26/10/2026</t>
        </is>
      </c>
      <c r="S6" s="226" t="inlineStr">
        <is>
          <t>16/11/2026</t>
        </is>
      </c>
      <c r="T6" s="226" t="inlineStr">
        <is>
          <t>14/12/2026</t>
        </is>
      </c>
      <c r="U6" s="139" t="inlineStr">
        <is>
          <t>Appendix 5 · Appendix 7 if observed · Log sheet tagged 1. Assessment</t>
        </is>
      </c>
    </row>
    <row r="7" outlineLevel="2" ht="408.75" customHeight="1" s="128">
      <c r="A7" s="139" t="inlineStr">
        <is>
          <t>MICRO-SKILL</t>
        </is>
      </c>
      <c r="B7" s="139" t="inlineStr">
        <is>
          <t>1. Assessment</t>
        </is>
      </c>
      <c r="C7" s="139" t="inlineStr">
        <is>
          <t>Observation in classroom, playground and clinic</t>
        </is>
      </c>
      <c r="D7" s="139" t="inlineStr">
        <is>
          <t>Block 1 · Knowing the methods</t>
        </is>
      </c>
      <c r="E7" s="223" t="inlineStr">
        <is>
          <t>Run a timed interval or event sample accurately</t>
        </is>
      </c>
      <c r="F7" s="139" t="inlineStr">
        <is>
          <t>CORU SoP 5.6</t>
        </is>
      </c>
      <c r="G7" s="165" t="inlineStr">
        <is>
          <t>An inconsistent interval makes every number meaningless, and an illegible grid means the data exists only in your memory — which is exactly what observation is supposed to replace. Hintze (2005) is clear that psychometric quality in direct observation rests on procedural consistency, not on the observer's experience.</t>
        </is>
      </c>
      <c r="H7" s="165" t="inlineStr">
        <is>
          <t>WATCH FOR — what they use to time it. A silent vibrating timer or a watch, never a phone they might touch. Watch how they mark the grid without looking away for long.
WRITE DOWN — the interval length, how they signalled it to themselves, and how many intervals they ran.
ASK AFTERWARDS — 'how do you keep counting when something interesting happens that is not what you are counting?'</t>
        </is>
      </c>
      <c r="I7" s="165" t="inlineStr">
        <is>
          <t>YOU TAKE — recording the comparison peer on alternating intervals while your supervisor records the target child.
THEY HOLD — the target child's record, which is the one that matters.
WHY THAT SPLIT — you get the timing discipline and the grid practice with the lower-stakes row, and at the end you have two records to compare for agreement.</t>
        </is>
      </c>
      <c r="J7" s="165" t="inlineStr">
        <is>
          <t>YOU RUN IT — you record both rows while your supervisor records independently alongside you.
WHAT THEY ARE WATCHING FOR — drift. Trainees lengthen intervals when the behaviour is not occurring and shorten them when it is, without noticing.
STEPPING IN LOOKS LIKE — comparing the two grids afterwards and calculating agreement. Below about 80% and something in your procedure needs fixing before the next one.</t>
        </is>
      </c>
      <c r="K7" s="207" t="inlineStr">
        <is>
          <t>YOU DO IT ALONE — run the full observation and bring the raw grid, not a summary.
PASS TEST — intervals are consistent and the record is legible to someone else. Hand it to a colleague: can they read it?
EVIDENCE TO FILE — the raw grid itself, retained with the case file. Not a typed-up version.
WHAT FAILURE LOOKS LIKE — a grid only you can read, or one where you filled gaps afterwards from memory. Both invalidate the data and neither is visible in the final report, which is why it matters that you know.</t>
        </is>
      </c>
      <c r="L7" s="165" t="inlineStr">
        <is>
          <t>YOU CAN TEACH IT — you can set up an inter-observer agreement check for a colleague and calculate it, and you can explain why 80% is the usual floor.
WHEN IT GOES WRONG — you can say what to do when you lose the interval count mid-observation: mark the break, restart the count, and report the two segments separately rather than pretending it was continuous.</t>
        </is>
      </c>
      <c r="M7" s="224" t="inlineStr">
        <is>
          <t>Reconstructing missed intervals from memory afterwards. It feels like tidying and it is fabrication.</t>
        </is>
      </c>
      <c r="N7" s="165" t="inlineStr">
        <is>
          <t>→ Feeds into every quantitative statement you make about frequency, and into the single-case designs in the Research competency.</t>
        </is>
      </c>
      <c r="O7" s="225" t="inlineStr">
        <is>
          <t>Not started</t>
        </is>
      </c>
      <c r="P7" s="165" t="inlineStr">
        <is>
          <t>WATCH FOR — what they use to time it. A silent vibrating timer or a watch, never a phone they might touch. Watch how they mark the grid without looking away for long.</t>
        </is>
      </c>
      <c r="Q7" s="139" t="inlineStr">
        <is>
          <t>Year 1</t>
        </is>
      </c>
      <c r="R7" s="226" t="inlineStr">
        <is>
          <t>26/10/2026</t>
        </is>
      </c>
      <c r="S7" s="226" t="inlineStr">
        <is>
          <t>16/11/2026</t>
        </is>
      </c>
      <c r="T7" s="226" t="inlineStr">
        <is>
          <t>14/12/2026</t>
        </is>
      </c>
      <c r="U7" s="139" t="inlineStr">
        <is>
          <t>Raw grid retained with the case file · Appendix 5 · Log sheet</t>
        </is>
      </c>
    </row>
    <row r="8" outlineLevel="2" ht="408.75" customHeight="1" s="128">
      <c r="A8" s="139" t="inlineStr">
        <is>
          <t>MICRO-SKILL</t>
        </is>
      </c>
      <c r="B8" s="139" t="inlineStr">
        <is>
          <t>1. Assessment</t>
        </is>
      </c>
      <c r="C8" s="139" t="inlineStr">
        <is>
          <t>Observation in classroom, playground and clinic</t>
        </is>
      </c>
      <c r="D8" s="139" t="inlineStr">
        <is>
          <t>Block 1 · Knowing the methods</t>
        </is>
      </c>
      <c r="E8" s="223" t="inlineStr">
        <is>
          <t>Record antecedent, behaviour and consequence separately</t>
        </is>
      </c>
      <c r="F8" s="139" t="inlineStr">
        <is>
          <t>CORU SoP 2.8</t>
        </is>
      </c>
      <c r="G8" s="165" t="inlineStr">
        <is>
          <t>ABC recording is the foundation of a functional account — what happened before, what the child did, what followed. The discipline is keeping them separate, because the moment you write the cause into the description you have stopped observing and started concluding, and nobody reading the report can tell where that happened.</t>
        </is>
      </c>
      <c r="H8" s="165" t="inlineStr">
        <is>
          <t>WATCH FOR — how your supervisor words the behaviour column. Listen for verbs and absence of adjectives.
WRITE DOWN — three of their entries verbatim, and note what is in the antecedent column that you would have put in the behaviour column.
ASK AFTERWARDS — 'how do you decide where the antecedent ends and the behaviour begins?' There is no clean rule and hearing them think about it is the point.</t>
        </is>
      </c>
      <c r="I8" s="165" t="inlineStr">
        <is>
          <t>YOU TAKE — the antecedent and consequence columns.
THEY HOLD — the behaviour column, which is the hardest to keep clean.
WHY THAT SPLIT — antecedent and consequence are more concrete and give you the rhythm of the recording without the interpretive trap.</t>
        </is>
      </c>
      <c r="J8" s="165" t="inlineStr">
        <is>
          <t>YOU RUN IT — all three columns, with your supervisor reading your entries during the observation rather than afterwards.
WHAT THEY ARE WATCHING FOR — inference leaking into the behaviour column. 'Got frustrated' is inference. 'Pushed the book away and put his head down' is behaviour.
STEPPING IN LOOKS LIKE — pointing at an entry and asking 'what did you actually see that made you write that?'</t>
        </is>
      </c>
      <c r="K8" s="207" t="inlineStr">
        <is>
          <t>YOU DO IT ALONE — full ABC record, brought raw to supervision.
PASS TEST — you have not written the cause into the description. Read every behaviour entry and ask: could a camera have recorded this?
EVIDENCE TO FILE — the ABC record, and in the report a clearly separated 'what was observed' and 'what this suggests'. PSI 1.2.8 requires opinion to be labelled as opinion.
WHAT FAILURE LOOKS LIKE — a report where a parent cannot tell which parts were seen and which were concluded. This is the failure most likely to cause harm, because it is invisible and it gets repeated by others for years.</t>
        </is>
      </c>
      <c r="L8" s="165" t="inlineStr">
        <is>
          <t>YOU CAN TEACH IT — you can take a colleague's ABC record and show them, entry by entry, where inference crept in, without it landing as criticism.
WHEN IT GOES WRONG — you can say what to do when the antecedent was not visible: record 'not observed' rather than inferring backwards from the behaviour. An honest gap is worth more than a plausible guess.</t>
        </is>
      </c>
      <c r="M8" s="224" t="inlineStr">
        <is>
          <t>Writing 'became frustrated', 'was attention-seeking' or 'refused' in the behaviour column. All three are conclusions wearing the clothes of description.</t>
        </is>
      </c>
      <c r="N8" s="165" t="inlineStr">
        <is>
          <t>→ Feeds into functional behaviour assessment, into the Interactive Factors Framework at the behavioural level, and into every report where you must separate what you saw from what you think.</t>
        </is>
      </c>
      <c r="O8" s="225" t="inlineStr">
        <is>
          <t>Not started</t>
        </is>
      </c>
      <c r="P8" s="165" t="inlineStr">
        <is>
          <t>WATCH FOR — how your supervisor words the behaviour column. Listen for verbs and absence of adjectives.</t>
        </is>
      </c>
      <c r="Q8" s="139" t="inlineStr">
        <is>
          <t>Year 1</t>
        </is>
      </c>
      <c r="R8" s="226" t="inlineStr">
        <is>
          <t>26/10/2026</t>
        </is>
      </c>
      <c r="S8" s="226" t="inlineStr">
        <is>
          <t>16/11/2026</t>
        </is>
      </c>
      <c r="T8" s="226" t="inlineStr">
        <is>
          <t>14/12/2026</t>
        </is>
      </c>
      <c r="U8" s="139" t="inlineStr">
        <is>
          <t>ABC record with the case file · Appendix 7 · Log sheet tagged 1. Assessment and 6. Ethical Practice</t>
        </is>
      </c>
    </row>
    <row r="9" outlineLevel="2" ht="43.5" customHeight="1" s="128">
      <c r="A9" s="220" t="inlineStr">
        <is>
          <t>BLOCK</t>
        </is>
      </c>
      <c r="B9" s="220" t="inlineStr">
        <is>
          <t>1. Assessment</t>
        </is>
      </c>
      <c r="C9" s="220" t="inlineStr">
        <is>
          <t>Observation in classroom, playground and clinic</t>
        </is>
      </c>
      <c r="D9" s="221" t="inlineStr">
        <is>
          <t>Block 2 · Entering a setting</t>
        </is>
      </c>
      <c r="E9" s="222" t="inlineStr">
        <is>
          <t>How to be in a classroom without becoming the event — introduction, positioning, presence.</t>
        </is>
      </c>
      <c r="F9" s="220" t="inlineStr">
        <is>
          <t>1 hour, then practice · Weeks 3–6</t>
        </is>
      </c>
      <c r="G9" s="220" t="n"/>
      <c r="H9" s="220" t="n"/>
      <c r="I9" s="220" t="n"/>
      <c r="J9" s="220" t="n"/>
      <c r="K9" s="220" t="n"/>
      <c r="L9" s="220" t="n"/>
      <c r="M9" s="222" t="n"/>
      <c r="N9" s="220" t="n"/>
      <c r="O9" s="220" t="n"/>
      <c r="P9" s="220" t="inlineStr">
        <is>
          <t>How you build it: Ask your supervisor how they introduce themselves. Copy it until you have your own.</t>
        </is>
      </c>
      <c r="Q9" s="220" t="n"/>
      <c r="R9" s="220" t="n"/>
      <c r="S9" s="220" t="n"/>
      <c r="T9" s="220" t="n"/>
      <c r="U9" s="220" t="n"/>
    </row>
    <row r="10" outlineLevel="2" ht="408.75" customHeight="1" s="128">
      <c r="A10" s="139" t="inlineStr">
        <is>
          <t>MICRO-SKILL</t>
        </is>
      </c>
      <c r="B10" s="139" t="inlineStr">
        <is>
          <t>1. Assessment</t>
        </is>
      </c>
      <c r="C10" s="139" t="inlineStr">
        <is>
          <t>Observation in classroom, playground and clinic</t>
        </is>
      </c>
      <c r="D10" s="139" t="inlineStr">
        <is>
          <t>Block 2 · Entering a setting</t>
        </is>
      </c>
      <c r="E10" s="223" t="inlineStr">
        <is>
          <t>Agree with the teacher how you will be introduced</t>
        </is>
      </c>
      <c r="F10" s="139" t="inlineStr">
        <is>
          <t>CORU SoP 1.5 · PSI Code 1.1.1</t>
        </is>
      </c>
      <c r="G10" s="165" t="inlineStr">
        <is>
          <t>How you are introduced determines what you get to see. Introduced as 'someone here to watch Jack', you will observe a child who knows he is being watched and a class that knows it too. Introduced as 'someone here to see how the class works', you observe something much closer to ordinary. It is also an honesty question — the child is told something, and what they are told must be true.</t>
        </is>
      </c>
      <c r="H10" s="165" t="inlineStr">
        <is>
          <t>WATCH FOR — the exact words your supervisor agrees with the teacher, and the exact words the teacher then uses with the class.
WRITE DOWN — both, verbatim. The gap between them is often large and is worth noticing.
ASK AFTERWARDS — 'what do you say if a child asks you directly why you are there?' Have a sentence ready before you need one.</t>
        </is>
      </c>
      <c r="I10" s="165" t="inlineStr">
        <is>
          <t>YOU TAKE — drafting the wording and bringing it to the teacher.
THEY HOLD — the conversation itself, and any negotiation if the teacher wants to do it differently.
WHY THAT SPLIT — drafting the words is where you learn; handling a teacher who wants to announce you is a relationship skill that needs one more round of watching.</t>
        </is>
      </c>
      <c r="J10" s="165" t="inlineStr">
        <is>
          <t>YOU RUN IT — you agree the wording with the teacher yourself, with your supervisor present.
WHAT THEY ARE WATCHING FOR — whether you accept the teacher's first suggestion out of politeness. Teachers routinely offer to introduce you as being there for a named child, and agreeing costs you the observation.
STEPPING IN LOOKS LIKE — 'could we say it a bit more broadly, so the class settles faster?'</t>
        </is>
      </c>
      <c r="K10" s="207" t="inlineStr">
        <is>
          <t>YOU DO IT ALONE — agree it in advance, by phone or email if the visit is short.
PASS TEST — the child is told something true and is not singled out.
EVIDENCE TO FILE — one line in the observation write-up recording how you were introduced. It belongs in the limitations, because it affects what you saw.
WHAT FAILURE LOOKS LIKE — arriving with nothing agreed, the teacher improvising, and a child knowing they are the reason you are there.</t>
        </is>
      </c>
      <c r="L10" s="165" t="inlineStr">
        <is>
          <t>YOU CAN TEACH IT — you can give a colleague three forms of words that are true, broad and age-appropriate, and explain why each works.
WHEN IT GOES WRONG — you can say what to do when you have been introduced badly: note it in the write-up as a limitation, and consider whether a second observation is needed before you draw conclusions.</t>
        </is>
      </c>
      <c r="M10" s="224" t="inlineStr">
        <is>
          <t>Letting the teacher say 'this is the psychologist, she's here to see Jack' because correcting it in the doorway felt rude.</t>
        </is>
      </c>
      <c r="N10" s="165" t="inlineStr">
        <is>
          <t>→ Feeds into 'Observe without altering what you came to see', and into the ethical thread about what children are told about assessment.</t>
        </is>
      </c>
      <c r="O10" s="225" t="inlineStr">
        <is>
          <t>Not started</t>
        </is>
      </c>
      <c r="P10" s="165" t="inlineStr">
        <is>
          <t>WATCH FOR — the exact words your supervisor agrees with the teacher, and the exact words the teacher then uses with the class.</t>
        </is>
      </c>
      <c r="Q10" s="139" t="inlineStr">
        <is>
          <t>Year 1</t>
        </is>
      </c>
      <c r="R10" s="226" t="inlineStr">
        <is>
          <t>26/10/2026</t>
        </is>
      </c>
      <c r="S10" s="226" t="inlineStr">
        <is>
          <t>16/11/2026</t>
        </is>
      </c>
      <c r="T10" s="226" t="inlineStr">
        <is>
          <t>14/12/2026</t>
        </is>
      </c>
      <c r="U10" s="139" t="inlineStr">
        <is>
          <t>Observation write-up · Appendix 7 · Log sheet tagged 5. Working with Others</t>
        </is>
      </c>
    </row>
    <row r="11" outlineLevel="2" ht="408.75" customHeight="1" s="128">
      <c r="A11" s="139" t="inlineStr">
        <is>
          <t>MICRO-SKILL</t>
        </is>
      </c>
      <c r="B11" s="139" t="inlineStr">
        <is>
          <t>1. Assessment</t>
        </is>
      </c>
      <c r="C11" s="139" t="inlineStr">
        <is>
          <t>Observation in classroom, playground and clinic</t>
        </is>
      </c>
      <c r="D11" s="139" t="inlineStr">
        <is>
          <t>Block 2 · Entering a setting</t>
        </is>
      </c>
      <c r="E11" s="223" t="inlineStr">
        <is>
          <t>Position yourself to see without becoming the focus</t>
        </is>
      </c>
      <c r="F11" s="139" t="inlineStr">
        <is>
          <t>CORU SoP 5.31</t>
        </is>
      </c>
      <c r="G11" s="165" t="inlineStr">
        <is>
          <t>Where you sit changes what happens. Sitting at the child's table makes you part of the lesson; standing at the front makes you an inspector; sitting in the flow of the room means children route past you all morning. The aim is line of sight to what you came to see, out of the traffic, and low enough not to loom.</t>
        </is>
      </c>
      <c r="H11" s="165" t="inlineStr">
        <is>
          <t>WATCH FOR — where your supervisor sits, and how long the class takes to stop noticing them.
WRITE DOWN — the seat chosen, the sight line, and roughly how many minutes until the room settled.
ASK AFTERWARDS — 'how did you choose that spot?' and 'what would you have done if the only free seat was beside him?'</t>
        </is>
      </c>
      <c r="I11" s="165" t="inlineStr">
        <is>
          <t>YOU TAKE — arriving early and identifying two possible positions before the class comes in.
THEY HOLD — the final choice, and any negotiation with the teacher about moving a chair.
WHY THAT SPLIT — scouting the room teaches you what to look for; the social cost of asking to move furniture is theirs to carry one more time.</t>
        </is>
      </c>
      <c r="J11" s="165" t="inlineStr">
        <is>
          <t>YOU RUN IT — you choose and take the position yourself.
WHAT THEY ARE WATCHING FOR — whether you adjust. Trainees sit where they first sat even when the activity moves to the carpet and they can no longer see the child.
STEPPING IN LOOKS LIKE — a quiet nod toward a better spot when the lesson changes shape.</t>
        </is>
      </c>
      <c r="K11" s="207" t="inlineStr">
        <is>
          <t>YOU DO IT ALONE — position, settle, and move if the activity changes.
PASS TEST — the class settles within a few minutes.
EVIDENCE TO FILE — note in the write-up where you sat and how long settling took. It belongs in the limitations.
WHAT FAILURE LOOKS LIKE — twenty minutes of data collected from a class that was performing for a visitor, reported as though it were ordinary.</t>
        </is>
      </c>
      <c r="L11" s="165" t="inlineStr">
        <is>
          <t>YOU CAN TEACH IT — you can walk a colleague through reading a room on arrival: sight lines, traffic, where the adults stand, where the activity will move to.
WHEN IT GOES WRONG — you can say what to do when there is genuinely nowhere neutral: stay standing at the back, shorten the observation, and report the constraint rather than the ideal.</t>
        </is>
      </c>
      <c r="M11" s="224" t="inlineStr">
        <is>
          <t>Sitting down in the first free chair and staying there for the whole lesson.</t>
        </is>
      </c>
      <c r="N11" s="165" t="inlineStr">
        <is>
          <t>→ Feeds into 'Observe without altering what you came to see' and into the reactivity limitation you write in every observation report.</t>
        </is>
      </c>
      <c r="O11" s="225" t="inlineStr">
        <is>
          <t>Not started</t>
        </is>
      </c>
      <c r="P11" s="165" t="inlineStr">
        <is>
          <t>WATCH FOR — where your supervisor sits, and how long the class takes to stop noticing them.</t>
        </is>
      </c>
      <c r="Q11" s="139" t="inlineStr">
        <is>
          <t>Year 1</t>
        </is>
      </c>
      <c r="R11" s="226" t="inlineStr">
        <is>
          <t>26/10/2026</t>
        </is>
      </c>
      <c r="S11" s="226" t="inlineStr">
        <is>
          <t>16/11/2026</t>
        </is>
      </c>
      <c r="T11" s="226" t="inlineStr">
        <is>
          <t>14/12/2026</t>
        </is>
      </c>
      <c r="U11" s="139" t="inlineStr">
        <is>
          <t>Observation write-up limitations · Appendix 7 · Log sheet</t>
        </is>
      </c>
    </row>
    <row r="12" outlineLevel="2" ht="408.75" customHeight="1" s="128">
      <c r="A12" s="139" t="inlineStr">
        <is>
          <t>MICRO-SKILL</t>
        </is>
      </c>
      <c r="B12" s="139" t="inlineStr">
        <is>
          <t>1. Assessment</t>
        </is>
      </c>
      <c r="C12" s="139" t="inlineStr">
        <is>
          <t>Observation in classroom, playground and clinic</t>
        </is>
      </c>
      <c r="D12" s="139" t="inlineStr">
        <is>
          <t>Block 2 · Entering a setting</t>
        </is>
      </c>
      <c r="E12" s="223" t="inlineStr">
        <is>
          <t>Observe without altering what you came to see</t>
        </is>
      </c>
      <c r="F12" s="139" t="inlineStr">
        <is>
          <t>PSI Code 2.3.1</t>
        </is>
      </c>
      <c r="G12" s="165" t="inlineStr">
        <is>
          <t>Reactivity is real and it is not eliminable — your presence changes the room. The competence is not in removing the effect but in minimising it, noticing it, and reporting it. An observation that does not mention reactivity is an observation whose author has not thought about it.</t>
        </is>
      </c>
      <c r="H12" s="165" t="inlineStr">
        <is>
          <t>WATCH FOR — what your supervisor does when a child talks to them, or shows them work, or asks what they are writing. There is a technique to redirecting warmly without engaging.
WRITE DOWN — their exact words to a child who approaches them.
ASK AFTERWARDS — 'how do you decide when to answer a child and when to deflect?'</t>
        </is>
      </c>
      <c r="I12" s="165" t="inlineStr">
        <is>
          <t>YOU TAKE — the settling minute at the start, and noting in the margin any moment your presence visibly changed something.
THEY HOLD — managing any child who approaches.
WHY THAT SPLIT — noticing reactivity is an observational skill in itself and can be practised safely; handling an approaching child is a live judgement.</t>
        </is>
      </c>
      <c r="J12" s="165" t="inlineStr">
        <is>
          <t>YOU RUN IT — you manage your own presence, including children who approach you.
WHAT THEY ARE WATCHING FOR — whether you engage. Trainees answer children because not answering feels unkind, and then wonder why the child performed for them.
STEPPING IN LOOKS LIKE — taking over a conversation you have been drawn into.</t>
        </is>
      </c>
      <c r="K12" s="207" t="inlineStr">
        <is>
          <t>YOU DO IT ALONE — full observation, managing your own presence throughout.
PASS TEST — you can name how your presence may have changed things.
EVIDENCE TO FILE — a specific reactivity sentence in the write-up. Not 'observations may be affected by the presence of an observer' but 'Jack looked toward me on four occasions in the first five minutes and not thereafter'.
WHAT FAILURE LOOKS LIKE — a generic limitations sentence that could be pasted into any report, which tells the reader you did not actually attend to this.</t>
        </is>
      </c>
      <c r="L12" s="165" t="inlineStr">
        <is>
          <t>YOU CAN TEACH IT — you can explain reactivity with the evidence behind it, and give a colleague three concrete ways to reduce it.
WHEN IT GOES WRONG — you can say what to do when a child performs throughout: report it as the finding it is, and arrange a second observation before concluding anything about typical behaviour.</t>
        </is>
      </c>
      <c r="M12" s="224" t="inlineStr">
        <is>
          <t>Writing the generic reactivity disclaimer instead of the specific one. The generic version is a template; the specific version is evidence you were paying attention.</t>
        </is>
      </c>
      <c r="N12" s="165" t="inlineStr">
        <is>
          <t>→ Feeds into the limitations section of every report, and into Ethical Practice — a child has the right to know what you are doing in their room.</t>
        </is>
      </c>
      <c r="O12" s="225" t="inlineStr">
        <is>
          <t>Not started</t>
        </is>
      </c>
      <c r="P12" s="165" t="inlineStr">
        <is>
          <t>WATCH FOR — what your supervisor does when a child talks to them, or shows them work, or asks what they are writing. There is a technique to redirecting warmly without engaging.</t>
        </is>
      </c>
      <c r="Q12" s="139" t="inlineStr">
        <is>
          <t>Year 1</t>
        </is>
      </c>
      <c r="R12" s="226" t="inlineStr">
        <is>
          <t>26/10/2026</t>
        </is>
      </c>
      <c r="S12" s="226" t="inlineStr">
        <is>
          <t>16/11/2026</t>
        </is>
      </c>
      <c r="T12" s="226" t="inlineStr">
        <is>
          <t>14/12/2026</t>
        </is>
      </c>
      <c r="U12" s="139" t="inlineStr">
        <is>
          <t>Observation write-up · Appendix 5 · Log sheet</t>
        </is>
      </c>
    </row>
    <row r="13" outlineLevel="2" ht="43.5" customHeight="1" s="128">
      <c r="A13" s="220" t="inlineStr">
        <is>
          <t>BLOCK</t>
        </is>
      </c>
      <c r="B13" s="220" t="inlineStr">
        <is>
          <t>1. Assessment</t>
        </is>
      </c>
      <c r="C13" s="220" t="inlineStr">
        <is>
          <t>Observation in classroom, playground and clinic</t>
        </is>
      </c>
      <c r="D13" s="221" t="inlineStr">
        <is>
          <t>Block 3 · Knowing what to look at</t>
        </is>
      </c>
      <c r="E13" s="222" t="inlineStr">
        <is>
          <t>The things worth noticing beyond the target behaviour — peer positioning, adult prompting, task demand, transitions.</t>
        </is>
      </c>
      <c r="F13" s="220" t="inlineStr">
        <is>
          <t>Builds over 5–6 observations · Weeks 3–6</t>
        </is>
      </c>
      <c r="G13" s="220" t="n"/>
      <c r="H13" s="220" t="n"/>
      <c r="I13" s="220" t="n"/>
      <c r="J13" s="220" t="n"/>
      <c r="K13" s="220" t="n"/>
      <c r="L13" s="220" t="n"/>
      <c r="M13" s="222" t="n"/>
      <c r="N13" s="220" t="n"/>
      <c r="O13" s="220" t="n"/>
      <c r="P13" s="220" t="inlineStr">
        <is>
          <t>How you build it: Observe one child for the referral question, then observe the same lesson again for the context. The second is where the learning is.</t>
        </is>
      </c>
      <c r="Q13" s="220" t="n"/>
      <c r="R13" s="220" t="n"/>
      <c r="S13" s="220" t="n"/>
      <c r="T13" s="220" t="n"/>
      <c r="U13" s="220" t="n"/>
    </row>
    <row r="14" outlineLevel="2" ht="408.75" customHeight="1" s="128">
      <c r="A14" s="139" t="inlineStr">
        <is>
          <t>MICRO-SKILL</t>
        </is>
      </c>
      <c r="B14" s="139" t="inlineStr">
        <is>
          <t>1. Assessment</t>
        </is>
      </c>
      <c r="C14" s="139" t="inlineStr">
        <is>
          <t>Observation in classroom, playground and clinic</t>
        </is>
      </c>
      <c r="D14" s="139" t="inlineStr">
        <is>
          <t>Block 3 · Knowing what to look at</t>
        </is>
      </c>
      <c r="E14" s="223" t="inlineStr">
        <is>
          <t>Note peer interaction and social positioning</t>
        </is>
      </c>
      <c r="F14" s="139" t="inlineStr">
        <is>
          <t>CORU SoP 5.16</t>
        </is>
      </c>
      <c r="G14" s="165" t="inlineStr">
        <is>
          <t>Where a child sits in the peer group is invisible in any test and is often the thing the referral is really about. It is also the domain where adult report is least reliable — teachers see the classroom, and most of what matters happens at break.</t>
        </is>
      </c>
      <c r="H14" s="165" t="inlineStr">
        <is>
          <t>WATCH FOR — what your supervisor counts. Initiations versus responses, who approaches whom, how long interactions last, whether the child is included or tolerated.
WRITE DOWN — the categories they used, and any child they recorded as a comparison.
ASK AFTERWARDS — 'how do you tell being alone from being excluded?' They are different and the distinction matters enormously.</t>
        </is>
      </c>
      <c r="I14" s="165" t="inlineStr">
        <is>
          <t>YOU TAKE — recording initiations and responses for the target child.
THEY HOLD — the interpretive layer: whether what you are seeing is withdrawal, rejection, or preference.
WHY THAT SPLIT — the counting is learnable now; reading the social meaning takes more observations than you have yet had.</t>
        </is>
      </c>
      <c r="J14" s="165" t="inlineStr">
        <is>
          <t>YOU RUN IT — you record and offer a reading, your supervisor tests it.
WHAT THEY ARE WATCHING FOR — whether you distinguish solitary-by-choice from solitary-by-exclusion. Getting this wrong produces recommendations that make things worse.
STEPPING IN LOOKS LIKE — 'what did you see that tells you he wanted to join in?'</t>
        </is>
      </c>
      <c r="K14" s="207" t="inlineStr">
        <is>
          <t>YOU DO IT ALONE — yard and classroom, with a comparison peer.
PASS TEST — you can describe where this child sits in the peer group.
EVIDENCE TO FILE — counts plus a described pattern in the report, and the child's own account from a pupil interview alongside it.
WHAT FAILURE LOOKS LIKE — 'appeared to have few friends', which is an impression, unquantified and unfalsifiable.</t>
        </is>
      </c>
      <c r="L14" s="165" t="inlineStr">
        <is>
          <t>YOU CAN TEACH IT — you can explain to a colleague how to observe social positioning without pathologising solitude, and can name the risk of reading adult social norms onto a child.
WHEN IT GOES WRONG — you can say what to do when the yard observation contradicts the teacher's account: treat it as information about setting, not about who is right.</t>
        </is>
      </c>
      <c r="M14" s="224" t="inlineStr">
        <is>
          <t>Recording that a child played alone and concluding social difficulty, without establishing whether they wanted to join in.</t>
        </is>
      </c>
      <c r="N14" s="165" t="inlineStr">
        <is>
          <t>→ Feeds into referral areas 4.1 Friendships and social skills, into autism screening decisions, and into any group intervention you design.</t>
        </is>
      </c>
      <c r="O14" s="225" t="inlineStr">
        <is>
          <t>Not started</t>
        </is>
      </c>
      <c r="P14" s="165" t="inlineStr">
        <is>
          <t>WATCH FOR — what your supervisor counts. Initiations versus responses, who approaches whom, how long interactions last, whether the child is included or tolerated.</t>
        </is>
      </c>
      <c r="Q14" s="139" t="inlineStr">
        <is>
          <t>Year 1</t>
        </is>
      </c>
      <c r="R14" s="226" t="inlineStr">
        <is>
          <t>26/10/2026</t>
        </is>
      </c>
      <c r="S14" s="226" t="inlineStr">
        <is>
          <t>16/11/2026</t>
        </is>
      </c>
      <c r="T14" s="226" t="inlineStr">
        <is>
          <t>14/12/2026</t>
        </is>
      </c>
      <c r="U14" s="139" t="inlineStr">
        <is>
          <t>Appendix 5 · Log sheet tagged 1. Assessment and referral area 4.1</t>
        </is>
      </c>
    </row>
    <row r="15" outlineLevel="2" ht="408.75" customHeight="1" s="128">
      <c r="A15" s="139" t="inlineStr">
        <is>
          <t>MICRO-SKILL</t>
        </is>
      </c>
      <c r="B15" s="139" t="inlineStr">
        <is>
          <t>1. Assessment</t>
        </is>
      </c>
      <c r="C15" s="139" t="inlineStr">
        <is>
          <t>Observation in classroom, playground and clinic</t>
        </is>
      </c>
      <c r="D15" s="139" t="inlineStr">
        <is>
          <t>Block 3 · Knowing what to look at</t>
        </is>
      </c>
      <c r="E15" s="223" t="inlineStr">
        <is>
          <t>Note adult interaction and prompting patterns</t>
        </is>
      </c>
      <c r="F15" s="139" t="inlineStr">
        <is>
          <t>CORU SoP 5.14</t>
        </is>
      </c>
      <c r="G15" s="165" t="inlineStr">
        <is>
          <t>How much adult support a child receives is usually unrecorded and frequently the most important variable in the room. A child who appears to manage independent work may be receiving a prompt every ninety seconds. Nobody has counted, and the Student Support File will not say.</t>
        </is>
      </c>
      <c r="H15" s="165" t="inlineStr">
        <is>
          <t>WATCH FOR — how your supervisor records prompts, and whether they distinguish verbal, gestural, physical and proximity prompts.
WRITE DOWN — the prompt categories used and the count over a defined period.
ASK AFTERWARDS — 'how do you raise this with a teacher without it sounding like criticism?'</t>
        </is>
      </c>
      <c r="I15" s="165" t="inlineStr">
        <is>
          <t>YOU TAKE — counting prompts to the target child.
THEY HOLD — the comparison — how much prompting other children receive, which is what makes the count meaningful.
WHY THAT SPLIT — you get the recording discipline; the comparative judgement comes next.</t>
        </is>
      </c>
      <c r="J15" s="165" t="inlineStr">
        <is>
          <t>YOU RUN IT — both counts, and you offer a reading of the support level.
WHAT THEY ARE WATCHING FOR — whether you notice support that suppresses independence. An SNA completing the task is not the child learning it.
STEPPING IN LOOKS LIKE — 'what would have happened if nobody had said anything for two minutes?'</t>
        </is>
      </c>
      <c r="K15" s="207" t="inlineStr">
        <is>
          <t>YOU DO IT ALONE — counts, comparison, and a characterisation of the support level.
PASS TEST — you have characterised the level of support given.
EVIDENCE TO FILE — the count in the report, described neutrally. 'Received eleven verbal prompts during a twenty-minute independent writing task; the comparison pupil received two.'
WHAT FAILURE LOOKS LIKE — reporting the child's output without reporting the support that produced it, so the school concludes he can do more than he can.</t>
        </is>
      </c>
      <c r="L15" s="165" t="inlineStr">
        <is>
          <t>YOU CAN TEACH IT — you can show a colleague how to feed this back to a school as a description rather than a judgement, and how to build prompt-fading into a recommendation.
WHEN IT GOES WRONG — you can say what to do when the prompting is clearly excessive: describe, do not evaluate, and offer one change rather than five.</t>
        </is>
      </c>
      <c r="M15" s="224" t="inlineStr">
        <is>
          <t>Describing what the child produced without describing the adult input that produced it.</t>
        </is>
      </c>
      <c r="N15" s="165" t="inlineStr">
        <is>
          <t>→ Feeds into adaptive functioning interpretation, into over-support in GLD, and into every recommendation about SNA deployment.</t>
        </is>
      </c>
      <c r="O15" s="225" t="inlineStr">
        <is>
          <t>Not started</t>
        </is>
      </c>
      <c r="P15" s="165" t="inlineStr">
        <is>
          <t>WATCH FOR — how your supervisor records prompts, and whether they distinguish verbal, gestural, physical and proximity prompts.</t>
        </is>
      </c>
      <c r="Q15" s="139" t="inlineStr">
        <is>
          <t>Year 1</t>
        </is>
      </c>
      <c r="R15" s="226" t="inlineStr">
        <is>
          <t>26/10/2026</t>
        </is>
      </c>
      <c r="S15" s="226" t="inlineStr">
        <is>
          <t>16/11/2026</t>
        </is>
      </c>
      <c r="T15" s="226" t="inlineStr">
        <is>
          <t>14/12/2026</t>
        </is>
      </c>
      <c r="U15" s="139" t="inlineStr">
        <is>
          <t>Appendix 5 · Log sheet tagged 1. Assessment and 4. Systemic Change</t>
        </is>
      </c>
    </row>
    <row r="16" outlineLevel="2" ht="408.75" customHeight="1" s="128">
      <c r="A16" s="139" t="inlineStr">
        <is>
          <t>MICRO-SKILL</t>
        </is>
      </c>
      <c r="B16" s="139" t="inlineStr">
        <is>
          <t>1. Assessment</t>
        </is>
      </c>
      <c r="C16" s="139" t="inlineStr">
        <is>
          <t>Observation in classroom, playground and clinic</t>
        </is>
      </c>
      <c r="D16" s="139" t="inlineStr">
        <is>
          <t>Block 3 · Knowing what to look at</t>
        </is>
      </c>
      <c r="E16" s="223" t="inlineStr">
        <is>
          <t>Observe the same child across two settings</t>
        </is>
      </c>
      <c r="F16" s="139" t="inlineStr">
        <is>
          <t>CORU SoP 3.1</t>
        </is>
      </c>
      <c r="G16" s="165" t="inlineStr">
        <is>
          <t>A single observation is a single day in a single room. Hintze (2005) found temporal stability in direct observation is modest, and cross-setting comparison is the cheapest correction available. It is also diagnostic in its own right — DSM-5-TR requires ADHD symptoms in two or more settings, and a child who manages in one setting and not another has a setting problem, not only a child problem.</t>
        </is>
      </c>
      <c r="H16" s="165" t="inlineStr">
        <is>
          <t>WATCH FOR — how your supervisor decides which second setting to use, and what they hold constant between the two.
WRITE DOWN — both settings, the time of day, the activity type, and what changed.
ASK AFTERWARDS — 'what would you conclude if the two observations disagreed completely?'</t>
        </is>
      </c>
      <c r="I16" s="165" t="inlineStr">
        <is>
          <t>YOU TAKE — the second observation, using the definitions and grid from the first.
THEY HOLD — the first observation and the comparison between them.
WHY THAT SPLIT — repeating a method you did not design teaches you why procedural consistency matters.</t>
        </is>
      </c>
      <c r="J16" s="165" t="inlineStr">
        <is>
          <t>YOU RUN IT — both observations, and you draft the comparison.
WHAT THEY ARE WATCHING FOR — whether you held the method constant. Changing interval length between the two makes them uncomparable and it is easily done.
STEPPING IN LOOKS LIKE — 'the morning one was thirty-second intervals and the afternoon one was a minute — what does that do to the comparison?'</t>
        </is>
      </c>
      <c r="K16" s="207" t="inlineStr">
        <is>
          <t>YOU DO IT ALONE — two settings, same method, written comparison.
PASS TEST — you have not generalised from one lesson.
EVIDENCE TO FILE — both grids, and a comparison paragraph in the report naming what differed between the settings.
WHAT FAILURE LOOKS LIKE — a report that describes a child's behaviour as though it were a stable trait, based on one twenty-minute window.</t>
        </is>
      </c>
      <c r="L16" s="165" t="inlineStr">
        <is>
          <t>YOU CAN TEACH IT — you can explain temporal stability and setting specificity to a colleague and cite the evidence.
WHEN IT GOES WRONG — you can say what to do when you only get one observation: report it as one, name the limitation specifically, and say what a second would have told you.</t>
        </is>
      </c>
      <c r="M16" s="224" t="inlineStr">
        <is>
          <t>Treating one observation as characteristic, which is the most common single error in trainee observation work.</t>
        </is>
      </c>
      <c r="N16" s="165" t="inlineStr">
        <is>
          <t>→ Feeds into ADHD assessment (the two-setting criterion), into school-versus-home discrepancies, and into the systemic question of whether the difficulty is the child or the setting.</t>
        </is>
      </c>
      <c r="O16" s="225" t="inlineStr">
        <is>
          <t>Not started</t>
        </is>
      </c>
      <c r="P16" s="165" t="inlineStr">
        <is>
          <t>WATCH FOR — how your supervisor decides which second setting to use, and what they hold constant between the two.</t>
        </is>
      </c>
      <c r="Q16" s="139" t="inlineStr">
        <is>
          <t>Year 1</t>
        </is>
      </c>
      <c r="R16" s="226" t="inlineStr">
        <is>
          <t>26/10/2026</t>
        </is>
      </c>
      <c r="S16" s="226" t="inlineStr">
        <is>
          <t>16/11/2026</t>
        </is>
      </c>
      <c r="T16" s="226" t="inlineStr">
        <is>
          <t>14/12/2026</t>
        </is>
      </c>
      <c r="U16" s="139" t="inlineStr">
        <is>
          <t>Appendix 5 · Appendix 7 · Log sheet tagged 1. Assessment</t>
        </is>
      </c>
    </row>
    <row r="17" outlineLevel="2" ht="43.5" customHeight="1" s="128">
      <c r="A17" s="220" t="inlineStr">
        <is>
          <t>BLOCK</t>
        </is>
      </c>
      <c r="B17" s="220" t="inlineStr">
        <is>
          <t>1. Assessment</t>
        </is>
      </c>
      <c r="C17" s="220" t="inlineStr">
        <is>
          <t>Observation in classroom, playground and clinic</t>
        </is>
      </c>
      <c r="D17" s="221" t="inlineStr">
        <is>
          <t>Block 4 · Turning observation into data</t>
        </is>
      </c>
      <c r="E17" s="222" t="inlineStr">
        <is>
          <t>Keeping description separate from interpretation, and linking what you saw to the question you were asked.</t>
        </is>
      </c>
      <c r="F17" s="220" t="inlineStr">
        <is>
          <t>2–3 hours, then habit · Weeks 3–6</t>
        </is>
      </c>
      <c r="G17" s="220" t="n"/>
      <c r="H17" s="220" t="n"/>
      <c r="I17" s="220" t="n"/>
      <c r="J17" s="220" t="n"/>
      <c r="K17" s="220" t="n"/>
      <c r="L17" s="220" t="n"/>
      <c r="M17" s="222" t="n"/>
      <c r="N17" s="220" t="n"/>
      <c r="O17" s="220" t="n"/>
      <c r="P17" s="220" t="inlineStr">
        <is>
          <t>How you build it: Write both sections separately for five observations. Have one checked.</t>
        </is>
      </c>
      <c r="Q17" s="220" t="n"/>
      <c r="R17" s="220" t="n"/>
      <c r="S17" s="220" t="n"/>
      <c r="T17" s="220" t="n"/>
      <c r="U17" s="220" t="n"/>
    </row>
    <row r="18" outlineLevel="2" ht="408.75" customHeight="1" s="128">
      <c r="A18" s="139" t="inlineStr">
        <is>
          <t>MICRO-SKILL</t>
        </is>
      </c>
      <c r="B18" s="139" t="inlineStr">
        <is>
          <t>1. Assessment</t>
        </is>
      </c>
      <c r="C18" s="139" t="inlineStr">
        <is>
          <t>Observation in classroom, playground and clinic</t>
        </is>
      </c>
      <c r="D18" s="139" t="inlineStr">
        <is>
          <t>Block 4 · Turning observation into data</t>
        </is>
      </c>
      <c r="E18" s="223" t="inlineStr">
        <is>
          <t>Keep description and interpretation separate</t>
        </is>
      </c>
      <c r="F18" s="139" t="inlineStr">
        <is>
          <t>CORU SoP 2.8 · PSI Code 4.2.5</t>
        </is>
      </c>
      <c r="G18" s="165" t="inlineStr">
        <is>
          <t>This is the discipline that makes a report defensible. PSI 1.2.8 requires opinion to be clearly labelled as opinion and conjecture avoided. A report where the reader cannot tell what was seen from what was concluded is a report that cannot be checked — and it will be quoted back for years by people who never saw the distinction.</t>
        </is>
      </c>
      <c r="H18" s="165" t="inlineStr">
        <is>
          <t>WATCH FOR — how your supervisor's report is structured. Where does 'what was observed' end and 'what this suggests' begin?
WRITE DOWN — two sentences from each section, and note the verbs. Description uses concrete verbs; interpretation uses 'suggests', 'may indicate', 'is consistent with'.
ASK AFTERWARDS — 'how do you decide what goes in the findings and what goes in the formulation?'</t>
        </is>
      </c>
      <c r="I18" s="165" t="inlineStr">
        <is>
          <t>YOU TAKE — drafting the description section only.
THEY HOLD — the interpretation.
WHY THAT SPLIT — writing clean description is harder than it sounds and it is where the habit is built.</t>
        </is>
      </c>
      <c r="J18" s="165" t="inlineStr">
        <is>
          <t>YOU RUN IT — you draft both, clearly separated, and your supervisor marks anywhere they have merged.
WHAT THEY ARE WATCHING FOR — adjectives in the description section, and unhedged claims in the interpretation section.
STEPPING IN LOOKS LIKE — circling a word and asking 'did you see that, or did you think it?'</t>
        </is>
      </c>
      <c r="K18" s="207" t="inlineStr">
        <is>
          <t>YOU DO IT ALONE — full write-up with the two clearly separated.
PASS TEST — opinion is labelled as opinion throughout.
EVIDENCE TO FILE — the report itself. This is the single clearest piece of Ethical Practice evidence available to you.
WHAT FAILURE LOOKS LIKE — 'he was frustrated and disengaged' in a findings section. Neither is observable; both will be repeated as fact by the next reader.</t>
        </is>
      </c>
      <c r="L18" s="165" t="inlineStr">
        <is>
          <t>YOU CAN TEACH IT — you can take a colleague's draft and show them where the two have merged, with the PSI clause to hand.
WHEN IT GOES WRONG — you can say what to do when a school pushes for a conclusion the observation does not support: state what you observed, state what it is and is not consistent with, and decline to go further.</t>
        </is>
      </c>
      <c r="M18" s="224" t="inlineStr">
        <is>
          <t>Writing internal states — frustrated, anxious, unmotivated — in a section that claims to describe what was seen.</t>
        </is>
      </c>
      <c r="N18" s="165" t="inlineStr">
        <is>
          <t>→ Feeds into every report you will ever write, into PSI 1.2.8, and into the case-notes skill under Working with Others.</t>
        </is>
      </c>
      <c r="O18" s="225" t="inlineStr">
        <is>
          <t>Not started</t>
        </is>
      </c>
      <c r="P18" s="165" t="inlineStr">
        <is>
          <t>WATCH FOR — how your supervisor's report is structured. Where does 'what was observed' end and 'what this suggests' begin?</t>
        </is>
      </c>
      <c r="Q18" s="139" t="inlineStr">
        <is>
          <t>Year 1</t>
        </is>
      </c>
      <c r="R18" s="226" t="inlineStr">
        <is>
          <t>26/10/2026</t>
        </is>
      </c>
      <c r="S18" s="226" t="inlineStr">
        <is>
          <t>16/11/2026</t>
        </is>
      </c>
      <c r="T18" s="226" t="inlineStr">
        <is>
          <t>14/12/2026</t>
        </is>
      </c>
      <c r="U18" s="139" t="inlineStr">
        <is>
          <t>Psychological report · Appendix 5 · Log sheet tagged 1. Assessment and 6. Ethical Practice</t>
        </is>
      </c>
    </row>
    <row r="19" outlineLevel="2" ht="408.75" customHeight="1" s="128">
      <c r="A19" s="139" t="inlineStr">
        <is>
          <t>MICRO-SKILL</t>
        </is>
      </c>
      <c r="B19" s="139" t="inlineStr">
        <is>
          <t>1. Assessment</t>
        </is>
      </c>
      <c r="C19" s="139" t="inlineStr">
        <is>
          <t>Observation in classroom, playground and clinic</t>
        </is>
      </c>
      <c r="D19" s="139" t="inlineStr">
        <is>
          <t>Block 4 · Turning observation into data</t>
        </is>
      </c>
      <c r="E19" s="223" t="inlineStr">
        <is>
          <t>Link what you observed to the referral question</t>
        </is>
      </c>
      <c r="F19" s="139" t="inlineStr">
        <is>
          <t>CORU SoP 3.4</t>
        </is>
      </c>
      <c r="G19" s="165" t="inlineStr">
        <is>
          <t>An observation that describes everything answers nothing. The referral asked something specific, and the observation exists to move that question forward — to support a hypothesis, weaken it, or show that the question was wrong. A thorough description that does not connect back is work nobody can use.</t>
        </is>
      </c>
      <c r="H19" s="165" t="inlineStr">
        <is>
          <t>WATCH FOR — how your supervisor's observation section ends. There should be a sentence that returns to the referral.
WRITE DOWN — the referral question and the closing sentence of the observation section. Put them side by side.
ASK AFTERWARDS — 'what did this observation rule out?' Ruling out is as valuable as ruling in and trainees rarely write it.</t>
        </is>
      </c>
      <c r="I19" s="165" t="inlineStr">
        <is>
          <t>YOU TAKE — writing the closing paragraph that links back.
THEY HOLD — the rest of the section.
WHY THAT SPLIT — the linking paragraph is the highest-value sentence in the section and deserves concentrated practice.</t>
        </is>
      </c>
      <c r="J19" s="165" t="inlineStr">
        <is>
          <t>YOU RUN IT — you name the hypothesis before the observation and state afterwards whether it was supported.
WHAT THEY ARE WATCHING FOR — whether you named a hypothesis at all. Observing without one produces description by default.
STEPPING IN LOOKS LIKE — 'before we go in — what would you expect to see if the referral hypothesis is right, and what would you see if it is wrong?'</t>
        </is>
      </c>
      <c r="K19" s="207" t="inlineStr">
        <is>
          <t>YOU DO IT ALONE — hypothesis named in advance, observation run, link written.
PASS TEST — the observation answers something rather than describing everything.
EVIDENCE TO FILE — the report section, plus a supervision note recording the hypothesis you rejected. A recorded rejected hypothesis is strong Formulation evidence.
WHAT FAILURE LOOKS LIKE — three paragraphs of detail and no statement of what it means for the question asked.</t>
        </is>
      </c>
      <c r="L19" s="165" t="inlineStr">
        <is>
          <t>YOU CAN TEACH IT — you can show a colleague how to set a testable hypothesis before an observation, and explain why that changes what gets recorded.
WHEN IT GOES WRONG — you can say what to do when the observation disconfirms the referral entirely: go back to the referrer and renegotiate the question rather than assessing on regardless.</t>
        </is>
      </c>
      <c r="M19" s="224" t="inlineStr">
        <is>
          <t>Answering a question nobody asked, thoroughly.</t>
        </is>
      </c>
      <c r="N19" s="165" t="inlineStr">
        <is>
          <t>→ Feeds directly into Formulation, and into the Monsen problem-analysis cycle where observation is hypothesis-testing rather than data-gathering.</t>
        </is>
      </c>
      <c r="O19" s="225" t="inlineStr">
        <is>
          <t>Not started</t>
        </is>
      </c>
      <c r="P19" s="165" t="inlineStr">
        <is>
          <t>WATCH FOR — how your supervisor's observation section ends. There should be a sentence that returns to the referral.</t>
        </is>
      </c>
      <c r="Q19" s="139" t="inlineStr">
        <is>
          <t>Year 1</t>
        </is>
      </c>
      <c r="R19" s="226" t="inlineStr">
        <is>
          <t>26/10/2026</t>
        </is>
      </c>
      <c r="S19" s="226" t="inlineStr">
        <is>
          <t>16/11/2026</t>
        </is>
      </c>
      <c r="T19" s="226" t="inlineStr">
        <is>
          <t>14/12/2026</t>
        </is>
      </c>
      <c r="U19" s="139" t="inlineStr">
        <is>
          <t>Psychological report · Appendix 5 · supervision record · Log sheet tagged 2. Formulation</t>
        </is>
      </c>
    </row>
    <row r="20" outlineLevel="2" ht="19.5" customHeight="1" s="128">
      <c r="A20" s="219" t="inlineStr">
        <is>
          <t>MACRO SKILL</t>
        </is>
      </c>
      <c r="B20" s="219" t="inlineStr">
        <is>
          <t>1. Assessment</t>
        </is>
      </c>
      <c r="C20" s="219" t="inlineStr">
        <is>
          <t>Structured interviewing of parents for developmental history</t>
        </is>
      </c>
      <c r="D20" s="219" t="n"/>
      <c r="E20" s="219" t="inlineStr">
        <is>
          <t>3 blocks · 12 micro-skills</t>
        </is>
      </c>
      <c r="F20" s="219" t="inlineStr">
        <is>
          <t>CORU 3.1 · 5.2 · 5.12 · 2.2</t>
        </is>
      </c>
      <c r="G20" s="219" t="n"/>
      <c r="H20" s="219" t="n"/>
      <c r="I20" s="219" t="n"/>
      <c r="J20" s="219" t="n"/>
      <c r="K20" s="219" t="n"/>
      <c r="L20" s="219" t="n"/>
      <c r="M20" s="219" t="n"/>
      <c r="N20" s="219" t="n"/>
      <c r="O20" s="219" t="n"/>
      <c r="P20" s="219" t="n"/>
      <c r="Q20" s="219" t="inlineStr">
        <is>
          <t>Year 1</t>
        </is>
      </c>
      <c r="R20" s="219" t="n"/>
      <c r="S20" s="219" t="n"/>
      <c r="T20" s="219" t="n"/>
      <c r="U20" s="219" t="n"/>
    </row>
    <row r="21" outlineLevel="2" ht="43.5" customHeight="1" s="128">
      <c r="A21" s="220" t="inlineStr">
        <is>
          <t>BLOCK</t>
        </is>
      </c>
      <c r="B21" s="220" t="inlineStr">
        <is>
          <t>1. Assessment</t>
        </is>
      </c>
      <c r="C21" s="220" t="inlineStr">
        <is>
          <t>Structured interviewing of parents for developmental history</t>
        </is>
      </c>
      <c r="D21" s="221" t="inlineStr">
        <is>
          <t>Block 1 · Knowing the content</t>
        </is>
      </c>
      <c r="E21" s="222" t="inlineStr">
        <is>
          <t>What a full developmental history covers and why each domain matters — pregnancy, milestones, speech and language, play, sleep, feeding, medical, family.</t>
        </is>
      </c>
      <c r="F21" s="220" t="inlineStr">
        <is>
          <t>4–5 hours, once · Weeks 1–2</t>
        </is>
      </c>
      <c r="G21" s="220" t="n"/>
      <c r="H21" s="220" t="n"/>
      <c r="I21" s="220" t="n"/>
      <c r="J21" s="220" t="n"/>
      <c r="K21" s="220" t="n"/>
      <c r="L21" s="220" t="n"/>
      <c r="M21" s="222" t="n"/>
      <c r="N21" s="220" t="n"/>
      <c r="O21" s="220" t="n"/>
      <c r="P21" s="220" t="inlineStr">
        <is>
          <t>How you build it: Build your own schedule from a published one. Writing it is what makes you remember it.</t>
        </is>
      </c>
      <c r="Q21" s="220" t="n"/>
      <c r="R21" s="220" t="n"/>
      <c r="S21" s="220" t="n"/>
      <c r="T21" s="220" t="n"/>
      <c r="U21" s="220" t="n"/>
    </row>
    <row r="22" outlineLevel="2" ht="408.75" customHeight="1" s="128">
      <c r="A22" s="139" t="inlineStr">
        <is>
          <t>MICRO-SKILL</t>
        </is>
      </c>
      <c r="B22" s="139" t="inlineStr">
        <is>
          <t>1. Assessment</t>
        </is>
      </c>
      <c r="C22" s="139" t="inlineStr">
        <is>
          <t>Structured interviewing of parents for developmental history</t>
        </is>
      </c>
      <c r="D22" s="139" t="inlineStr">
        <is>
          <t>Block 1 · Knowing the content</t>
        </is>
      </c>
      <c r="E22" s="223" t="inlineStr">
        <is>
          <t>Prepare the history schedule and read it beforehand</t>
        </is>
      </c>
      <c r="F22" s="139" t="inlineStr">
        <is>
          <t>CORU SoP 3.1</t>
        </is>
      </c>
      <c r="G22" s="165" t="inlineStr">
        <is>
          <t>Reading a schedule for the first time in front of a parent costs you the two things the interview depends on: your attention, which is on the page instead of on them, and their confidence, because a psychologist reading questions aloud looks like a form-filler. Preparation is also what lets you depart from the schedule when something matters, because you know what you can skip.</t>
        </is>
      </c>
      <c r="H22" s="165" t="inlineStr">
        <is>
          <t>WATCH FOR — whether your supervisor holds the schedule at all. Experienced practitioners usually work from three or four headings and a prompt list.
WRITE DOWN — their headings, and the order they took them in. Note where they departed from that order and what triggered it.
ASK AFTERWARDS — 'what do you skip when time is short?' The answer tells you what they consider load-bearing.</t>
        </is>
      </c>
      <c r="I22" s="165" t="inlineStr">
        <is>
          <t>YOU TAKE — preparing the schedule and bringing a printed prompt list to the session.
THEY HOLD — the interview itself.
WHY THAT SPLIT — you learn the content without carrying the live judgement about pace and sensitivity.</t>
        </is>
      </c>
      <c r="J22" s="165" t="inlineStr">
        <is>
          <t>YOU RUN IT — you interview from your own prepared prompt list with your supervisor present.
WHAT THEY ARE WATCHING FOR — whether you look down. Every glance at the page is a second not spent reading the parent's face, and parents notice.
STEPPING IN LOOKS LIKE — picking up a thread you dropped because you were finding your place.</t>
        </is>
      </c>
      <c r="K22" s="207" t="inlineStr">
        <is>
          <t>YOU DO IT ALONE — prepared, and working from headings rather than questions.
PASS TEST — you are not reading questions for the first time in the room.
EVIDENCE TO FILE — your prompt list, annotated with what you added or dropped. That annotated sheet is good supervision material.
WHAT FAILURE LOOKS LIKE — a complete schedule and a thin interview, because you got through the questions without hearing the answers.</t>
        </is>
      </c>
      <c r="L22" s="165" t="inlineStr">
        <is>
          <t>YOU CAN TEACH IT — you can hand a colleague a prompt list and explain why it is ordered that way, and which items are non-negotiable.
WHEN IT GOES WRONG — you can say what to do when the parent takes the interview somewhere unplanned and important: follow them, and come back to the schedule afterwards rather than steering them back mid-sentence.</t>
        </is>
      </c>
      <c r="M22" s="224" t="inlineStr">
        <is>
          <t>Bringing the full schedule and working through it in order regardless of what the parent has already told you.</t>
        </is>
      </c>
      <c r="N22" s="165" t="inlineStr">
        <is>
          <t>→ Feeds into every other micro-skill in this block, and into the Carr four-factor formulation the interview is gathering for.</t>
        </is>
      </c>
      <c r="O22" s="225" t="inlineStr">
        <is>
          <t>Not started</t>
        </is>
      </c>
      <c r="P22" s="165" t="inlineStr">
        <is>
          <t>WATCH FOR — whether your supervisor holds the schedule at all. Experienced practitioners usually work from three or four headings and a prompt list.</t>
        </is>
      </c>
      <c r="Q22" s="139" t="inlineStr">
        <is>
          <t>Year 1</t>
        </is>
      </c>
      <c r="R22" s="226" t="inlineStr">
        <is>
          <t>26/10/2026</t>
        </is>
      </c>
      <c r="S22" s="226" t="inlineStr">
        <is>
          <t>16/11/2026</t>
        </is>
      </c>
      <c r="T22" s="226" t="inlineStr">
        <is>
          <t>14/12/2026</t>
        </is>
      </c>
      <c r="U22" s="139" t="inlineStr">
        <is>
          <t>Prompt list retained · Appendix 5 · Log sheet tagged 1. Assessment and 5. Working with Others</t>
        </is>
      </c>
    </row>
    <row r="23" outlineLevel="2" ht="408.75" customHeight="1" s="128">
      <c r="A23" s="139" t="inlineStr">
        <is>
          <t>MICRO-SKILL</t>
        </is>
      </c>
      <c r="B23" s="139" t="inlineStr">
        <is>
          <t>1. Assessment</t>
        </is>
      </c>
      <c r="C23" s="139" t="inlineStr">
        <is>
          <t>Structured interviewing of parents for developmental history</t>
        </is>
      </c>
      <c r="D23" s="139" t="inlineStr">
        <is>
          <t>Block 1 · Knowing the content</t>
        </is>
      </c>
      <c r="E23" s="223" t="inlineStr">
        <is>
          <t>Take pregnancy, birth and neonatal history</t>
        </is>
      </c>
      <c r="F23" s="139" t="inlineStr">
        <is>
          <t>CORU SoP 5.2</t>
        </is>
      </c>
      <c r="G23" s="165" t="inlineStr">
        <is>
          <t>Most of the time this rules things out, which is exactly why it is asked. Occasionally it explains a great deal — prematurity, hypoxia, neonatal intensive care, significant jaundice. The skill is asking without implying that you are looking for a cause in the parent, because that is how it lands if it is asked badly.</t>
        </is>
      </c>
      <c r="H23" s="165" t="inlineStr">
        <is>
          <t>WATCH FOR — the framing sentence your supervisor uses before this section. There is almost always one, and it does the work of making the questions ordinary.
WRITE DOWN — that sentence verbatim, and the order of the questions.
ASK AFTERWARDS — 'what do you do when a parent gets upset at this part?'</t>
        </is>
      </c>
      <c r="I23" s="165" t="inlineStr">
        <is>
          <t>YOU TAKE — the factual items: gestation, birth weight, type of delivery, time in hospital.
THEY HOLD — anything that touches on complications or loss.
WHY THAT SPLIT — the factual items are safe to practise on and give you the rhythm; the sensitive ones need a model first.</t>
        </is>
      </c>
      <c r="J23" s="165" t="inlineStr">
        <is>
          <t>YOU RUN IT — the whole section, with your supervisor present.
WHAT THEY ARE WATCHING FOR — your framing sentence, and whether you slow down when the parent does.
STEPPING IN LOOKS LIKE — taking over if a parent becomes distressed, so you can watch how it is handled rather than handling it.</t>
        </is>
      </c>
      <c r="K23" s="207" t="inlineStr">
        <is>
          <t>YOU DO IT ALONE — framed, asked, and recorded proportionately.
PASS TEST — you asked about complications without alarming.
EVIDENCE TO FILE — a brief factual paragraph in the report. Brief unless indicated — a long birth history in a report about reading comprehension tells the reader you were filling in a form.
WHAT FAILURE LOOKS LIKE — either skipping it because it felt intrusive, or recording it in detail that serves no purpose and follows the family for years.</t>
        </is>
      </c>
      <c r="L23" s="165" t="inlineStr">
        <is>
          <t>YOU CAN TEACH IT — you can give a colleague two or three framing sentences and explain what each is doing.
WHEN IT GOES WRONG — you can say what to do when a parent discloses a pregnancy loss or a traumatic birth: acknowledge, do not probe, move on when they are ready, and note only what is relevant.</t>
        </is>
      </c>
      <c r="M23" s="224" t="inlineStr">
        <is>
          <t>Asking the questions with no framing, so the parent hears 'what did you do wrong?'</t>
        </is>
      </c>
      <c r="N23" s="165" t="inlineStr">
        <is>
          <t>→ Feeds into the biological level of the Interactive Factors Framework and into Carr's predisposing factors.</t>
        </is>
      </c>
      <c r="O23" s="225" t="inlineStr">
        <is>
          <t>Not started</t>
        </is>
      </c>
      <c r="P23" s="165" t="inlineStr">
        <is>
          <t>WATCH FOR — the framing sentence your supervisor uses before this section. There is almost always one, and it does the work of making the questions ordinary.</t>
        </is>
      </c>
      <c r="Q23" s="139" t="inlineStr">
        <is>
          <t>Year 1</t>
        </is>
      </c>
      <c r="R23" s="226" t="inlineStr">
        <is>
          <t>26/10/2026</t>
        </is>
      </c>
      <c r="S23" s="226" t="inlineStr">
        <is>
          <t>16/11/2026</t>
        </is>
      </c>
      <c r="T23" s="226" t="inlineStr">
        <is>
          <t>14/12/2026</t>
        </is>
      </c>
      <c r="U23" s="139" t="inlineStr">
        <is>
          <t>Report — findings section · Appendix 5 · Log sheet</t>
        </is>
      </c>
    </row>
    <row r="24" outlineLevel="2" ht="408.75" customHeight="1" s="128">
      <c r="A24" s="139" t="inlineStr">
        <is>
          <t>MICRO-SKILL</t>
        </is>
      </c>
      <c r="B24" s="139" t="inlineStr">
        <is>
          <t>1. Assessment</t>
        </is>
      </c>
      <c r="C24" s="139" t="inlineStr">
        <is>
          <t>Structured interviewing of parents for developmental history</t>
        </is>
      </c>
      <c r="D24" s="139" t="inlineStr">
        <is>
          <t>Block 1 · Knowing the content</t>
        </is>
      </c>
      <c r="E24" s="223" t="inlineStr">
        <is>
          <t>Take early motor, speech and language milestones</t>
        </is>
      </c>
      <c r="F24" s="139" t="inlineStr">
        <is>
          <t>CORU SoP 5.12</t>
        </is>
      </c>
      <c r="G24" s="165" t="inlineStr">
        <is>
          <t>Sequence is the output, not precision. Whether a child walked at 13 or 15 months rarely matters; whether language was delayed before behaviour became difficult matters enormously. Parental recall of milestone ages is moderately accurate at best and improves markedly with anchoring, so how you ask determines whether you get data or a guess.</t>
        </is>
      </c>
      <c r="H24" s="165" t="inlineStr">
        <is>
          <t>WATCH FOR — anchoring. Listen for 'was she walking at her first birthday?' rather than 'what age did she walk?'
WRITE DOWN — three anchored questions verbatim.
ASK AFTERWARDS — 'what do you do when a parent says they cannot remember?'</t>
        </is>
      </c>
      <c r="I24" s="165" t="inlineStr">
        <is>
          <t>YOU TAKE — the motor milestones, which are the most memorable and the easiest to anchor.
THEY HOLD — speech and language, where the distinctions matter more and are harder to elicit.
WHY THAT SPLIT — motor gives you anchoring practice on items parents recall well.</t>
        </is>
      </c>
      <c r="J24" s="165" t="inlineStr">
        <is>
          <t>YOU RUN IT — all three domains, anchored.
WHAT THEY ARE WATCHING FOR — whether you accept a bare age. 'About one' recorded as '12 months' is a guess promoted to data.
STEPPING IN LOOKS LIKE — 'was that before or after Christmas?'</t>
        </is>
      </c>
      <c r="K24" s="207" t="inlineStr">
        <is>
          <t>YOU DO IT ALONE — anchored throughout, with the child health record book on the table if the parent brought it.
PASS TEST — you have dates or approximations, not impressions.
EVIDENCE TO FILE — milestones recorded with their anchor, and any estimate flagged as an estimate.
WHAT FAILURE LOOKS LIKE — a milestone table of round numbers, none of which the parent actually said.</t>
        </is>
      </c>
      <c r="L24" s="165" t="inlineStr">
        <is>
          <t>YOU CAN TEACH IT — you can explain telescoping and recall bias to a colleague and demonstrate three anchoring techniques.
WHEN IT GOES WRONG — you can say what to do when recall genuinely fails: record 'not recalled', ask whether another caregiver would know, and do not fill the gap.</t>
        </is>
      </c>
      <c r="M24" s="224" t="inlineStr">
        <is>
          <t>Asking for ages and writing down the answers as though they were records.</t>
        </is>
      </c>
      <c r="N24" s="165" t="inlineStr">
        <is>
          <t>→ Feeds into the primary-versus-secondary distinction in formulation, and into DLD, autism and GLD questions where onset is diagnostic.</t>
        </is>
      </c>
      <c r="O24" s="225" t="inlineStr">
        <is>
          <t>Not started</t>
        </is>
      </c>
      <c r="P24" s="165" t="inlineStr">
        <is>
          <t>WATCH FOR — anchoring. Listen for 'was she walking at her first birthday?' rather than 'what age did she walk?'</t>
        </is>
      </c>
      <c r="Q24" s="139" t="inlineStr">
        <is>
          <t>Year 1</t>
        </is>
      </c>
      <c r="R24" s="226" t="inlineStr">
        <is>
          <t>26/10/2026</t>
        </is>
      </c>
      <c r="S24" s="226" t="inlineStr">
        <is>
          <t>16/11/2026</t>
        </is>
      </c>
      <c r="T24" s="226" t="inlineStr">
        <is>
          <t>14/12/2026</t>
        </is>
      </c>
      <c r="U24" s="139" t="inlineStr">
        <is>
          <t>Report — developmental history · Appendix 5 · Log sheet</t>
        </is>
      </c>
    </row>
    <row r="25" outlineLevel="2" ht="408.75" customHeight="1" s="128">
      <c r="A25" s="139" t="inlineStr">
        <is>
          <t>MICRO-SKILL</t>
        </is>
      </c>
      <c r="B25" s="139" t="inlineStr">
        <is>
          <t>1. Assessment</t>
        </is>
      </c>
      <c r="C25" s="139" t="inlineStr">
        <is>
          <t>Structured interviewing of parents for developmental history</t>
        </is>
      </c>
      <c r="D25" s="139" t="inlineStr">
        <is>
          <t>Block 1 · Knowing the content</t>
        </is>
      </c>
      <c r="E25" s="223" t="inlineStr">
        <is>
          <t>Ask about sleep, feeding and self-care</t>
        </is>
      </c>
      <c r="F25" s="139" t="inlineStr">
        <is>
          <t>CORU SoP 5.2</t>
        </is>
      </c>
      <c r="G25" s="165" t="inlineStr">
        <is>
          <t>These three are skipped more than any others and they change the whole picture. A child sleeping six hours will present as inattentive, dysregulated and slow on every measure you administer. Feeding and self-care give you the adaptive functioning that a cognitive assessment cannot, and both are the first things to go when a child is under strain.</t>
        </is>
      </c>
      <c r="H25" s="165" t="inlineStr">
        <is>
          <t>WATCH FOR — whether your supervisor asks at all, and how they phrase it so it does not sound like a judgement on routines.
WRITE DOWN — the exact questions, and what they did with the answers.
ASK AFTERWARDS — 'how do you raise sleep without it sounding like you are blaming bedtime?'</t>
        </is>
      </c>
      <c r="I25" s="165" t="inlineStr">
        <is>
          <t>YOU TAKE — sleep, which is the most concrete: what time down, how long to settle, night waking, what time up.
THEY HOLD — self-care and feeding, which can touch on sensory difficulties and on family circumstances.
WHY THAT SPLIT — sleep is answerable in numbers and gives you the section without the sensitivity.</t>
        </is>
      </c>
      <c r="J25" s="165" t="inlineStr">
        <is>
          <t>YOU RUN IT — all three, and you follow up rather than accepting 'fine'.
WHAT THEY ARE WATCHING FOR — whether you ask the follow-up. 'Fine' is the most common answer and almost never the whole answer.
STEPPING IN LOOKS LIKE — 'what time does he actually fall asleep, rather than go to bed?'</t>
        </is>
      </c>
      <c r="K25" s="207" t="inlineStr">
        <is>
          <t>YOU DO IT ALONE — asked, followed up, and used.
PASS TEST — you asked. These are the three most commonly skipped.
EVIDENCE TO FILE — if sleep is short, it goes in the report and it goes in the interpretation. A cognitive profile obtained from a chronically tired child carries a limitation and you must say so.
WHAT FAILURE LOOKS LIKE — administering a full battery to a child sleeping five hours a night and interpreting the processing speed index as though it were stable.</t>
        </is>
      </c>
      <c r="L25" s="165" t="inlineStr">
        <is>
          <t>YOU CAN TEACH IT — you can explain to a colleague why these three belong in every history and give the follow-up question for each.
WHEN IT GOES WRONG — you can say what to do when sleep is severely disrupted: name it, recommend GP review, and state plainly that assessment findings should be revisited if it changes.</t>
        </is>
      </c>
      <c r="M25" s="224" t="inlineStr">
        <is>
          <t>Accepting 'fine' and moving on.</t>
        </is>
      </c>
      <c r="N25" s="165" t="inlineStr">
        <is>
          <t>→ Feeds into ADHD differential, into adaptive functioning, and into the limitations section of any cognitive assessment.</t>
        </is>
      </c>
      <c r="O25" s="225" t="inlineStr">
        <is>
          <t>Not started</t>
        </is>
      </c>
      <c r="P25" s="165" t="inlineStr">
        <is>
          <t>WATCH FOR — whether your supervisor asks at all, and how they phrase it so it does not sound like a judgement on routines.</t>
        </is>
      </c>
      <c r="Q25" s="139" t="inlineStr">
        <is>
          <t>Year 1</t>
        </is>
      </c>
      <c r="R25" s="226" t="inlineStr">
        <is>
          <t>26/10/2026</t>
        </is>
      </c>
      <c r="S25" s="226" t="inlineStr">
        <is>
          <t>16/11/2026</t>
        </is>
      </c>
      <c r="T25" s="226" t="inlineStr">
        <is>
          <t>14/12/2026</t>
        </is>
      </c>
      <c r="U25" s="139" t="inlineStr">
        <is>
          <t>Report — findings and limitations · Appendix 5 · Log sheet</t>
        </is>
      </c>
    </row>
    <row r="26" outlineLevel="2" ht="408.75" customHeight="1" s="128">
      <c r="A26" s="139" t="inlineStr">
        <is>
          <t>MICRO-SKILL</t>
        </is>
      </c>
      <c r="B26" s="139" t="inlineStr">
        <is>
          <t>1. Assessment</t>
        </is>
      </c>
      <c r="C26" s="139" t="inlineStr">
        <is>
          <t>Structured interviewing of parents for developmental history</t>
        </is>
      </c>
      <c r="D26" s="139" t="inlineStr">
        <is>
          <t>Block 1 · Knowing the content</t>
        </is>
      </c>
      <c r="E26" s="223" t="inlineStr">
        <is>
          <t>Ask about play and peer relationships</t>
        </is>
      </c>
      <c r="F26" s="139" t="inlineStr">
        <is>
          <t>CORU SoP 5.15</t>
        </is>
      </c>
      <c r="G26" s="165" t="inlineStr">
        <is>
          <t>Play and friendship are where social communication shows itself, and parents see a side of it school never does — birthday parties, cousins, the estate, who calls for them. It is also the domain where a language-focused history misses the point entirely: a child can have adequate language and no reciprocal friendships.</t>
        </is>
      </c>
      <c r="H26" s="165" t="inlineStr">
        <is>
          <t>WATCH FOR — whether your supervisor asks about quality or only about quantity. 'Does she have friends?' gets a yes. 'Who does she play with at the weekend, and what do they do?' gets an account.
WRITE DOWN — the questions that produced detail.
ASK AFTERWARDS — 'how do you tell a child who is content alone from one who wants in and cannot?'</t>
        </is>
      </c>
      <c r="I26" s="165" t="inlineStr">
        <is>
          <t>YOU TAKE — the factual mapping: who, where, how often, what activity.
THEY HOLD — the interpretive questions about reciprocity and preference.
WHY THAT SPLIT — mapping is concrete; reading social meaning from a parent's account takes practice.</t>
        </is>
      </c>
      <c r="J26" s="165" t="inlineStr">
        <is>
          <t>YOU RUN IT — mapping and quality, and you offer a reading afterwards.
WHAT THEY ARE WATCHING FOR — whether you asked about pretend and imaginative play for younger children. It is diagnostically important and routinely omitted.
STEPPING IN LOOKS LIKE — 'does she play the same game every time, or does it change?'</t>
        </is>
      </c>
      <c r="K26" s="207" t="inlineStr">
        <is>
          <t>YOU DO IT ALONE — asked, mapped, and used in the formulation.
PASS TEST — you asked about friendships, not only language.
EVIDENCE TO FILE — the parent's account of peer relationships in the report, alongside the school's and the child's own. Where the three differ, say so.
WHAT FAILURE LOOKS LIKE — a history that covers language thoroughly and social reciprocity not at all, then a report that cannot address the referral.</t>
        </is>
      </c>
      <c r="L26" s="165" t="inlineStr">
        <is>
          <t>YOU CAN TEACH IT — you can give a colleague a set of questions that distinguish reciprocal friendship from parallel proximity.
WHEN IT GOES WRONG — you can say what to do when a parent reports friendships the school does not see: treat the discrepancy as information about setting and about what 'friend' means to that family.</t>
        </is>
      </c>
      <c r="M26" s="224" t="inlineStr">
        <is>
          <t>Asking 'does she have friends?' and recording 'yes'.</t>
        </is>
      </c>
      <c r="N26" s="165" t="inlineStr">
        <is>
          <t>→ Feeds into autism screening decisions, into referral area 4.1, and into any group intervention you design.</t>
        </is>
      </c>
      <c r="O26" s="225" t="inlineStr">
        <is>
          <t>Not started</t>
        </is>
      </c>
      <c r="P26" s="165" t="inlineStr">
        <is>
          <t>WATCH FOR — whether your supervisor asks about quality or only about quantity. 'Does she have friends?' gets a yes. 'Who does she play with at the weekend, and what do they do?' gets an account.</t>
        </is>
      </c>
      <c r="Q26" s="139" t="inlineStr">
        <is>
          <t>Year 1</t>
        </is>
      </c>
      <c r="R26" s="226" t="inlineStr">
        <is>
          <t>26/10/2026</t>
        </is>
      </c>
      <c r="S26" s="226" t="inlineStr">
        <is>
          <t>16/11/2026</t>
        </is>
      </c>
      <c r="T26" s="226" t="inlineStr">
        <is>
          <t>14/12/2026</t>
        </is>
      </c>
      <c r="U26" s="139" t="inlineStr">
        <is>
          <t>Report — findings · Appendix 5 · Log sheet tagged referral area 4.1</t>
        </is>
      </c>
    </row>
    <row r="27" outlineLevel="2" ht="408.75" customHeight="1" s="128">
      <c r="A27" s="139" t="inlineStr">
        <is>
          <t>MICRO-SKILL</t>
        </is>
      </c>
      <c r="B27" s="139" t="inlineStr">
        <is>
          <t>1. Assessment</t>
        </is>
      </c>
      <c r="C27" s="139" t="inlineStr">
        <is>
          <t>Structured interviewing of parents for developmental history</t>
        </is>
      </c>
      <c r="D27" s="139" t="inlineStr">
        <is>
          <t>Block 1 · Knowing the content</t>
        </is>
      </c>
      <c r="E27" s="223" t="inlineStr">
        <is>
          <t>Ask about medical history and medication</t>
        </is>
      </c>
      <c r="F27" s="139" t="inlineStr">
        <is>
          <t>CORU SoP 5.19</t>
        </is>
      </c>
      <c r="G27" s="165" t="inlineStr">
        <is>
          <t>Medication names alone tell you almost nothing. What matters is what it is for, what effect it has, whether it is taken consistently, and whether a dose changed recently — because a dose change three weeks ago can account for the entire referral. Hearing and vision belong here too, and a hearing history during the infant classes is the single highest-yield question most trainees skip.</t>
        </is>
      </c>
      <c r="H27" s="165" t="inlineStr">
        <is>
          <t>WATCH FOR — how your supervisor follows a medication name. Listen for 'and what difference does it make?'
WRITE DOWN — the medical domains covered, in order, and any question you would not have thought to ask.
ASK AFTERWARDS — 'which medical question has changed a formulation for you?'</t>
        </is>
      </c>
      <c r="I27" s="165" t="inlineStr">
        <is>
          <t>YOU TAKE — the list: conditions, hospital admissions, current medication, vision and hearing checks.
THEY HOLD — the follow-up on effect and on adherence.
WHY THAT SPLIT — listing is straightforward; asking a parent whether medication is actually being given requires care.</t>
        </is>
      </c>
      <c r="J27" s="165" t="inlineStr">
        <is>
          <t>YOU RUN IT — list and follow-up.
WHAT THEY ARE WATCHING FOR — whether you ask the glue ear question specifically. 'Any ear infections?' gets 'a few'. 'Grommets, or fluid behind the eardrum, in junior or senior infants?' gets an answer that can reframe a literacy case.
STEPPING IN LOOKS LIKE — 'when was her hearing last checked, and by whom?'</t>
        </is>
      </c>
      <c r="K27" s="207" t="inlineStr">
        <is>
          <t>YOU DO IT ALONE — covered, followed up, and used.
PASS TEST — you asked what effect it has, not just its name.
EVIDENCE TO FILE — medical factors in the report only where relevant, and any hearing or vision uncertainty flagged as something to rule out before conclusions are drawn.
WHAT FAILURE LOOKS LIKE — assessing literacy behind an unchecked hearing history, then identifying a specific learning difficulty that may not be one.</t>
        </is>
      </c>
      <c r="L27" s="165" t="inlineStr">
        <is>
          <t>YOU CAN TEACH IT — you can explain to a colleague why conductive hearing loss during phonics instruction is a competing explanation, and how to ask about it.
WHEN IT GOES WRONG — you can say what to do when a medical factor emerges mid-assessment: pause, recommend the medical review first, and say in the report that findings should be revisited afterwards.</t>
        </is>
      </c>
      <c r="M27" s="224" t="inlineStr">
        <is>
          <t>Recording a medication name with no indication of what it is for or whether it is working.</t>
        </is>
      </c>
      <c r="N27" s="165" t="inlineStr">
        <is>
          <t>→ Feeds into every differential, into the biological level of the Interactive Factors Framework, and into the limitations section.</t>
        </is>
      </c>
      <c r="O27" s="225" t="inlineStr">
        <is>
          <t>Not started</t>
        </is>
      </c>
      <c r="P27" s="165" t="inlineStr">
        <is>
          <t>WATCH FOR — how your supervisor follows a medication name. Listen for 'and what difference does it make?'</t>
        </is>
      </c>
      <c r="Q27" s="139" t="inlineStr">
        <is>
          <t>Year 1</t>
        </is>
      </c>
      <c r="R27" s="226" t="inlineStr">
        <is>
          <t>26/10/2026</t>
        </is>
      </c>
      <c r="S27" s="226" t="inlineStr">
        <is>
          <t>16/11/2026</t>
        </is>
      </c>
      <c r="T27" s="226" t="inlineStr">
        <is>
          <t>14/12/2026</t>
        </is>
      </c>
      <c r="U27" s="139" t="inlineStr">
        <is>
          <t>Report — findings and limitations · Appendix 5 · Log sheet</t>
        </is>
      </c>
    </row>
    <row r="28" outlineLevel="2" ht="43.5" customHeight="1" s="128">
      <c r="A28" s="220" t="inlineStr">
        <is>
          <t>BLOCK</t>
        </is>
      </c>
      <c r="B28" s="220" t="inlineStr">
        <is>
          <t>1. Assessment</t>
        </is>
      </c>
      <c r="C28" s="220" t="inlineStr">
        <is>
          <t>Structured interviewing of parents for developmental history</t>
        </is>
      </c>
      <c r="D28" s="221" t="inlineStr">
        <is>
          <t>Block 2 · Interview technique</t>
        </is>
      </c>
      <c r="E28" s="222" t="inlineStr">
        <is>
          <t>How to ask so that you get an account rather than answers — opening, following up, not leading.</t>
        </is>
      </c>
      <c r="F28" s="220" t="inlineStr">
        <is>
          <t>Builds over 4–5 interviews · Weeks 3–6</t>
        </is>
      </c>
      <c r="G28" s="220" t="n"/>
      <c r="H28" s="220" t="n"/>
      <c r="I28" s="220" t="n"/>
      <c r="J28" s="220" t="n"/>
      <c r="K28" s="220" t="n"/>
      <c r="L28" s="220" t="n"/>
      <c r="M28" s="222" t="n"/>
      <c r="N28" s="220" t="n"/>
      <c r="O28" s="220" t="n"/>
      <c r="P28" s="220" t="inlineStr">
        <is>
          <t>How you build it: Practise on a colleague. Then do three with your supervisor present.</t>
        </is>
      </c>
      <c r="Q28" s="220" t="n"/>
      <c r="R28" s="220" t="n"/>
      <c r="S28" s="220" t="n"/>
      <c r="T28" s="220" t="n"/>
      <c r="U28" s="220" t="n"/>
    </row>
    <row r="29" outlineLevel="2" ht="408.75" customHeight="1" s="128">
      <c r="A29" s="139" t="inlineStr">
        <is>
          <t>MICRO-SKILL</t>
        </is>
      </c>
      <c r="B29" s="139" t="inlineStr">
        <is>
          <t>1. Assessment</t>
        </is>
      </c>
      <c r="C29" s="139" t="inlineStr">
        <is>
          <t>Structured interviewing of parents for developmental history</t>
        </is>
      </c>
      <c r="D29" s="139" t="inlineStr">
        <is>
          <t>Block 2 · Interview technique</t>
        </is>
      </c>
      <c r="E29" s="223" t="inlineStr">
        <is>
          <t>Open with the parent's own concern, in their words</t>
        </is>
      </c>
      <c r="F29" s="139" t="inlineStr">
        <is>
          <t>CORU SoP 2.3 · PSI Code 1.4.1</t>
        </is>
      </c>
      <c r="G29" s="165" t="inlineStr">
        <is>
          <t>The parent's own framing is data you can get in the first two minutes and cannot get later, because once you have asked twenty structured questions they will answer in your terms. Their words also go in the report, and a report that quotes a parent accurately is one they trust.</t>
        </is>
      </c>
      <c r="H29" s="165" t="inlineStr">
        <is>
          <t>WATCH FOR — the opening. Listen for an open question and then silence.
WRITE DOWN — the opening question verbatim, and how long your supervisor waited before speaking again.
ASK AFTERWARDS — 'how long do you let a silence run at the start?'</t>
        </is>
      </c>
      <c r="I29" s="165" t="inlineStr">
        <is>
          <t>YOU TAKE — the opening question and the first two minutes.
THEY HOLD — everything after.
WHY THAT SPLIT — the opening is short, high-value, and safe to practise.</t>
        </is>
      </c>
      <c r="J29" s="165" t="inlineStr">
        <is>
          <t>YOU RUN IT — you open and hold the silence.
WHAT THEY ARE WATCHING FOR — whether you fill it. Trainees ask a second question within four seconds and lose the account.
STEPPING IN LOOKS LIKE — a small gesture to wait.</t>
        </is>
      </c>
      <c r="K29" s="207" t="inlineStr">
        <is>
          <t>YOU DO IT ALONE — open, wait, record verbatim.
PASS TEST — the parent speaks first and you have not led them.
EVIDENCE TO FILE — the parent's own words quoted in the report's referral or background section. Their phrasing, not yours.
WHAT FAILURE LOOKS LIKE — a background section written entirely in professional language, where the parent's actual concern never appears.</t>
        </is>
      </c>
      <c r="L29" s="165" t="inlineStr">
        <is>
          <t>YOU CAN TEACH IT — you can explain why the opening two minutes shape everything after, and demonstrate tolerating silence.
WHEN IT GOES WRONG — you can say what to do when a parent cannot start: offer a narrower opening ('tell me about a normal school morning') rather than a list of questions.</t>
        </is>
      </c>
      <c r="M29" s="224" t="inlineStr">
        <is>
          <t>Opening with the referral form rather than the parent.</t>
        </is>
      </c>
      <c r="N29" s="165" t="inlineStr">
        <is>
          <t>→ Feeds into COMOIRA, where the parent's construction is one of the accounts you formulate across, and into the feedback session later.</t>
        </is>
      </c>
      <c r="O29" s="225" t="inlineStr">
        <is>
          <t>Not started</t>
        </is>
      </c>
      <c r="P29" s="165" t="inlineStr">
        <is>
          <t>WATCH FOR — the opening. Listen for an open question and then silence.</t>
        </is>
      </c>
      <c r="Q29" s="139" t="inlineStr">
        <is>
          <t>Year 1</t>
        </is>
      </c>
      <c r="R29" s="226" t="inlineStr">
        <is>
          <t>26/10/2026</t>
        </is>
      </c>
      <c r="S29" s="226" t="inlineStr">
        <is>
          <t>16/11/2026</t>
        </is>
      </c>
      <c r="T29" s="226" t="inlineStr">
        <is>
          <t>14/12/2026</t>
        </is>
      </c>
      <c r="U29" s="139" t="inlineStr">
        <is>
          <t>Report — background section · Appendix 5 · Log sheet tagged 5. Working with Others</t>
        </is>
      </c>
    </row>
    <row r="30" outlineLevel="2" ht="408.75" customHeight="1" s="128">
      <c r="A30" s="139" t="inlineStr">
        <is>
          <t>MICRO-SKILL</t>
        </is>
      </c>
      <c r="B30" s="139" t="inlineStr">
        <is>
          <t>1. Assessment</t>
        </is>
      </c>
      <c r="C30" s="139" t="inlineStr">
        <is>
          <t>Structured interviewing of parents for developmental history</t>
        </is>
      </c>
      <c r="D30" s="139" t="inlineStr">
        <is>
          <t>Block 2 · Interview technique</t>
        </is>
      </c>
      <c r="E30" s="223" t="inlineStr">
        <is>
          <t>Ask about strengths before difficulties</t>
        </is>
      </c>
      <c r="F30" s="139" t="inlineStr">
        <is>
          <t>CORU SoP 1.3</t>
        </is>
      </c>
      <c r="G30" s="165" t="inlineStr">
        <is>
          <t>Asking about strengths first is not a courtesy. It changes what you get: a parent who has described what their child is good at answers the difficult questions differently, and you end up with a fuller account. It also gives you the material for the feedback session, where a strength you can evidence is worth far more than one you invented on the spot.</t>
        </is>
      </c>
      <c r="H30" s="165" t="inlineStr">
        <is>
          <t>WATCH FOR — where in the sequence strengths come, and whether the parent's answer changes the tone of what follows.
WRITE DOWN — the question used, and at least two strengths the parent named.
ASK AFTERWARDS — 'what do you do when a parent cannot name a strength?' It happens, and it is significant.</t>
        </is>
      </c>
      <c r="I30" s="165" t="inlineStr">
        <is>
          <t>YOU TAKE — the strengths question and recording the answers.
THEY HOLD — the transition into difficulties.
WHY THAT SPLIT — the question is easy; the transition needs judgement about pace.</t>
        </is>
      </c>
      <c r="J30" s="165" t="inlineStr">
        <is>
          <t>YOU RUN IT — strengths, then transition.
WHAT THEY ARE WATCHING FOR — whether the strengths make it into your notes at all, or whether you nod and move on to what you came for.
STEPPING IN LOOKS LIKE — 'can you give me an example of that?'</t>
        </is>
      </c>
      <c r="K30" s="207" t="inlineStr">
        <is>
          <t>YOU DO IT ALONE — asked early, recorded, and used later.
PASS TEST — strengths appear in your notes at all.
EVIDENCE TO FILE — strengths in the report, specific and evidenced, and used in the feedback session.
WHAT FAILURE LOOKS LIKE — a report that opens with a strengths sentence so generic it could describe any child, which parents read as padding.</t>
        </is>
      </c>
      <c r="L30" s="165" t="inlineStr">
        <is>
          <t>YOU CAN TEACH IT — you can explain why strengths-first changes the quality of a history, and what a parent's inability to name one tells you.
WHEN IT GOES WRONG — you can say what to do when a parent names none: note it without comment, and return to it later in the session.</t>
        </is>
      </c>
      <c r="M30" s="224" t="inlineStr">
        <is>
          <t>Asking, nodding, and not writing any of it down.</t>
        </is>
      </c>
      <c r="N30" s="165" t="inlineStr">
        <is>
          <t>→ Feeds into the feedback session, into protective factors in Carr's model, and into the child's own sense of themselves.</t>
        </is>
      </c>
      <c r="O30" s="225" t="inlineStr">
        <is>
          <t>Not started</t>
        </is>
      </c>
      <c r="P30" s="165" t="inlineStr">
        <is>
          <t>WATCH FOR — where in the sequence strengths come, and whether the parent's answer changes the tone of what follows.</t>
        </is>
      </c>
      <c r="Q30" s="139" t="inlineStr">
        <is>
          <t>Year 1</t>
        </is>
      </c>
      <c r="R30" s="226" t="inlineStr">
        <is>
          <t>26/10/2026</t>
        </is>
      </c>
      <c r="S30" s="226" t="inlineStr">
        <is>
          <t>16/11/2026</t>
        </is>
      </c>
      <c r="T30" s="226" t="inlineStr">
        <is>
          <t>14/12/2026</t>
        </is>
      </c>
      <c r="U30" s="139" t="inlineStr">
        <is>
          <t>Report — findings · Appendix 5 · Log sheet</t>
        </is>
      </c>
    </row>
    <row r="31" outlineLevel="2" ht="408.75" customHeight="1" s="128">
      <c r="A31" s="139" t="inlineStr">
        <is>
          <t>MICRO-SKILL</t>
        </is>
      </c>
      <c r="B31" s="139" t="inlineStr">
        <is>
          <t>1. Assessment</t>
        </is>
      </c>
      <c r="C31" s="139" t="inlineStr">
        <is>
          <t>Structured interviewing of parents for developmental history</t>
        </is>
      </c>
      <c r="D31" s="139" t="inlineStr">
        <is>
          <t>Block 2 · Interview technique</t>
        </is>
      </c>
      <c r="E31" s="223" t="inlineStr">
        <is>
          <t>Follow up an ambiguous answer rather than accepting it</t>
        </is>
      </c>
      <c r="F31" s="139" t="inlineStr">
        <is>
          <t>CORU SoP 3.1</t>
        </is>
      </c>
      <c r="G31" s="165" t="inlineStr">
        <is>
          <t>Ambiguous answers are where the information is. 'A few', 'sometimes', 'not really', 'he's grand' are all doors, and walking past them is the commonest way a history ends up thin. The difficulty is that noticing has to happen in real time, while you are also listening, writing and thinking about the next question.</t>
        </is>
      </c>
      <c r="H31" s="165" t="inlineStr">
        <is>
          <t>WATCH FOR — every time your supervisor follows up. Note what triggered it.
WRITE DOWN — three ambiguous answers and the follow-up used for each.
ASK AFTERWARDS — 'how do you notice, in the moment, that an answer was vague?'</t>
        </is>
      </c>
      <c r="I31" s="165" t="inlineStr">
        <is>
          <t>YOU TAKE — listening for ambiguity and flagging it in the margin for your supervisor to pick up.
THEY HOLD — the follow-up itself.
WHY THAT SPLIT — noticing and asking are separate skills. Practise noticing first; it is the harder one.</t>
        </is>
      </c>
      <c r="J31" s="165" t="inlineStr">
        <is>
          <t>YOU RUN IT — you notice and follow up.
WHAT THEY ARE WATCHING FOR — how many you miss. Expect to miss several and expect that to be the most useful feedback of the session.
STEPPING IN LOOKS LIKE — circling back to something you passed.</t>
        </is>
      </c>
      <c r="K31" s="207" t="inlineStr">
        <is>
          <t>YOU DO IT ALONE — noticing and following up throughout.
PASS TEST — you noticed the ambiguity in the moment.
EVIDENCE TO FILE — the specific answers your follow-up produced. Those are usually the sentences that end up mattering in the report.
WHAT FAILURE LOOKS LIKE — a complete history in which nothing is specific enough to act on.</t>
        </is>
      </c>
      <c r="L31" s="165" t="inlineStr">
        <is>
          <t>YOU CAN TEACH IT — you can give a colleague the four or five stock vague answers and a follow-up for each.
WHEN IT GOES WRONG — you can say what to do when a parent is vague because they do not want to answer: notice the difference between not knowing and not saying, and do not press the second.</t>
        </is>
      </c>
      <c r="M31" s="224" t="inlineStr">
        <is>
          <t>Accepting 'he's grand' about sleep, friendships or homework.</t>
        </is>
      </c>
      <c r="N31" s="165" t="inlineStr">
        <is>
          <t>→ Feeds into every other interview skill, and into the same discipline in teacher consultation and pupil interview.</t>
        </is>
      </c>
      <c r="O31" s="225" t="inlineStr">
        <is>
          <t>Not started</t>
        </is>
      </c>
      <c r="P31" s="165" t="inlineStr">
        <is>
          <t>WATCH FOR — every time your supervisor follows up. Note what triggered it.</t>
        </is>
      </c>
      <c r="Q31" s="139" t="inlineStr">
        <is>
          <t>Year 1</t>
        </is>
      </c>
      <c r="R31" s="226" t="inlineStr">
        <is>
          <t>26/10/2026</t>
        </is>
      </c>
      <c r="S31" s="226" t="inlineStr">
        <is>
          <t>16/11/2026</t>
        </is>
      </c>
      <c r="T31" s="226" t="inlineStr">
        <is>
          <t>14/12/2026</t>
        </is>
      </c>
      <c r="U31" s="139" t="inlineStr">
        <is>
          <t>Report — findings · Appendix 5 · Log sheet</t>
        </is>
      </c>
    </row>
    <row r="32" outlineLevel="2" ht="43.5" customHeight="1" s="128">
      <c r="A32" s="220" t="inlineStr">
        <is>
          <t>BLOCK</t>
        </is>
      </c>
      <c r="B32" s="220" t="inlineStr">
        <is>
          <t>1. Assessment</t>
        </is>
      </c>
      <c r="C32" s="220" t="inlineStr">
        <is>
          <t>Structured interviewing of parents for developmental history</t>
        </is>
      </c>
      <c r="D32" s="221" t="inlineStr">
        <is>
          <t>Block 3 · Holding the emotional content</t>
        </is>
      </c>
      <c r="E32" s="222" t="inlineStr">
        <is>
          <t>What to do when a parent becomes upset, discloses, or says something you were not expecting.</t>
        </is>
      </c>
      <c r="F32" s="220" t="inlineStr">
        <is>
          <t>2 hours, then case by case · Weeks 3–6</t>
        </is>
      </c>
      <c r="G32" s="220" t="n"/>
      <c r="H32" s="220" t="n"/>
      <c r="I32" s="220" t="n"/>
      <c r="J32" s="220" t="n"/>
      <c r="K32" s="220" t="n"/>
      <c r="L32" s="220" t="n"/>
      <c r="M32" s="222" t="n"/>
      <c r="N32" s="220" t="n"/>
      <c r="O32" s="220" t="n"/>
      <c r="P32" s="220" t="inlineStr">
        <is>
          <t>How you build it: Ask your supervisor for three things they say when a parent cries. Have your own version ready.</t>
        </is>
      </c>
      <c r="Q32" s="220" t="n"/>
      <c r="R32" s="220" t="n"/>
      <c r="S32" s="220" t="n"/>
      <c r="T32" s="220" t="n"/>
      <c r="U32" s="220" t="n"/>
    </row>
    <row r="33" outlineLevel="2" ht="408.75" customHeight="1" s="128">
      <c r="A33" s="139" t="inlineStr">
        <is>
          <t>MICRO-SKILL</t>
        </is>
      </c>
      <c r="B33" s="139" t="inlineStr">
        <is>
          <t>1. Assessment</t>
        </is>
      </c>
      <c r="C33" s="139" t="inlineStr">
        <is>
          <t>Structured interviewing of parents for developmental history</t>
        </is>
      </c>
      <c r="D33" s="139" t="inlineStr">
        <is>
          <t>Block 3 · Holding the emotional content</t>
        </is>
      </c>
      <c r="E33" s="223" t="inlineStr">
        <is>
          <t>Ask about family structure and significant events sensitively</t>
        </is>
      </c>
      <c r="F33" s="139" t="inlineStr">
        <is>
          <t>CORU SoP 1.8 · PSI Code 1.1.3</t>
        </is>
      </c>
      <c r="G33" s="165" t="inlineStr">
        <is>
          <t>Family context sits at the environmental level of every framework you use, and significant events — bereavement, separation, migration, illness, a parent's own difficulty — frequently explain timing that nothing else does. PSI 1.2.1 restricts you to information germane to the purpose, so the skill is getting what you need without taking more than you need.</t>
        </is>
      </c>
      <c r="H33" s="165" t="inlineStr">
        <is>
          <t>WATCH FOR — how your supervisor opens this section and how they handle hesitation.
WRITE DOWN — the framing, and one moment where the parent hesitated and what happened next.
ASK AFTERWARDS — 'how do you decide when to stop asking?'</t>
        </is>
      </c>
      <c r="I33" s="165" t="inlineStr">
        <is>
          <t>YOU TAKE — the structural questions: who lives at home, siblings and ages, who else is involved in care.
THEY HOLD — significant events and anything the parent flags as difficult.
WHY THAT SPLIT — structure is neutral; events are not.</t>
        </is>
      </c>
      <c r="J33" s="165" t="inlineStr">
        <is>
          <t>YOU RUN IT — both, with your supervisor present.
WHAT THEY ARE WATCHING FOR — whether you press where a parent hesitates. Hesitation is a boundary and pressing it costs you the relationship.
STEPPING IN LOOKS LIKE — 'we can come back to that another time if you would rather.'</t>
        </is>
      </c>
      <c r="K33" s="207" t="inlineStr">
        <is>
          <t>YOU DO IT ALONE — asked proportionately and recorded minimally.
PASS TEST — you did not press where the parent hesitated.
EVIDENCE TO FILE — only what is germane. A family history recorded in detail that serves no purpose is a data protection problem as well as a trust problem.
WHAT FAILURE LOOKS LIKE — either avoiding the section entirely, so the formulation has no environmental level, or recording family detail that will be read by people it was never meant for.</t>
        </is>
      </c>
      <c r="L33" s="165" t="inlineStr">
        <is>
          <t>YOU CAN TEACH IT — you can explain the germane-information principle with the clause, and demonstrate asking a sensitive question and then leaving it.
WHEN IT GOES WRONG — you can say what to do when something raises a safeguarding concern: stop the interview, follow the protocol, supervisor the same day.</t>
        </is>
      </c>
      <c r="M33" s="224" t="inlineStr">
        <is>
          <t>Recording everything a parent discloses because they disclosed it.</t>
        </is>
      </c>
      <c r="N33" s="165" t="inlineStr">
        <is>
          <t>→ Feeds into the environmental level of the Interactive Factors Framework and into Carr's precipitating and perpetuating factors.</t>
        </is>
      </c>
      <c r="O33" s="225" t="inlineStr">
        <is>
          <t>Not started</t>
        </is>
      </c>
      <c r="P33" s="165" t="inlineStr">
        <is>
          <t>WATCH FOR — how your supervisor opens this section and how they handle hesitation.</t>
        </is>
      </c>
      <c r="Q33" s="139" t="inlineStr">
        <is>
          <t>Year 1</t>
        </is>
      </c>
      <c r="R33" s="226" t="inlineStr">
        <is>
          <t>26/10/2026</t>
        </is>
      </c>
      <c r="S33" s="226" t="inlineStr">
        <is>
          <t>16/11/2026</t>
        </is>
      </c>
      <c r="T33" s="226" t="inlineStr">
        <is>
          <t>14/12/2026</t>
        </is>
      </c>
      <c r="U33" s="139" t="inlineStr">
        <is>
          <t>Report — background, proportionate · Appendix 5 · Log sheet tagged 6. Ethical Practice</t>
        </is>
      </c>
    </row>
    <row r="34" outlineLevel="2" ht="408.75" customHeight="1" s="128">
      <c r="A34" s="139" t="inlineStr">
        <is>
          <t>MICRO-SKILL</t>
        </is>
      </c>
      <c r="B34" s="139" t="inlineStr">
        <is>
          <t>1. Assessment</t>
        </is>
      </c>
      <c r="C34" s="139" t="inlineStr">
        <is>
          <t>Structured interviewing of parents for developmental history</t>
        </is>
      </c>
      <c r="D34" s="139" t="inlineStr">
        <is>
          <t>Block 3 · Holding the emotional content</t>
        </is>
      </c>
      <c r="E34" s="223" t="inlineStr">
        <is>
          <t>Manage emotional disclosure without losing the thread</t>
        </is>
      </c>
      <c r="F34" s="139" t="inlineStr">
        <is>
          <t>CORU SoP 2.2 · PSI Code 1.1.1</t>
        </is>
      </c>
      <c r="G34" s="165" t="inlineStr">
        <is>
          <t>Parents cry in these interviews. It is ordinary and it is not a failure of the interview. The skill is responding as a person, without either brushing past it or abandoning the task — and knowing where your competence ends, because if the disclosure is about the parent's own mental health you are listening and signposting, not treating.</t>
        </is>
      </c>
      <c r="H34" s="165" t="inlineStr">
        <is>
          <t>WATCH FOR — what your supervisor does in the first ten seconds. Usually they stop writing and say something short.
WRITE DOWN — their exact words, and how they returned to the interview afterwards.
ASK AFTERWARDS — 'how do you know when to stop the interview altogether?'</t>
        </is>
      </c>
      <c r="I34" s="165" t="inlineStr">
        <is>
          <t>YOU TAKE — the factual sections, and you observe when emotion arises.
THEY HOLD — the response.
WHY THAT SPLIT — this is the one micro-skill where watching twice is better than doing once.</t>
        </is>
      </c>
      <c r="J34" s="165" t="inlineStr">
        <is>
          <t>YOU RUN IT — you respond, with your supervisor there to take over.
WHAT THEY ARE WATCHING FOR — whether you keep writing. Continuing to take notes while a parent cries is the single most damaging thing you can do here.
STEPPING IN LOOKS LIKE — taking the conversation if it moves beyond your competence.</t>
        </is>
      </c>
      <c r="K34" s="207" t="inlineStr">
        <is>
          <t>YOU DO IT ALONE — stop, acknowledge, wait, return when they are ready.
PASS TEST — you held both the person and the task.
EVIDENCE TO FILE — nothing about the parent's own distress unless it is germane. Record that the interview was paused if that affected what you gathered.
WHAT FAILURE LOOKS LIKE — either carrying on as though nothing happened, or abandoning the interview entirely and having to ask again another day.</t>
        </is>
      </c>
      <c r="L34" s="165" t="inlineStr">
        <is>
          <t>YOU CAN TEACH IT — you can give a colleague two or three responses that acknowledge without opening something you cannot hold, and explain where the competence boundary sits.
WHEN IT GOES WRONG — you can say what to do when a parent discloses their own mental health difficulty or a risk to themselves: listen, do not take it on, signpost specifically, and tell your supervisor the same day.</t>
        </is>
      </c>
      <c r="M34" s="224" t="inlineStr">
        <is>
          <t>Continuing to write.</t>
        </is>
      </c>
      <c r="N34" s="165" t="inlineStr">
        <is>
          <t>→ Feeds into the counselling-skills micro-skills under Intervention, and into the competence-boundary skill under Ethical Practice.</t>
        </is>
      </c>
      <c r="O34" s="225" t="inlineStr">
        <is>
          <t>Not started</t>
        </is>
      </c>
      <c r="P34" s="165" t="inlineStr">
        <is>
          <t>WATCH FOR — what your supervisor does in the first ten seconds. Usually they stop writing and say something short.</t>
        </is>
      </c>
      <c r="Q34" s="139" t="inlineStr">
        <is>
          <t>Year 1</t>
        </is>
      </c>
      <c r="R34" s="226" t="inlineStr">
        <is>
          <t>26/10/2026</t>
        </is>
      </c>
      <c r="S34" s="226" t="inlineStr">
        <is>
          <t>16/11/2026</t>
        </is>
      </c>
      <c r="T34" s="226" t="inlineStr">
        <is>
          <t>14/12/2026</t>
        </is>
      </c>
      <c r="U34" s="139" t="inlineStr">
        <is>
          <t>Supervision record · Appendix 8 dilemma entry if applicable · Log sheet tagged 6. Ethical Practice</t>
        </is>
      </c>
    </row>
    <row r="35" outlineLevel="2" ht="408.75" customHeight="1" s="128">
      <c r="A35" s="139" t="inlineStr">
        <is>
          <t>MICRO-SKILL</t>
        </is>
      </c>
      <c r="B35" s="139" t="inlineStr">
        <is>
          <t>1. Assessment</t>
        </is>
      </c>
      <c r="C35" s="139" t="inlineStr">
        <is>
          <t>Structured interviewing of parents for developmental history</t>
        </is>
      </c>
      <c r="D35" s="139" t="inlineStr">
        <is>
          <t>Block 3 · Holding the emotional content</t>
        </is>
      </c>
      <c r="E35" s="223" t="inlineStr">
        <is>
          <t>Close with what happens next and when</t>
        </is>
      </c>
      <c r="F35" s="139" t="inlineStr">
        <is>
          <t>PSI Code 1.3.5</t>
        </is>
      </c>
      <c r="G35" s="165" t="inlineStr">
        <is>
          <t>An unclear ending is the commonest complaint parents make about psychology services. They leave not knowing what happens, wait, hear nothing, and conclude they have been forgotten. Two minutes at the end prevents it, and it is also where you set expectations you can actually meet.</t>
        </is>
      </c>
      <c r="H35" s="165" t="inlineStr">
        <is>
          <t>WATCH FOR — the closing. There should be a summary, a next step, a timeline and an invitation to ask.
WRITE DOWN — all four, and what your supervisor promised.
ASK AFTERWARDS — 'what do you say when you do not know how long it will take?'</t>
        </is>
      </c>
      <c r="I35" s="165" t="inlineStr">
        <is>
          <t>YOU TAKE — the summary and the invitation to ask questions.
THEY HOLD — the timeline, because it is a promise.
WHY THAT SPLIT — you should not be promising timelines you do not control.</t>
        </is>
      </c>
      <c r="J35" s="165" t="inlineStr">
        <is>
          <t>YOU RUN IT — all four, having checked the realistic timeline with your supervisor beforehand.
WHAT THEY ARE WATCHING FOR — whether you over-promise to make the parent feel better. It always costs more later than the discomfort it saves now.
STEPPING IN LOOKS LIKE — adjusting a timeline you have just given.</t>
        </is>
      </c>
      <c r="K35" s="207" t="inlineStr">
        <is>
          <t>YOU DO IT ALONE — summary, next step, timeline, questions.
PASS TEST — the parent leaves knowing the timeline.
EVIDENCE TO FILE — a note of what you told them, so you can check you delivered it. If the timeline slips, contact them before they contact you.
WHAT FAILURE LOOKS LIKE — 'I'll be in touch', which means nothing and is heard as nothing.</t>
        </is>
      </c>
      <c r="L35" s="165" t="inlineStr">
        <is>
          <t>YOU CAN TEACH IT — you can give a colleague a four-part close and explain why each part is there.
WHEN IT GOES WRONG — you can say what to do when the timeline slips: contact the family before the date you gave them, with a new date.</t>
        </is>
      </c>
      <c r="M35" s="224" t="inlineStr">
        <is>
          <t>Ending with 'I'll be in touch.'</t>
        </is>
      </c>
      <c r="N35" s="165" t="inlineStr">
        <is>
          <t>→ Feeds into the feedback session, and into the record-keeping skill under Working with Others.</t>
        </is>
      </c>
      <c r="O35" s="225" t="inlineStr">
        <is>
          <t>Not started</t>
        </is>
      </c>
      <c r="P35" s="165" t="inlineStr">
        <is>
          <t>WATCH FOR — the closing. There should be a summary, a next step, a timeline and an invitation to ask.</t>
        </is>
      </c>
      <c r="Q35" s="139" t="inlineStr">
        <is>
          <t>Year 1</t>
        </is>
      </c>
      <c r="R35" s="226" t="inlineStr">
        <is>
          <t>26/10/2026</t>
        </is>
      </c>
      <c r="S35" s="226" t="inlineStr">
        <is>
          <t>16/11/2026</t>
        </is>
      </c>
      <c r="T35" s="226" t="inlineStr">
        <is>
          <t>14/12/2026</t>
        </is>
      </c>
      <c r="U35" s="139" t="inlineStr">
        <is>
          <t>Case note of what was agreed · Appendix 5 · Log sheet tagged 5. Working with Others</t>
        </is>
      </c>
    </row>
    <row r="36" outlineLevel="2" ht="19.5" customHeight="1" s="128">
      <c r="A36" s="219" t="inlineStr">
        <is>
          <t>MACRO SKILL</t>
        </is>
      </c>
      <c r="B36" s="219" t="inlineStr">
        <is>
          <t>1. Assessment</t>
        </is>
      </c>
      <c r="C36" s="219" t="inlineStr">
        <is>
          <t>Structured interviewing of teachers and SET</t>
        </is>
      </c>
      <c r="D36" s="219" t="n"/>
      <c r="E36" s="219" t="inlineStr">
        <is>
          <t>2 blocks · 7 micro-skills</t>
        </is>
      </c>
      <c r="F36" s="219" t="inlineStr">
        <is>
          <t>CORU 3.1 · 5.13 · 5.14</t>
        </is>
      </c>
      <c r="G36" s="219" t="n"/>
      <c r="H36" s="219" t="n"/>
      <c r="I36" s="219" t="n"/>
      <c r="J36" s="219" t="n"/>
      <c r="K36" s="219" t="n"/>
      <c r="L36" s="219" t="n"/>
      <c r="M36" s="219" t="n"/>
      <c r="N36" s="219" t="n"/>
      <c r="O36" s="219" t="n"/>
      <c r="P36" s="219" t="n"/>
      <c r="Q36" s="219" t="inlineStr">
        <is>
          <t>Year 1</t>
        </is>
      </c>
      <c r="R36" s="219" t="n"/>
      <c r="S36" s="219" t="n"/>
      <c r="T36" s="219" t="n"/>
      <c r="U36" s="219" t="n"/>
    </row>
    <row r="37" outlineLevel="2" ht="43.5" customHeight="1" s="128">
      <c r="A37" s="220" t="inlineStr">
        <is>
          <t>BLOCK</t>
        </is>
      </c>
      <c r="B37" s="220" t="inlineStr">
        <is>
          <t>1. Assessment</t>
        </is>
      </c>
      <c r="C37" s="220" t="inlineStr">
        <is>
          <t>Structured interviewing of teachers and SET</t>
        </is>
      </c>
      <c r="D37" s="221" t="inlineStr">
        <is>
          <t>Block 1 · Knowing the school system</t>
        </is>
      </c>
      <c r="E37" s="222" t="inlineStr">
        <is>
          <t>How SET allocation works, what the Continuum of Support levels are, and what a school can offer at each.</t>
        </is>
      </c>
      <c r="F37" s="220" t="inlineStr">
        <is>
          <t>5–6 hours for the first school · Weeks 1–2</t>
        </is>
      </c>
      <c r="G37" s="220" t="n"/>
      <c r="H37" s="220" t="n"/>
      <c r="I37" s="220" t="n"/>
      <c r="J37" s="220" t="n"/>
      <c r="K37" s="220" t="n"/>
      <c r="L37" s="220" t="n"/>
      <c r="M37" s="222" t="n"/>
      <c r="N37" s="220" t="n"/>
      <c r="O37" s="220" t="n"/>
      <c r="P37" s="220" t="inlineStr">
        <is>
          <t>How you build it: Read the Continuum documents. Map one school properly.</t>
        </is>
      </c>
      <c r="Q37" s="220" t="n"/>
      <c r="R37" s="220" t="n"/>
      <c r="S37" s="220" t="n"/>
      <c r="T37" s="220" t="n"/>
      <c r="U37" s="220" t="n"/>
    </row>
    <row r="38" outlineLevel="2" ht="408.75" customHeight="1" s="128">
      <c r="A38" s="139" t="inlineStr">
        <is>
          <t>MICRO-SKILL</t>
        </is>
      </c>
      <c r="B38" s="139" t="inlineStr">
        <is>
          <t>1. Assessment</t>
        </is>
      </c>
      <c r="C38" s="139" t="inlineStr">
        <is>
          <t>Structured interviewing of teachers and SET</t>
        </is>
      </c>
      <c r="D38" s="139" t="inlineStr">
        <is>
          <t>Block 1 · Knowing the school system</t>
        </is>
      </c>
      <c r="E38" s="223" t="inlineStr">
        <is>
          <t>Place the child on the Continuum of Support</t>
        </is>
      </c>
      <c r="F38" s="139" t="inlineStr">
        <is>
          <t>NEPS Continuum of Support</t>
        </is>
      </c>
      <c r="G38" s="165" t="inlineStr">
        <is>
          <t>The Continuum is how Irish schools allocate. Recommending School Support Plus for a child already at that level, or Classroom Support for one who has exhausted it, tells the school you did not ask. Knowing the stage first also tells you what has already failed, which is the most useful thing in the room.</t>
        </is>
      </c>
      <c r="H38" s="165" t="inlineStr">
        <is>
          <t>WATCH FOR — how your supervisor asks. Usually not 'what stage is he at?' but 'what does the support look like at the moment?'
WRITE DOWN — the question and the documentation the school produced in response.
ASK AFTERWARDS — 'what do you do when the school does not know what stage a child is at?'</t>
        </is>
      </c>
      <c r="I38" s="165" t="inlineStr">
        <is>
          <t>YOU TAKE — asking to see the Student Support File and reading it before the meeting.
THEY HOLD — the conversation about what the stage should be.
WHY THAT SPLIT — reading the file is where you learn what these documents actually contain, which is often less than their name suggests.</t>
        </is>
      </c>
      <c r="J38" s="165" t="inlineStr">
        <is>
          <t>YOU RUN IT — you establish the stage and test it against what you have read.
WHAT THEY ARE WATCHING FOR — whether you accept the school's label without evidence. A child described as being at School Support with no plan and no review is not at School Support.
STEPPING IN LOOKS LIKE — 'could we look at the plan for that?'</t>
        </is>
      </c>
      <c r="K38" s="207" t="inlineStr">
        <is>
          <t>YOU DO IT ALONE — stage established, evidenced, and carried into the recommendation.
PASS TEST — you know the stage before you recommend anything.
EVIDENCE TO FILE — the current stage named in the report, with the recommended stage and why it differs.
WHAT FAILURE LOOKS LIKE — a recommendation the school cannot act on because it names no level, or names one already in place.</t>
        </is>
      </c>
      <c r="L38" s="165" t="inlineStr">
        <is>
          <t>YOU CAN TEACH IT — you can explain the three levels, what documentation each generates, and how schools actually use them.
WHEN IT GOES WRONG — you can say what to do when the documented stage and the observed support do not match: describe both, without blame, and make that the finding.</t>
        </is>
      </c>
      <c r="M38" s="224" t="inlineStr">
        <is>
          <t>Accepting the label without asking to see the plan.</t>
        </is>
      </c>
      <c r="N38" s="165" t="inlineStr">
        <is>
          <t>→ Feeds into every recommendation, and into the systemic mapping skill under Systemic Change.</t>
        </is>
      </c>
      <c r="O38" s="225" t="inlineStr">
        <is>
          <t>Not started</t>
        </is>
      </c>
      <c r="P38" s="165" t="inlineStr">
        <is>
          <t>WATCH FOR — how your supervisor asks. Usually not 'what stage is he at?' but 'what does the support look like at the moment?'</t>
        </is>
      </c>
      <c r="Q38" s="139" t="inlineStr">
        <is>
          <t>Year 1</t>
        </is>
      </c>
      <c r="R38" s="226" t="inlineStr">
        <is>
          <t>26/10/2026</t>
        </is>
      </c>
      <c r="S38" s="226" t="inlineStr">
        <is>
          <t>16/11/2026</t>
        </is>
      </c>
      <c r="T38" s="226" t="inlineStr">
        <is>
          <t>14/12/2026</t>
        </is>
      </c>
      <c r="U38" s="139" t="inlineStr">
        <is>
          <t>Report — recommendations · Appendix 5 · Log sheet tagged 4. Systemic Change</t>
        </is>
      </c>
    </row>
    <row r="39" outlineLevel="2" ht="408.75" customHeight="1" s="128">
      <c r="A39" s="139" t="inlineStr">
        <is>
          <t>MICRO-SKILL</t>
        </is>
      </c>
      <c r="B39" s="139" t="inlineStr">
        <is>
          <t>1. Assessment</t>
        </is>
      </c>
      <c r="C39" s="139" t="inlineStr">
        <is>
          <t>Structured interviewing of teachers and SET</t>
        </is>
      </c>
      <c r="D39" s="139" t="inlineStr">
        <is>
          <t>Block 1 · Knowing the school system</t>
        </is>
      </c>
      <c r="E39" s="223" t="inlineStr">
        <is>
          <t>Ask what has already been tried and what happened</t>
        </is>
      </c>
      <c r="F39" s="139" t="inlineStr">
        <is>
          <t>CORU SoP 5.13</t>
        </is>
      </c>
      <c r="G39" s="165" t="inlineStr">
        <is>
          <t>Recommending something the school tried last year and abandoned is the fastest way to lose credibility. What was tried, how it was delivered, for how long, and what happened is also diagnostic: an intervention delivered at the wrong intensity that then 'did not work' tells you about delivery, not about the child.</t>
        </is>
      </c>
      <c r="H39" s="165" t="inlineStr">
        <is>
          <t>WATCH FOR — whether your supervisor asks about intensity, not just about what was tried.
WRITE DOWN — the follow-up questions. 'How often?' and 'for how long?' are the ones that matter.
ASK AFTERWARDS — 'how do you ask this without it sounding like an audit?'</t>
        </is>
      </c>
      <c r="I39" s="165" t="inlineStr">
        <is>
          <t>YOU TAKE — the list of what has been tried.
THEY HOLD — the follow-up on intensity and fidelity.
WHY THAT SPLIT — the list is straightforward; asking a teacher how faithfully something was delivered needs care.</t>
        </is>
      </c>
      <c r="J39" s="165" t="inlineStr">
        <is>
          <t>YOU RUN IT — list and follow-up.
WHAT THEY ARE WATCHING FOR — whether you establish intensity. 'We did some phonics' could mean daily for a term or twice in October.
STEPPING IN LOOKS LIKE — 'roughly how many times a week was that?'</t>
        </is>
      </c>
      <c r="K39" s="207" t="inlineStr">
        <is>
          <t>YOU DO IT ALONE — asked, quantified, and used.
PASS TEST — you did not assume nothing had been tried.
EVIDENCE TO FILE — what has been tried, at what intensity, and with what result, in the report. Then recommendations that account for it.
WHAT FAILURE LOOKS LIKE — recommending structured phonics to a school that has delivered it daily for a year.</t>
        </is>
      </c>
      <c r="L39" s="165" t="inlineStr">
        <is>
          <t>YOU CAN TEACH IT — you can explain why fidelity and intensity are the variables that usually explain a failed intervention.
WHEN IT GOES WRONG — you can say what to do when nothing has been tried: say so neutrally, and make the first recommendation the thing that should already have happened.</t>
        </is>
      </c>
      <c r="M39" s="224" t="inlineStr">
        <is>
          <t>Recording that something was tried without establishing how much of it.</t>
        </is>
      </c>
      <c r="N39" s="165" t="inlineStr">
        <is>
          <t>→ Feeds into intervention recommendations and into the Continuum level you name.</t>
        </is>
      </c>
      <c r="O39" s="225" t="inlineStr">
        <is>
          <t>Not started</t>
        </is>
      </c>
      <c r="P39" s="165" t="inlineStr">
        <is>
          <t>WATCH FOR — whether your supervisor asks about intensity, not just about what was tried.</t>
        </is>
      </c>
      <c r="Q39" s="139" t="inlineStr">
        <is>
          <t>Year 1</t>
        </is>
      </c>
      <c r="R39" s="226" t="inlineStr">
        <is>
          <t>26/10/2026</t>
        </is>
      </c>
      <c r="S39" s="226" t="inlineStr">
        <is>
          <t>16/11/2026</t>
        </is>
      </c>
      <c r="T39" s="226" t="inlineStr">
        <is>
          <t>14/12/2026</t>
        </is>
      </c>
      <c r="U39" s="139" t="inlineStr">
        <is>
          <t>Report — background and recommendations · Appendix 5 · Log sheet</t>
        </is>
      </c>
    </row>
    <row r="40" outlineLevel="2" ht="408.75" customHeight="1" s="128">
      <c r="A40" s="139" t="inlineStr">
        <is>
          <t>MICRO-SKILL</t>
        </is>
      </c>
      <c r="B40" s="139" t="inlineStr">
        <is>
          <t>1. Assessment</t>
        </is>
      </c>
      <c r="C40" s="139" t="inlineStr">
        <is>
          <t>Structured interviewing of teachers and SET</t>
        </is>
      </c>
      <c r="D40" s="139" t="inlineStr">
        <is>
          <t>Block 1 · Knowing the school system</t>
        </is>
      </c>
      <c r="E40" s="223" t="inlineStr">
        <is>
          <t>Ask about presentation across the timetable</t>
        </is>
      </c>
      <c r="F40" s="139" t="inlineStr">
        <is>
          <t>CORU SoP 5.14</t>
        </is>
      </c>
      <c r="G40" s="165" t="inlineStr">
        <is>
          <t>A difficulty that appears in every lesson and one that appears only in English are different findings requiring different responses. Variation by subject points to task demand; variation by teacher points to relationship or approach; variation by time of day points to fatigue, medication or sleep.</t>
        </is>
      </c>
      <c r="H40" s="165" t="inlineStr">
        <is>
          <t>WATCH FOR — whether your supervisor maps it. Often they ask for the timetable itself.
WRITE DOWN — how the variation was elicited.
ASK AFTERWARDS — 'what does it mean when it only happens with one teacher?'</t>
        </is>
      </c>
      <c r="I40" s="165" t="inlineStr">
        <is>
          <t>YOU TAKE — mapping the timetable and marking where the difficulty appears.
THEY HOLD — the interpretation.
WHY THAT SPLIT — the mapping is mechanical and gives you the raw pattern.</t>
        </is>
      </c>
      <c r="J40" s="165" t="inlineStr">
        <is>
          <t>YOU RUN IT — map and offer a reading.
WHAT THEY ARE WATCHING FOR — whether you ask about time of day. It is skipped, and it is often the answer.
STEPPING IN LOOKS LIKE — 'is it different before or after lunch?'</t>
        </is>
      </c>
      <c r="K40" s="207" t="inlineStr">
        <is>
          <t>YOU DO IT ALONE — mapped, read, and used.
PASS TEST — you know whether it varies by subject or teacher.
EVIDENCE TO FILE — the pattern described in the report. If it varies, the recommendation must address the variation rather than the average.
WHAT FAILURE LOOKS LIKE — a report describing a child as generally inattentive when the pattern was confined to written work.</t>
        </is>
      </c>
      <c r="L40" s="165" t="inlineStr">
        <is>
          <t>YOU CAN TEACH IT — you can explain what subject, teacher and time-of-day variation each point to.
WHEN IT GOES WRONG — you can say what to do when it varies by teacher: handle it as a systemic finding, described neutrally, never as a judgement on a named person.</t>
        </is>
      </c>
      <c r="M40" s="224" t="inlineStr">
        <is>
          <t>Asking whether the difficulty occurs, rather than when it does and does not.</t>
        </is>
      </c>
      <c r="N40" s="165" t="inlineStr">
        <is>
          <t>→ Feeds into the ADHD two-setting criterion, into functional accounts, and into observation planning.</t>
        </is>
      </c>
      <c r="O40" s="225" t="inlineStr">
        <is>
          <t>Not started</t>
        </is>
      </c>
      <c r="P40" s="165" t="inlineStr">
        <is>
          <t>WATCH FOR — whether your supervisor maps it. Often they ask for the timetable itself.</t>
        </is>
      </c>
      <c r="Q40" s="139" t="inlineStr">
        <is>
          <t>Year 1</t>
        </is>
      </c>
      <c r="R40" s="226" t="inlineStr">
        <is>
          <t>26/10/2026</t>
        </is>
      </c>
      <c r="S40" s="226" t="inlineStr">
        <is>
          <t>16/11/2026</t>
        </is>
      </c>
      <c r="T40" s="226" t="inlineStr">
        <is>
          <t>14/12/2026</t>
        </is>
      </c>
      <c r="U40" s="139" t="inlineStr">
        <is>
          <t>Report — findings · Appendix 5 · Log sheet</t>
        </is>
      </c>
    </row>
    <row r="41" outlineLevel="2" ht="43.5" customHeight="1" s="128">
      <c r="A41" s="220" t="inlineStr">
        <is>
          <t>BLOCK</t>
        </is>
      </c>
      <c r="B41" s="220" t="inlineStr">
        <is>
          <t>1. Assessment</t>
        </is>
      </c>
      <c r="C41" s="220" t="inlineStr">
        <is>
          <t>Structured interviewing of teachers and SET</t>
        </is>
      </c>
      <c r="D41" s="221" t="inlineStr">
        <is>
          <t>Block 2 · Getting the right information</t>
        </is>
      </c>
      <c r="E41" s="222" t="inlineStr">
        <is>
          <t>Clarifying a vague referral, finding the right informant, and getting the data you need in advance.</t>
        </is>
      </c>
      <c r="F41" s="220" t="inlineStr">
        <is>
          <t>Habit, not hours · Weeks 3–6</t>
        </is>
      </c>
      <c r="G41" s="220" t="n"/>
      <c r="H41" s="220" t="n"/>
      <c r="I41" s="220" t="n"/>
      <c r="J41" s="220" t="n"/>
      <c r="K41" s="220" t="n"/>
      <c r="L41" s="220" t="n"/>
      <c r="M41" s="222" t="n"/>
      <c r="N41" s="220" t="n"/>
      <c r="O41" s="220" t="n"/>
      <c r="P41" s="220" t="inlineStr">
        <is>
          <t>How you build it: Write the referral question in one sentence before every meeting and check it with the teacher.</t>
        </is>
      </c>
      <c r="Q41" s="220" t="n"/>
      <c r="R41" s="220" t="n"/>
      <c r="S41" s="220" t="n"/>
      <c r="T41" s="220" t="n"/>
      <c r="U41" s="220" t="n"/>
    </row>
    <row r="42" outlineLevel="2" ht="408.75" customHeight="1" s="128">
      <c r="A42" s="139" t="inlineStr">
        <is>
          <t>MICRO-SKILL</t>
        </is>
      </c>
      <c r="B42" s="139" t="inlineStr">
        <is>
          <t>1. Assessment</t>
        </is>
      </c>
      <c r="C42" s="139" t="inlineStr">
        <is>
          <t>Structured interviewing of teachers and SET</t>
        </is>
      </c>
      <c r="D42" s="139" t="inlineStr">
        <is>
          <t>Block 2 · Getting the right information</t>
        </is>
      </c>
      <c r="E42" s="223" t="inlineStr">
        <is>
          <t>Clarify the referral question with the person who raised it</t>
        </is>
      </c>
      <c r="F42" s="139" t="inlineStr">
        <is>
          <t>CORU SoP 3.1</t>
        </is>
      </c>
      <c r="G42" s="165" t="inlineStr">
        <is>
          <t>Referral forms are written quickly and often by someone other than the person who is worried. The question on the form and the question in the referrer's head are frequently different, and everything you do afterwards is aimed at whichever one you accepted.</t>
        </is>
      </c>
      <c r="H42" s="165" t="inlineStr">
        <is>
          <t>WATCH FOR — whether your supervisor reads the form back and asks if it is right.
WRITE DOWN — the form's wording and the wording that emerged in conversation.
ASK AFTERWARDS — 'how often does the real question differ from the form?'</t>
        </is>
      </c>
      <c r="I42" s="165" t="inlineStr">
        <is>
          <t>YOU TAKE — reading the form back and asking what has changed since it was written.
THEY HOLD — renegotiating the question if it has changed.
WHY THAT SPLIT — reading back is safe; renegotiating scope is a professional judgement.</t>
        </is>
      </c>
      <c r="J42" s="165" t="inlineStr">
        <is>
          <t>YOU RUN IT — clarify and state the question back in one sentence.
WHAT THEY ARE WATCHING FOR — whether you get agreement on a single sentence. Multiple questions mean multiple assessments and you need to say so.
STEPPING IN LOOKS LIKE — 'that sounds like two questions — which is the urgent one?'</t>
        </is>
      </c>
      <c r="K42" s="207" t="inlineStr">
        <is>
          <t>YOU DO IT ALONE — clarified, agreed, recorded.
PASS TEST — you can state it in one sentence they recognise.
EVIDENCE TO FILE — the agreed question at the top of the report, in the referrer's words.
WHAT FAILURE LOOKS LIKE — a thorough assessment that answers the form and not the worry.</t>
        </is>
      </c>
      <c r="L42" s="165" t="inlineStr">
        <is>
          <t>YOU CAN TEACH IT — you can explain why the referral question governs everything and demonstrate narrowing a vague one.
WHEN IT GOES WRONG — you can say what to do when the question is outside your remit: say so early, and route it rather than assessing around it.</t>
        </is>
      </c>
      <c r="M42" s="224" t="inlineStr">
        <is>
          <t>Accepting the form as the question.</t>
        </is>
      </c>
      <c r="N42" s="165" t="inlineStr">
        <is>
          <t>→ Feeds into every subsequent decision, and into the 'link what you observed to the referral question' micro-skill.</t>
        </is>
      </c>
      <c r="O42" s="225" t="inlineStr">
        <is>
          <t>Not started</t>
        </is>
      </c>
      <c r="P42" s="165" t="inlineStr">
        <is>
          <t>WATCH FOR — whether your supervisor reads the form back and asks if it is right.</t>
        </is>
      </c>
      <c r="Q42" s="139" t="inlineStr">
        <is>
          <t>Year 1</t>
        </is>
      </c>
      <c r="R42" s="226" t="inlineStr">
        <is>
          <t>26/10/2026</t>
        </is>
      </c>
      <c r="S42" s="226" t="inlineStr">
        <is>
          <t>16/11/2026</t>
        </is>
      </c>
      <c r="T42" s="226" t="inlineStr">
        <is>
          <t>14/12/2026</t>
        </is>
      </c>
      <c r="U42" s="139" t="inlineStr">
        <is>
          <t>Report — reason for referral · Appendix 5 · Log sheet</t>
        </is>
      </c>
    </row>
    <row r="43" outlineLevel="2" ht="408.75" customHeight="1" s="128">
      <c r="A43" s="139" t="inlineStr">
        <is>
          <t>MICRO-SKILL</t>
        </is>
      </c>
      <c r="B43" s="139" t="inlineStr">
        <is>
          <t>1. Assessment</t>
        </is>
      </c>
      <c r="C43" s="139" t="inlineStr">
        <is>
          <t>Structured interviewing of teachers and SET</t>
        </is>
      </c>
      <c r="D43" s="139" t="inlineStr">
        <is>
          <t>Block 2 · Getting the right information</t>
        </is>
      </c>
      <c r="E43" s="223" t="inlineStr">
        <is>
          <t>Request standardised attainment data in advance</t>
        </is>
      </c>
      <c r="F43" s="139" t="inlineStr">
        <is>
          <t>CORU SoP 3.1</t>
        </is>
      </c>
      <c r="G43" s="165" t="inlineStr">
        <is>
          <t>Schools hold group test data you can have for the asking, and reading it beforehand changes what you assess. It can also answer the question on its own, which saves the child an assessment they did not need.</t>
        </is>
      </c>
      <c r="H43" s="165" t="inlineStr">
        <is>
          <t>WATCH FOR — what your supervisor asks for and how far ahead.
WRITE DOWN — the data requested and what it changed.
ASK AFTERWARDS — 'what do you do when the school says it is not available?'</t>
        </is>
      </c>
      <c r="I43" s="165" t="inlineStr">
        <is>
          <t>YOU TAKE — making the request and chasing it.
THEY HOLD — deciding what to do with it.
WHY THAT SPLIT — requesting is administrative; interpreting group test data against an individual profile is not.</t>
        </is>
      </c>
      <c r="J43" s="165" t="inlineStr">
        <is>
          <t>YOU RUN IT — request, read, and let it shape your plan.
WHAT THEY ARE WATCHING FOR — whether you read it before choosing subtests, or after.
STEPPING IN LOOKS LIKE — 'given those Drumcondra scores, do you still need the full battery?'</t>
        </is>
      </c>
      <c r="K43" s="207" t="inlineStr">
        <is>
          <t>YOU DO IT ALONE — requested in advance, read, used.
PASS TEST — you read it before meeting the child.
EVIDENCE TO FILE — the school data in the report as one source, with its limitations. Group tests are screens, not individual assessments.
WHAT FAILURE LOOKS LIKE — administering an attainment battery that tells you what the school's own data already said.</t>
        </is>
      </c>
      <c r="L43" s="165" t="inlineStr">
        <is>
          <t>YOU CAN TEACH IT — you can explain what group standardised tests can and cannot tell you, and how to weigh them against individual data.
WHEN IT GOES WRONG — you can say what to do when the school data contradicts your own: report both, and treat the discrepancy as information about conditions.</t>
        </is>
      </c>
      <c r="M43" s="224" t="inlineStr">
        <is>
          <t>Arriving with no school data and assessing from scratch.</t>
        </is>
      </c>
      <c r="N43" s="165" t="inlineStr">
        <is>
          <t>→ Feeds into subtest selection, into the synthesis skill, and into not over-assessing children.</t>
        </is>
      </c>
      <c r="O43" s="225" t="inlineStr">
        <is>
          <t>Not started</t>
        </is>
      </c>
      <c r="P43" s="165" t="inlineStr">
        <is>
          <t>WATCH FOR — what your supervisor asks for and how far ahead.</t>
        </is>
      </c>
      <c r="Q43" s="139" t="inlineStr">
        <is>
          <t>Year 1</t>
        </is>
      </c>
      <c r="R43" s="226" t="inlineStr">
        <is>
          <t>26/10/2026</t>
        </is>
      </c>
      <c r="S43" s="226" t="inlineStr">
        <is>
          <t>16/11/2026</t>
        </is>
      </c>
      <c r="T43" s="226" t="inlineStr">
        <is>
          <t>14/12/2026</t>
        </is>
      </c>
      <c r="U43" s="139" t="inlineStr">
        <is>
          <t>Report — findings · Appendix 5 · Log sheet</t>
        </is>
      </c>
    </row>
    <row r="44" outlineLevel="2" ht="408.75" customHeight="1" s="128">
      <c r="A44" s="139" t="inlineStr">
        <is>
          <t>MICRO-SKILL</t>
        </is>
      </c>
      <c r="B44" s="139" t="inlineStr">
        <is>
          <t>1. Assessment</t>
        </is>
      </c>
      <c r="C44" s="139" t="inlineStr">
        <is>
          <t>Structured interviewing of teachers and SET</t>
        </is>
      </c>
      <c r="D44" s="139" t="inlineStr">
        <is>
          <t>Block 2 · Getting the right information</t>
        </is>
      </c>
      <c r="E44" s="223" t="inlineStr">
        <is>
          <t>Ask who knows this child best in the school</t>
        </is>
      </c>
      <c r="F44" s="139" t="inlineStr">
        <is>
          <t>CORU SoP 3.1</t>
        </is>
      </c>
      <c r="G44" s="165" t="inlineStr">
        <is>
          <t>The person you are given is not always the person who knows. The SET who takes the child three times a week, the SNA who is with them at lunch, or last year's teacher may hold more than the class teacher. Asking takes one sentence and routinely changes the quality of what you get.</t>
        </is>
      </c>
      <c r="H44" s="165" t="inlineStr">
        <is>
          <t>WATCH FOR — whether your supervisor asks, and who they end up speaking to.
WRITE DOWN — the question and the answer.
ASK AFTERWARDS — 'how often is it not the class teacher?'</t>
        </is>
      </c>
      <c r="I44" s="165" t="inlineStr">
        <is>
          <t>YOU TAKE — asking the question.
THEY HOLD — arranging the additional conversation if one is needed.
WHY THAT SPLIT — asking is free; adding a meeting to a school's day is a negotiation.</t>
        </is>
      </c>
      <c r="J44" s="165" t="inlineStr">
        <is>
          <t>YOU RUN IT — ask and follow it up.
WHAT THEY ARE WATCHING FOR — whether you act on the answer or note it and carry on with who you had.
STEPPING IN LOOKS LIKE — 'could we get five minutes with her before I go?'</t>
        </is>
      </c>
      <c r="K44" s="207" t="inlineStr">
        <is>
          <t>YOU DO IT ALONE — asked, acted on, recorded.
PASS TEST — you found the right informant, not the available one.
EVIDENCE TO FILE — the sources named in the report. Who you spoke to is part of the method.
WHAT FAILURE LOOKS LIKE — a report built on the account of an adult who has known the child six weeks.</t>
        </is>
      </c>
      <c r="L44" s="165" t="inlineStr">
        <is>
          <t>YOU CAN TEACH IT — you can explain why SNAs are the most under-consulted informants in Irish schools and how to include them appropriately.
WHEN IT GOES WRONG — you can say what to do when the best informant is not available: name the limitation in the report.</t>
        </is>
      </c>
      <c r="M44" s="224" t="inlineStr">
        <is>
          <t>Interviewing whoever was free.</t>
        </is>
      </c>
      <c r="N44" s="165" t="inlineStr">
        <is>
          <t>→ Feeds into source weighting in the synthesis skill, and into Working with Others.</t>
        </is>
      </c>
      <c r="O44" s="225" t="inlineStr">
        <is>
          <t>Not started</t>
        </is>
      </c>
      <c r="P44" s="165" t="inlineStr">
        <is>
          <t>WATCH FOR — whether your supervisor asks, and who they end up speaking to.</t>
        </is>
      </c>
      <c r="Q44" s="139" t="inlineStr">
        <is>
          <t>Year 1</t>
        </is>
      </c>
      <c r="R44" s="226" t="inlineStr">
        <is>
          <t>26/10/2026</t>
        </is>
      </c>
      <c r="S44" s="226" t="inlineStr">
        <is>
          <t>16/11/2026</t>
        </is>
      </c>
      <c r="T44" s="226" t="inlineStr">
        <is>
          <t>14/12/2026</t>
        </is>
      </c>
      <c r="U44" s="139" t="inlineStr">
        <is>
          <t>Report — sources · Appendix 5 · Log sheet tagged 5. Working with Others</t>
        </is>
      </c>
    </row>
    <row r="45" outlineLevel="2" ht="408.75" customHeight="1" s="128">
      <c r="A45" s="139" t="inlineStr">
        <is>
          <t>MICRO-SKILL</t>
        </is>
      </c>
      <c r="B45" s="139" t="inlineStr">
        <is>
          <t>1. Assessment</t>
        </is>
      </c>
      <c r="C45" s="139" t="inlineStr">
        <is>
          <t>Structured interviewing of teachers and SET</t>
        </is>
      </c>
      <c r="D45" s="139" t="inlineStr">
        <is>
          <t>Block 2 · Getting the right information</t>
        </is>
      </c>
      <c r="E45" s="223" t="inlineStr">
        <is>
          <t>Agree what feedback the school gets and when</t>
        </is>
      </c>
      <c r="F45" s="139" t="inlineStr">
        <is>
          <t>CORU SoP 2.1</t>
        </is>
      </c>
      <c r="G45" s="165" t="inlineStr">
        <is>
          <t>Unset expectations produce two failures: a school that chases you, and a school that assumes it is getting something you never intended to give. Agreeing it at the start also forces you to decide what the school actually needs, which is usually less than the full report and sooner.</t>
        </is>
      </c>
      <c r="H45" s="165" t="inlineStr">
        <is>
          <t>WATCH FOR — when in the meeting your supervisor sets this, and how specific they are.
WRITE DOWN — what was promised and by when.
ASK AFTERWARDS — 'what do you promise when you do not know the timeline?'</t>
        </is>
      </c>
      <c r="I45" s="165" t="inlineStr">
        <is>
          <t>YOU TAKE — recording what is agreed.
THEY HOLD — making the commitment.
WHY THAT SPLIT — you should not be promising service timelines you do not control.</t>
        </is>
      </c>
      <c r="J45" s="165" t="inlineStr">
        <is>
          <t>YOU RUN IT — agree it, having checked the realistic timeline first.
WHAT THEY ARE WATCHING FOR — over-promising. Schools remember the date.
STEPPING IN LOOKS LIKE — adjusting a date you have just given.</t>
        </is>
      </c>
      <c r="K45" s="207" t="inlineStr">
        <is>
          <t>YOU DO IT ALONE — agreed, recorded, delivered.
PASS TEST — expectations set at the start.
EVIDENCE TO FILE — a note of what was agreed, and the follow-up email confirming it within 24 hours.
WHAT FAILURE LOOKS LIKE — a school that expected verbal feedback in a fortnight and got a report in June.</t>
        </is>
      </c>
      <c r="L45" s="165" t="inlineStr">
        <is>
          <t>YOU CAN TEACH IT — you can explain why interim verbal feedback usually serves a school better than waiting for the report.
WHEN IT GOES WRONG — you can say what to do when the timeline slips: contact the school before the date you gave, with a new one.</t>
        </is>
      </c>
      <c r="M45" s="224" t="inlineStr">
        <is>
          <t>Leaving it unsaid.</t>
        </is>
      </c>
      <c r="N45" s="165" t="inlineStr">
        <is>
          <t>→ Feeds into record keeping and into the school relationship that determines whether recommendations happen.</t>
        </is>
      </c>
      <c r="O45" s="225" t="inlineStr">
        <is>
          <t>Not started</t>
        </is>
      </c>
      <c r="P45" s="165" t="inlineStr">
        <is>
          <t>WATCH FOR — when in the meeting your supervisor sets this, and how specific they are.</t>
        </is>
      </c>
      <c r="Q45" s="139" t="inlineStr">
        <is>
          <t>Year 1</t>
        </is>
      </c>
      <c r="R45" s="226" t="inlineStr">
        <is>
          <t>26/10/2026</t>
        </is>
      </c>
      <c r="S45" s="226" t="inlineStr">
        <is>
          <t>16/11/2026</t>
        </is>
      </c>
      <c r="T45" s="226" t="inlineStr">
        <is>
          <t>14/12/2026</t>
        </is>
      </c>
      <c r="U45" s="139" t="inlineStr">
        <is>
          <t>Follow-up email · case note · Log sheet tagged 5. Working with Others</t>
        </is>
      </c>
    </row>
    <row r="46" outlineLevel="2" ht="19.5" customHeight="1" s="128">
      <c r="A46" s="219" t="inlineStr">
        <is>
          <t>MACRO SKILL</t>
        </is>
      </c>
      <c r="B46" s="219" t="inlineStr">
        <is>
          <t>1. Assessment</t>
        </is>
      </c>
      <c r="C46" s="219" t="inlineStr">
        <is>
          <t>WISC-V administration to proficiency standard</t>
        </is>
      </c>
      <c r="D46" s="219" t="n"/>
      <c r="E46" s="219" t="inlineStr">
        <is>
          <t>4 blocks · 18 micro-skills</t>
        </is>
      </c>
      <c r="F46" s="219" t="inlineStr">
        <is>
          <t>CORU 5.6 · 5.31 · 5.21</t>
        </is>
      </c>
      <c r="G46" s="219" t="n"/>
      <c r="H46" s="219" t="n"/>
      <c r="I46" s="219" t="n"/>
      <c r="J46" s="219" t="n"/>
      <c r="K46" s="219" t="n"/>
      <c r="L46" s="219" t="n"/>
      <c r="M46" s="219" t="n"/>
      <c r="N46" s="219" t="n"/>
      <c r="O46" s="219" t="n"/>
      <c r="P46" s="219" t="n"/>
      <c r="Q46" s="219" t="inlineStr">
        <is>
          <t>Year 1</t>
        </is>
      </c>
      <c r="R46" s="219" t="n"/>
      <c r="S46" s="219" t="n"/>
      <c r="T46" s="219" t="n"/>
      <c r="U46" s="219" t="n"/>
    </row>
    <row r="47" outlineLevel="2" ht="43.5" customHeight="1" s="128">
      <c r="A47" s="220" t="inlineStr">
        <is>
          <t>BLOCK</t>
        </is>
      </c>
      <c r="B47" s="220" t="inlineStr">
        <is>
          <t>1. Assessment</t>
        </is>
      </c>
      <c r="C47" s="220" t="inlineStr">
        <is>
          <t>WISC-V administration to proficiency standard</t>
        </is>
      </c>
      <c r="D47" s="221" t="inlineStr">
        <is>
          <t>Block 1 · The theory underneath</t>
        </is>
      </c>
      <c r="E47" s="222" t="inlineStr">
        <is>
          <t>The CHC model, what each of the five indices claims to measure, and why they are separated.</t>
        </is>
      </c>
      <c r="F47" s="220" t="inlineStr">
        <is>
          <t>6–8 hours, once · Before placement</t>
        </is>
      </c>
      <c r="G47" s="220" t="n"/>
      <c r="H47" s="220" t="n"/>
      <c r="I47" s="220" t="n"/>
      <c r="J47" s="220" t="n"/>
      <c r="K47" s="220" t="n"/>
      <c r="L47" s="220" t="n"/>
      <c r="M47" s="222" t="n"/>
      <c r="N47" s="220" t="n"/>
      <c r="O47" s="220" t="n"/>
      <c r="P47" s="220" t="inlineStr">
        <is>
          <t>How you build it: Technical and Interpretive Manual chapters 1–2, plus one CHC overview paper.</t>
        </is>
      </c>
      <c r="Q47" s="220" t="n"/>
      <c r="R47" s="220" t="n"/>
      <c r="S47" s="220" t="n"/>
      <c r="T47" s="220" t="n"/>
      <c r="U47" s="220" t="n"/>
    </row>
    <row r="48" outlineLevel="2" ht="408.75" customHeight="1" s="128">
      <c r="A48" s="139" t="inlineStr">
        <is>
          <t>MICRO-SKILL</t>
        </is>
      </c>
      <c r="B48" s="139" t="inlineStr">
        <is>
          <t>1. Assessment</t>
        </is>
      </c>
      <c r="C48" s="139" t="inlineStr">
        <is>
          <t>WISC-V administration to proficiency standard</t>
        </is>
      </c>
      <c r="D48" s="139" t="inlineStr">
        <is>
          <t>Block 1 · The theory underneath</t>
        </is>
      </c>
      <c r="E48" s="223" t="inlineStr">
        <is>
          <t>Understand what each index measures</t>
        </is>
      </c>
      <c r="F48" s="139" t="inlineStr">
        <is>
          <t>CORU SoP 5.1 · 5.15</t>
        </is>
      </c>
      <c r="G48" s="165" t="inlineStr">
        <is>
          <t>You will be asked to explain an index to a parent within minutes of giving them a number, and a definition read off a manual does not survive that conversation. Understanding also governs whether you interpret correctly: Verbal Comprehension is acquired knowledge and reasoning with language, not vocabulary size; Fluid Reasoning is novel problem-solving, which is why it is less affected by schooling.</t>
        </is>
      </c>
      <c r="H48" s="165" t="inlineStr">
        <is>
          <t>WATCH FOR — how your supervisor describes an index to a parent. Note that they almost never use the index name first.
WRITE DOWN — one plain-language description for each of the five indices, in their words.
ASK AFTERWARDS — 'which index do parents most often misunderstand?' It is usually Processing Speed, which people hear as intelligence rather than as speed of simple visual work.</t>
        </is>
      </c>
      <c r="I48" s="165" t="inlineStr">
        <is>
          <t>YOU TAKE — writing your own plain-language version of each index and testing it on your supervisor.
THEY HOLD — the parent conversation.
WHY THAT SPLIT — rehearsing the explanation with someone who can correct it costs nothing; getting it wrong in front of a parent costs a lot.</t>
        </is>
      </c>
      <c r="J48" s="165" t="inlineStr">
        <is>
          <t>YOU RUN IT — you explain the indices in a feedback session with your supervisor present.
WHAT THEY ARE WATCHING FOR — whether you describe what the index measures or what the score means. Those are different and trainees merge them.
STEPPING IN LOOKS LIKE — offering a second framing when the parent's face says it did not land.</t>
        </is>
      </c>
      <c r="K48" s="207" t="inlineStr">
        <is>
          <t>YOU DO IT ALONE — explain all five without notes, adapted to the listener.
PASS TEST — you can explain VCI and FRI to a parent in plain words.
EVIDENCE TO FILE — the report's findings section, written so a parent and a teacher can each use it. CORU 5.27 requires reports suitable for the intended audience.
WHAT FAILURE LOOKS LIKE — a report that names indices and reports numbers, leaving the reader to guess what was measured.</t>
        </is>
      </c>
      <c r="L48" s="165" t="inlineStr">
        <is>
          <t>YOU CAN TEACH IT — you can explain the CHC theory the indices rest on, and say what changed between WISC-IV and WISC-V and why.
WHEN IT GOES WRONG — you can say what to do when a parent asks 'so which one is the real IQ?': explain that the FSIQ is a composite, that it can be misleading where scatter is wide, and why you are reporting GAI if you are.</t>
        </is>
      </c>
      <c r="M48" s="224" t="inlineStr">
        <is>
          <t>Explaining an index by restating its name in longer words.</t>
        </is>
      </c>
      <c r="N48" s="165" t="inlineStr">
        <is>
          <t>→ Feeds into every interpretive statement you make, into the feedback session, and into the EDUC42700 technical analysis.</t>
        </is>
      </c>
      <c r="O48" s="225" t="inlineStr">
        <is>
          <t>Not started</t>
        </is>
      </c>
      <c r="P48" s="165" t="inlineStr">
        <is>
          <t>WATCH FOR — how your supervisor describes an index to a parent. Note that they almost never use the index name first.</t>
        </is>
      </c>
      <c r="Q48" s="139" t="inlineStr">
        <is>
          <t>Year 1</t>
        </is>
      </c>
      <c r="R48" s="226" t="inlineStr">
        <is>
          <t>26/10/2026</t>
        </is>
      </c>
      <c r="S48" s="226" t="inlineStr">
        <is>
          <t>16/11/2026</t>
        </is>
      </c>
      <c r="T48" s="226" t="inlineStr">
        <is>
          <t>14/12/2026</t>
        </is>
      </c>
      <c r="U48" s="139" t="inlineStr">
        <is>
          <t>Report — findings · Appendix 5 · Log sheet tagged 1. Assessment</t>
        </is>
      </c>
    </row>
    <row r="49" outlineLevel="2" ht="408.75" customHeight="1" s="128">
      <c r="A49" s="139" t="inlineStr">
        <is>
          <t>MICRO-SKILL</t>
        </is>
      </c>
      <c r="B49" s="139" t="inlineStr">
        <is>
          <t>1. Assessment</t>
        </is>
      </c>
      <c r="C49" s="139" t="inlineStr">
        <is>
          <t>WISC-V administration to proficiency standard</t>
        </is>
      </c>
      <c r="D49" s="139" t="inlineStr">
        <is>
          <t>Block 1 · The theory underneath</t>
        </is>
      </c>
      <c r="E49" s="223" t="inlineStr">
        <is>
          <t>Know what the test does not measure</t>
        </is>
      </c>
      <c r="F49" s="139" t="inlineStr">
        <is>
          <t>PSI Code 2.3.1</t>
        </is>
      </c>
      <c r="G49" s="165" t="inlineStr">
        <is>
          <t>The limitations sentence is what separates a competent report from a technically correct one. WISC-V does not measure attainment, motivation, creativity, adaptive functioning, executive function in daily life, or anything about a child assessed in a second language without heavy caution. Saying so protects the child from a number being over-read for years.</t>
        </is>
      </c>
      <c r="H49" s="165" t="inlineStr">
        <is>
          <t>WATCH FOR — the limitations section in your supervisor's reports. Note whether it is specific to the child or generic.
WRITE DOWN — two specific limitation sentences you could not have written yourself.
ASK AFTERWARDS — 'what has a WISC-V told you that turned out to be wrong?' Every experienced practitioner has one.</t>
        </is>
      </c>
      <c r="I49" s="165" t="inlineStr">
        <is>
          <t>YOU TAKE — drafting the limitations paragraph.
THEY HOLD — the interpretation it qualifies.
WHY THAT SPLIT — limitations are easier to write well than interpretation and they build the habit of hedging honestly.</t>
        </is>
      </c>
      <c r="J49" s="165" t="inlineStr">
        <is>
          <t>YOU RUN IT — you draft both and your supervisor marks where you have over-claimed.
WHAT THEY ARE WATCHING FOR — generic limitations. 'All assessment has limitations' is a sentence that says nothing.
STEPPING IN LOOKS LIKE — 'what specifically about this child makes this score less reliable?'</t>
        </is>
      </c>
      <c r="K49" s="207" t="inlineStr">
        <is>
          <t>YOU DO IT ALONE — specific limitations tied to this child and this administration.
PASS TEST — you can say what a WISC-V cannot tell you.
EVIDENCE TO FILE — the limitations paragraph. Where English is an additional language, where the child was tired, where administration was adapted — all of it goes here.
WHAT FAILURE LOOKS LIKE — a report that presents a Full Scale IQ as a fact about the child rather than a measurement under conditions.</t>
        </is>
      </c>
      <c r="L49" s="165" t="inlineStr">
        <is>
          <t>YOU CAN TEACH IT — you can explain measurement error, confidence intervals and the difference between a score and a construct to a colleague.
WHEN IT GOES WRONG — you can say what to do when a school wants the number to justify a decision the assessment does not support: restate what it measured, restate what it did not, and decline to extend it.</t>
        </is>
      </c>
      <c r="M49" s="224" t="inlineStr">
        <is>
          <t>A generic limitations paragraph that could be pasted into any report.</t>
        </is>
      </c>
      <c r="N49" s="165" t="inlineStr">
        <is>
          <t>→ Feeds into Ethical Practice, into PSI 2.3.1 on the limits of psychological data, and into the report-writing skill.</t>
        </is>
      </c>
      <c r="O49" s="225" t="inlineStr">
        <is>
          <t>Not started</t>
        </is>
      </c>
      <c r="P49" s="165" t="inlineStr">
        <is>
          <t>WATCH FOR — the limitations section in your supervisor's reports. Note whether it is specific to the child or generic.</t>
        </is>
      </c>
      <c r="Q49" s="139" t="inlineStr">
        <is>
          <t>Year 1</t>
        </is>
      </c>
      <c r="R49" s="226" t="inlineStr">
        <is>
          <t>26/10/2026</t>
        </is>
      </c>
      <c r="S49" s="226" t="inlineStr">
        <is>
          <t>16/11/2026</t>
        </is>
      </c>
      <c r="T49" s="226" t="inlineStr">
        <is>
          <t>14/12/2026</t>
        </is>
      </c>
      <c r="U49" s="139" t="inlineStr">
        <is>
          <t>Report — limitations · Appendix 5 · Log sheet tagged 1. Assessment and 6. Ethical Practice</t>
        </is>
      </c>
    </row>
    <row r="50" outlineLevel="2" ht="43.5" customHeight="1" s="128">
      <c r="A50" s="220" t="inlineStr">
        <is>
          <t>BLOCK</t>
        </is>
      </c>
      <c r="B50" s="220" t="inlineStr">
        <is>
          <t>1. Assessment</t>
        </is>
      </c>
      <c r="C50" s="220" t="inlineStr">
        <is>
          <t>WISC-V administration to proficiency standard</t>
        </is>
      </c>
      <c r="D50" s="221" t="inlineStr">
        <is>
          <t>Block 2 · Knowing the manual</t>
        </is>
      </c>
      <c r="E50" s="222" t="inlineStr">
        <is>
          <t>Start points by age, reverse rules, discontinue rules, timing, and permitted queries — per subtest, not in general.</t>
        </is>
      </c>
      <c r="F50" s="220" t="inlineStr">
        <is>
          <t>10–15 hours over several weeks · Before placement</t>
        </is>
      </c>
      <c r="G50" s="220" t="n"/>
      <c r="H50" s="220" t="n"/>
      <c r="I50" s="220" t="n"/>
      <c r="J50" s="220" t="n"/>
      <c r="K50" s="220" t="n"/>
      <c r="L50" s="220" t="n"/>
      <c r="M50" s="222" t="n"/>
      <c r="N50" s="220" t="n"/>
      <c r="O50" s="220" t="n"/>
      <c r="P50" s="220" t="inlineStr">
        <is>
          <t>How you build it: Make a one-page crib per subtest. Test yourself until you never reach for the manual.</t>
        </is>
      </c>
      <c r="Q50" s="220" t="n"/>
      <c r="R50" s="220" t="n"/>
      <c r="S50" s="220" t="n"/>
      <c r="T50" s="220" t="n"/>
      <c r="U50" s="220" t="n"/>
    </row>
    <row r="51" outlineLevel="2" ht="408.75" customHeight="1" s="128">
      <c r="A51" s="139" t="inlineStr">
        <is>
          <t>MICRO-SKILL</t>
        </is>
      </c>
      <c r="B51" s="139" t="inlineStr">
        <is>
          <t>1. Assessment</t>
        </is>
      </c>
      <c r="C51" s="139" t="inlineStr">
        <is>
          <t>WISC-V administration to proficiency standard</t>
        </is>
      </c>
      <c r="D51" s="139" t="inlineStr">
        <is>
          <t>Block 2 · Knowing the manual</t>
        </is>
      </c>
      <c r="E51" s="223" t="inlineStr">
        <is>
          <t>Apply start points correctly for age and ability</t>
        </is>
      </c>
      <c r="F51" s="139" t="inlineStr">
        <is>
          <t>CORU SoP 5.6</t>
        </is>
      </c>
      <c r="G51" s="165" t="inlineStr">
        <is>
          <t>A wrong start point invalidates the subtest and, if you do not notice, the index it sits in. Start points vary by subtest and by age, and several allow an adjusted start for a child you suspect has lower ability — which is a judgement you have to make before you have any data on them.</t>
        </is>
      </c>
      <c r="H51" s="165" t="inlineStr">
        <is>
          <t>WATCH FOR — whether your supervisor checks the start point or knows it. Note any subtest where they adjusted it and why.
WRITE DOWN — the start rule for each subtest they administered.
ASK AFTERWARDS — 'when do you start below the age-appropriate point?'</t>
        </is>
      </c>
      <c r="I51" s="165" t="inlineStr">
        <is>
          <t>YOU TAKE — checking the start points on the record form before the session and marking them.
THEY HOLD — the administration.
WHY THAT SPLIT — preparation is where accuracy is built, and marking the form is a habit worth having from the first session.</t>
        </is>
      </c>
      <c r="J51" s="165" t="inlineStr">
        <is>
          <t>YOU RUN IT — you administer and apply start points yourself.
WHAT THEY ARE WATCHING FOR — hesitation. Looking up a start point mid-subtest tells the child something has gone wrong and costs you rapport.
STEPPING IN LOOKS LIKE — a finger on the record form pointing at the right item.</t>
        </is>
      </c>
      <c r="K51" s="207" t="inlineStr">
        <is>
          <t>YOU DO IT ALONE — start points applied without reference to the manual during administration.
PASS TEST — you knew the rule without checking mid-session.
EVIDENCE TO FILE — the completed protocol. An examiner re-scoring it should see correct start points throughout.
WHAT FAILURE LOOKS LIKE — an invalid subtest discovered at scoring, when the child has gone home.</t>
        </is>
      </c>
      <c r="L51" s="165" t="inlineStr">
        <is>
          <t>YOU CAN TEACH IT — you can explain the logic of age-based start points and reverse rules together, since they are one system.
WHEN IT GOES WRONG — you can say what to do when you realise mid-subtest that you started wrong: complete it, note it, and treat the subtest as invalid rather than salvaging it.</t>
        </is>
      </c>
      <c r="M51" s="224" t="inlineStr">
        <is>
          <t>Starting at the age-appropriate point for a child who clearly cannot access it, producing a floor effect and a distressed child.</t>
        </is>
      </c>
      <c r="N51" s="165" t="inlineStr">
        <is>
          <t>→ Feeds into reverse and discontinue rules, and into the validity of every index.</t>
        </is>
      </c>
      <c r="O51" s="225" t="inlineStr">
        <is>
          <t>Not started</t>
        </is>
      </c>
      <c r="P51" s="165" t="inlineStr">
        <is>
          <t>WATCH FOR — whether your supervisor checks the start point or knows it. Note any subtest where they adjusted it and why.</t>
        </is>
      </c>
      <c r="Q51" s="139" t="inlineStr">
        <is>
          <t>Year 1</t>
        </is>
      </c>
      <c r="R51" s="226" t="inlineStr">
        <is>
          <t>26/10/2026</t>
        </is>
      </c>
      <c r="S51" s="226" t="inlineStr">
        <is>
          <t>16/11/2026</t>
        </is>
      </c>
      <c r="T51" s="226" t="inlineStr">
        <is>
          <t>14/12/2026</t>
        </is>
      </c>
      <c r="U51" s="139" t="inlineStr">
        <is>
          <t>Completed protocol · Appendix 7 if observed · Log sheet</t>
        </is>
      </c>
    </row>
    <row r="52" outlineLevel="2" ht="408.75" customHeight="1" s="128">
      <c r="A52" s="139" t="inlineStr">
        <is>
          <t>MICRO-SKILL</t>
        </is>
      </c>
      <c r="B52" s="139" t="inlineStr">
        <is>
          <t>1. Assessment</t>
        </is>
      </c>
      <c r="C52" s="139" t="inlineStr">
        <is>
          <t>WISC-V administration to proficiency standard</t>
        </is>
      </c>
      <c r="D52" s="139" t="inlineStr">
        <is>
          <t>Block 2 · Knowing the manual</t>
        </is>
      </c>
      <c r="E52" s="223" t="inlineStr">
        <is>
          <t>Apply reverse rules without hesitating</t>
        </is>
      </c>
      <c r="F52" s="139" t="inlineStr">
        <is>
          <t>CORU SoP 5.6</t>
        </is>
      </c>
      <c r="G52" s="165" t="inlineStr">
        <is>
          <t>Reverse rules exist so a child who fails at their age-appropriate start point gets credit for easier items they would have passed. Applied late or inconsistently, you underestimate the child. Applied with visible hesitation, you signal to the child that they have failed, which affects everything after.</t>
        </is>
      </c>
      <c r="H52" s="165" t="inlineStr">
        <is>
          <t>WATCH FOR — the moment a reverse is triggered. Watch your supervisor's face and hands: there should be no change.
WRITE DOWN — which subtests triggered a reverse and at what point.
ASK AFTERWARDS — 'how do you keep a child from noticing you have gone backwards?'</t>
        </is>
      </c>
      <c r="I52" s="165" t="inlineStr">
        <is>
          <t>YOU TAKE — tracking the reverse rule on the form while your supervisor administers, and telling them when it triggers.
THEY HOLD — the administration and the child.
WHY THAT SPLIT — you learn the trigger points without having to manage the child at the same time.</t>
        </is>
      </c>
      <c r="J52" s="165" t="inlineStr">
        <is>
          <t>YOU RUN IT — you administer and reverse.
WHAT THEY ARE WATCHING FOR — hesitation, page-turning, and any change in your tone. All three tell the child something.
STEPPING IN LOOKS LIKE — nothing visible; they will raise it afterwards.</t>
        </is>
      </c>
      <c r="K52" s="207" t="inlineStr">
        <is>
          <t>YOU DO IT ALONE — reverse applied smoothly and correctly.
PASS TEST — hesitation is what the examiner watches for.
EVIDENCE TO FILE — the protocol showing correct reversal.
WHAT FAILURE LOOKS LIKE — a child who realises they are being given easier questions and disengages for the rest of the session.</t>
        </is>
      </c>
      <c r="L52" s="165" t="inlineStr">
        <is>
          <t>YOU CAN TEACH IT — you can explain why reverse rules exist and demonstrate reversing without a visible break.
WHEN IT GOES WRONG — you can say what to do when a child comments on it: answer honestly and lightly, and move on rather than explaining.</t>
        </is>
      </c>
      <c r="M52" s="224" t="inlineStr">
        <is>
          <t>Turning back through the stimulus book visibly while the child watches.</t>
        </is>
      </c>
      <c r="N52" s="165" t="inlineStr">
        <is>
          <t>→ Feeds into rapport maintenance and into the validity of the subtest.</t>
        </is>
      </c>
      <c r="O52" s="225" t="inlineStr">
        <is>
          <t>Not started</t>
        </is>
      </c>
      <c r="P52" s="165" t="inlineStr">
        <is>
          <t>WATCH FOR — the moment a reverse is triggered. Watch your supervisor's face and hands: there should be no change.</t>
        </is>
      </c>
      <c r="Q52" s="139" t="inlineStr">
        <is>
          <t>Year 1</t>
        </is>
      </c>
      <c r="R52" s="226" t="inlineStr">
        <is>
          <t>26/10/2026</t>
        </is>
      </c>
      <c r="S52" s="226" t="inlineStr">
        <is>
          <t>16/11/2026</t>
        </is>
      </c>
      <c r="T52" s="226" t="inlineStr">
        <is>
          <t>14/12/2026</t>
        </is>
      </c>
      <c r="U52" s="139" t="inlineStr">
        <is>
          <t>Completed protocol · Log sheet</t>
        </is>
      </c>
    </row>
    <row r="53" outlineLevel="2" ht="408.75" customHeight="1" s="128">
      <c r="A53" s="139" t="inlineStr">
        <is>
          <t>MICRO-SKILL</t>
        </is>
      </c>
      <c r="B53" s="139" t="inlineStr">
        <is>
          <t>1. Assessment</t>
        </is>
      </c>
      <c r="C53" s="139" t="inlineStr">
        <is>
          <t>WISC-V administration to proficiency standard</t>
        </is>
      </c>
      <c r="D53" s="139" t="inlineStr">
        <is>
          <t>Block 2 · Knowing the manual</t>
        </is>
      </c>
      <c r="E53" s="223" t="inlineStr">
        <is>
          <t>Apply discontinue rules correctly</t>
        </is>
      </c>
      <c r="F53" s="139" t="inlineStr">
        <is>
          <t>CORU SoP 5.6</t>
        </is>
      </c>
      <c r="G53" s="165" t="inlineStr">
        <is>
          <t>Discontinue rules protect the child from a run of failure and protect the score from being inflated by lucky guesses. The temptation is to continue past discontinue because stopping feels unkind — and it is the kindest thing available, because the alternative is a child sitting through items they cannot do.</t>
        </is>
      </c>
      <c r="H53" s="165" t="inlineStr">
        <is>
          <t>WATCH FOR — how your supervisor closes a subtest at discontinue. There is usually a sentence that makes it feel like completion rather than failure.
WRITE DOWN — that sentence.
ASK AFTERWARDS — 'do you ever continue past discontinue?' The answer should be no, and hearing why is useful.</t>
        </is>
      </c>
      <c r="I53" s="165" t="inlineStr">
        <is>
          <t>YOU TAKE — counting consecutive failures on the form and signalling discontinue.
THEY HOLD — closing the subtest with the child.
WHY THAT SPLIT — counting reliably while also managing a child is genuinely hard and splitting it makes both learnable.</t>
        </is>
      </c>
      <c r="J53" s="165" t="inlineStr">
        <is>
          <t>YOU RUN IT — count and close.
WHAT THEY ARE WATCHING FOR — whether you give one more item 'to end on a success'. It invalidates the subtest and it is very tempting.
STEPPING IN LOOKS LIKE — a quiet signal to stop.</t>
        </is>
      </c>
      <c r="K53" s="207" t="inlineStr">
        <is>
          <t>YOU DO IT ALONE — discontinue applied exactly.
PASS TEST — you did not continue past discontinue to be kind.
EVIDENCE TO FILE — the protocol. A re-scorer should see the discontinue point clearly marked.
WHAT FAILURE LOOKS LIKE — an invalid subtest, and a child who sat through six items they could not do.</t>
        </is>
      </c>
      <c r="L53" s="165" t="inlineStr">
        <is>
          <t>YOU CAN TEACH IT — you can explain why discontinue protects both the score and the child, and demonstrate a closing sentence that lands well.
WHEN IT GOES WRONG — you can say what to do when a child asks to keep trying: acknowledge the effort, close the subtest, and offer the next one as a fresh start.</t>
        </is>
      </c>
      <c r="M53" s="224" t="inlineStr">
        <is>
          <t>One more item, to finish on a right answer.</t>
        </is>
      </c>
      <c r="N53" s="165" t="inlineStr">
        <is>
          <t>→ Feeds into scoring validity and into the child's experience of the session.</t>
        </is>
      </c>
      <c r="O53" s="225" t="inlineStr">
        <is>
          <t>Not started</t>
        </is>
      </c>
      <c r="P53" s="165" t="inlineStr">
        <is>
          <t>WATCH FOR — how your supervisor closes a subtest at discontinue. There is usually a sentence that makes it feel like completion rather than failure.</t>
        </is>
      </c>
      <c r="Q53" s="139" t="inlineStr">
        <is>
          <t>Year 1</t>
        </is>
      </c>
      <c r="R53" s="226" t="inlineStr">
        <is>
          <t>26/10/2026</t>
        </is>
      </c>
      <c r="S53" s="226" t="inlineStr">
        <is>
          <t>16/11/2026</t>
        </is>
      </c>
      <c r="T53" s="226" t="inlineStr">
        <is>
          <t>14/12/2026</t>
        </is>
      </c>
      <c r="U53" s="139" t="inlineStr">
        <is>
          <t>Completed protocol · Appendix 7 · Log sheet</t>
        </is>
      </c>
    </row>
    <row r="54" outlineLevel="2" ht="408.75" customHeight="1" s="128">
      <c r="A54" s="139" t="inlineStr">
        <is>
          <t>MICRO-SKILL</t>
        </is>
      </c>
      <c r="B54" s="139" t="inlineStr">
        <is>
          <t>1. Assessment</t>
        </is>
      </c>
      <c r="C54" s="139" t="inlineStr">
        <is>
          <t>WISC-V administration to proficiency standard</t>
        </is>
      </c>
      <c r="D54" s="139" t="inlineStr">
        <is>
          <t>Block 2 · Knowing the manual</t>
        </is>
      </c>
      <c r="E54" s="223" t="inlineStr">
        <is>
          <t>Query and prompt only where the manual permits</t>
        </is>
      </c>
      <c r="F54" s="139" t="inlineStr">
        <is>
          <t>CORU SoP 5.31 · PSI Code 3.3.6</t>
        </is>
      </c>
      <c r="G54" s="165" t="inlineStr">
        <is>
          <t>Over-querying inflates scores and makes the assessment uncomparable to the norms. It is also the single most common trainee error, because it comes from wanting the child to do well. The manual specifies exactly which responses may be queried and with what wording; anything beyond that is help, not assessment.</t>
        </is>
      </c>
      <c r="H54" s="165" t="inlineStr">
        <is>
          <t>WATCH FOR — every query your supervisor makes, and check it against the manual afterwards.
WRITE DOWN — the queries used, verbatim.
ASK AFTERWARDS — 'how do you stop yourself helping when a child is nearly there?'</t>
        </is>
      </c>
      <c r="I54" s="165" t="inlineStr">
        <is>
          <t>YOU TAKE — marking on the form every response that is queryable, while they administer.
THEY HOLD — the querying.
WHY THAT SPLIT — recognising a queryable response is a separate skill from delivering the query, and it is the one that prevents over-querying.</t>
        </is>
      </c>
      <c r="J54" s="165" t="inlineStr">
        <is>
          <t>YOU RUN IT — you query, within the manual.
WHAT THEY ARE WATCHING FOR — queries that are really prompts. 'Can you tell me more?' is permitted; 'are you sure?' and 'think about it again' are not.
STEPPING IN LOOKS LIKE — a note to discuss afterwards rather than an interruption.</t>
        </is>
      </c>
      <c r="K54" s="207" t="inlineStr">
        <is>
          <t>YOU DO IT ALONE — queries within the manual, recorded with Q on the form.
PASS TEST — you did not over-query to help the child succeed.
EVIDENCE TO FILE — the protocol with Q marked. A re-scorer should be able to see every query you made.
WHAT FAILURE LOOKS LIKE — a score that reflects your help rather than the child's ability, reported as though it were the child's.</t>
        </is>
      </c>
      <c r="L54" s="165" t="inlineStr">
        <is>
          <t>YOU CAN TEACH IT — you can explain why over-querying is a standardisation breach and demonstrate the permitted wording.
WHEN IT GOES WRONG — you can say what to do when you realise you over-queried: note it on the protocol, flag it in the limitations, and treat the affected score with caution.</t>
        </is>
      </c>
      <c r="M54" s="224" t="inlineStr">
        <is>
          <t>Helping, because the child was nearly there and you wanted them to have it.</t>
        </is>
      </c>
      <c r="N54" s="165" t="inlineStr">
        <is>
          <t>→ Feeds into standardisation, into the limitations section, and into the honesty thread in Ethical Practice.</t>
        </is>
      </c>
      <c r="O54" s="225" t="inlineStr">
        <is>
          <t>Not started</t>
        </is>
      </c>
      <c r="P54" s="165" t="inlineStr">
        <is>
          <t>WATCH FOR — every query your supervisor makes, and check it against the manual afterwards.</t>
        </is>
      </c>
      <c r="Q54" s="139" t="inlineStr">
        <is>
          <t>Year 1</t>
        </is>
      </c>
      <c r="R54" s="226" t="inlineStr">
        <is>
          <t>26/10/2026</t>
        </is>
      </c>
      <c r="S54" s="226" t="inlineStr">
        <is>
          <t>16/11/2026</t>
        </is>
      </c>
      <c r="T54" s="226" t="inlineStr">
        <is>
          <t>14/12/2026</t>
        </is>
      </c>
      <c r="U54" s="139" t="inlineStr">
        <is>
          <t>Completed protocol with Q notation · Appendix 5 · Log sheet</t>
        </is>
      </c>
    </row>
    <row r="55" outlineLevel="2" ht="43.5" customHeight="1" s="128">
      <c r="A55" s="220" t="inlineStr">
        <is>
          <t>BLOCK</t>
        </is>
      </c>
      <c r="B55" s="220" t="inlineStr">
        <is>
          <t>1. Assessment</t>
        </is>
      </c>
      <c r="C55" s="220" t="inlineStr">
        <is>
          <t>WISC-V administration to proficiency standard</t>
        </is>
      </c>
      <c r="D55" s="221" t="inlineStr">
        <is>
          <t>Block 3 · Administration mechanics</t>
        </is>
      </c>
      <c r="E55" s="222" t="inlineStr">
        <is>
          <t>Materials handling, seating, stopwatch, verbatim recording, Q and P notation, pacing.</t>
        </is>
      </c>
      <c r="F55" s="220" t="inlineStr">
        <is>
          <t>15–20 hours · Weeks 1–2</t>
        </is>
      </c>
      <c r="G55" s="220" t="n"/>
      <c r="H55" s="220" t="n"/>
      <c r="I55" s="220" t="n"/>
      <c r="J55" s="220" t="n"/>
      <c r="K55" s="220" t="n"/>
      <c r="L55" s="220" t="n"/>
      <c r="M55" s="222" t="n"/>
      <c r="N55" s="220" t="n"/>
      <c r="O55" s="220" t="n"/>
      <c r="P55" s="220" t="inlineStr">
        <is>
          <t>How you build it: Practise on adults first, then a child you are not assessing. Six full practice administrations before a real one.</t>
        </is>
      </c>
      <c r="Q55" s="220" t="n"/>
      <c r="R55" s="220" t="n"/>
      <c r="S55" s="220" t="n"/>
      <c r="T55" s="220" t="n"/>
      <c r="U55" s="220" t="n"/>
    </row>
    <row r="56" outlineLevel="2" ht="408.75" customHeight="1" s="128">
      <c r="A56" s="139" t="inlineStr">
        <is>
          <t>MICRO-SKILL</t>
        </is>
      </c>
      <c r="B56" s="139" t="inlineStr">
        <is>
          <t>1. Assessment</t>
        </is>
      </c>
      <c r="C56" s="139" t="inlineStr">
        <is>
          <t>WISC-V administration to proficiency standard</t>
        </is>
      </c>
      <c r="D56" s="139" t="inlineStr">
        <is>
          <t>Block 3 · Administration mechanics</t>
        </is>
      </c>
      <c r="E56" s="223" t="inlineStr">
        <is>
          <t>Prepare and check the kit before the child arrives</t>
        </is>
      </c>
      <c r="F56" s="139" t="inlineStr">
        <is>
          <t>CORU SoP 5.6</t>
        </is>
      </c>
      <c r="G56" s="165" t="inlineStr">
        <is>
          <t>A missing block or a lost stopwatch mid-subtest costs you the subtest and the child's confidence in you. Kits get borrowed, pieces migrate, and the only reliable moment to discover it is before the child is in the room.</t>
        </is>
      </c>
      <c r="H56" s="165" t="inlineStr">
        <is>
          <t>WATCH FOR — whether your supervisor checks, and what they check against.
WRITE DOWN — their checklist, or build one from what they touched.
ASK AFTERWARDS — 'what has gone missing on you?'</t>
        </is>
      </c>
      <c r="I56" s="165" t="inlineStr">
        <is>
          <t>YOU TAKE — the full kit check and the record forms.
THEY HOLD — everything else.
WHY THAT SPLIT — this one is entirely yours from the start; there is no interpretive component.</t>
        </is>
      </c>
      <c r="J56" s="165" t="inlineStr">
        <is>
          <t>YOU RUN IT — checked and laid out before the child arrives.
WHAT THEY ARE WATCHING FOR — whether you check the stopwatch battery and have a spare pencil. Small, and they are what fail.
STEPPING IN LOOKS LIKE — handing you the thing you forgot.</t>
        </is>
      </c>
      <c r="K56" s="207" t="inlineStr">
        <is>
          <t>YOU DO IT ALONE — kit checked against a written list, every time.
PASS TEST — nothing is missing mid-subtest.
EVIDENCE TO FILE — nothing formal, but the absence of incidents is the evidence.
WHAT FAILURE LOOKS LIKE — stopping mid-Block Design to look for a block, and a child who now knows you are not in control of the situation.</t>
        </is>
      </c>
      <c r="L56" s="165" t="inlineStr">
        <is>
          <t>YOU CAN TEACH IT — you can give a colleague a kit checklist and explain what fails most often.
WHEN IT GOES WRONG — you can say what to do when something is genuinely missing: omit that subtest, record why, and do not improvise a substitute.</t>
        </is>
      </c>
      <c r="M56" s="224" t="inlineStr">
        <is>
          <t>Assuming the kit is as you left it.</t>
        </is>
      </c>
      <c r="N56" s="165" t="inlineStr">
        <is>
          <t>→ Feeds into every administration, and into the professionalism a school judges you on.</t>
        </is>
      </c>
      <c r="O56" s="225" t="inlineStr">
        <is>
          <t>Not started</t>
        </is>
      </c>
      <c r="P56" s="165" t="inlineStr">
        <is>
          <t>WATCH FOR — whether your supervisor checks, and what they check against.</t>
        </is>
      </c>
      <c r="Q56" s="139" t="inlineStr">
        <is>
          <t>Year 1</t>
        </is>
      </c>
      <c r="R56" s="226" t="inlineStr">
        <is>
          <t>26/10/2026</t>
        </is>
      </c>
      <c r="S56" s="226" t="inlineStr">
        <is>
          <t>16/11/2026</t>
        </is>
      </c>
      <c r="T56" s="226" t="inlineStr">
        <is>
          <t>14/12/2026</t>
        </is>
      </c>
      <c r="U56" s="139" t="inlineStr">
        <is>
          <t>Log sheet · no formal artefact</t>
        </is>
      </c>
    </row>
    <row r="57" outlineLevel="2" ht="408.75" customHeight="1" s="128">
      <c r="A57" s="139" t="inlineStr">
        <is>
          <t>MICRO-SKILL</t>
        </is>
      </c>
      <c r="B57" s="139" t="inlineStr">
        <is>
          <t>1. Assessment</t>
        </is>
      </c>
      <c r="C57" s="139" t="inlineStr">
        <is>
          <t>WISC-V administration to proficiency standard</t>
        </is>
      </c>
      <c r="D57" s="139" t="inlineStr">
        <is>
          <t>Block 3 · Administration mechanics</t>
        </is>
      </c>
      <c r="E57" s="223" t="inlineStr">
        <is>
          <t>Set up table and seating correctly</t>
        </is>
      </c>
      <c r="F57" s="139" t="inlineStr">
        <is>
          <t>CORU SoP 5.6</t>
        </is>
      </c>
      <c r="G57" s="165" t="inlineStr">
        <is>
          <t>The child must see the stimulus book clearly and you must see the record form without the child seeing it. Sitting opposite creates a test-like confrontation and makes the stimulus book hard to angle; sitting beside makes timing awkward. Corner seating usually solves both.</t>
        </is>
      </c>
      <c r="H57" s="165" t="inlineStr">
        <is>
          <t>WATCH FOR — where your supervisor sits relative to the child, and how the record form is angled.
WRITE DOWN — the arrangement, including where the kit sits.
ASK AFTERWARDS — 'what do you do in a room where you cannot get that arrangement?'</t>
        </is>
      </c>
      <c r="I57" s="165" t="inlineStr">
        <is>
          <t>YOU TAKE — setting up the room before the session.
THEY HOLD — administering.
WHY THAT SPLIT — setup is fully learnable in one round.</t>
        </is>
      </c>
      <c r="J57" s="165" t="inlineStr">
        <is>
          <t>YOU RUN IT — you set up and administer from your own arrangement.
WHAT THEY ARE WATCHING FOR — whether the child can see your record form. Children read upside down better than adults expect.
STEPPING IN LOOKS LIKE — adjusting your form angle.</t>
        </is>
      </c>
      <c r="K57" s="207" t="inlineStr">
        <is>
          <t>YOU DO IT ALONE — set up so the child sees the stimulus and not the form.
PASS TEST — child sees the stimulus book, you see the record form.
EVIDENCE TO FILE — nothing formal; note in the write-up if the room forced a compromise.
WHAT FAILURE LOOKS LIKE — a child watching you write down whether they were right.</t>
        </is>
      </c>
      <c r="L57" s="165" t="inlineStr">
        <is>
          <t>YOU CAN TEACH IT — you can describe three workable arrangements for different room types.
WHEN IT GOES WRONG — you can say what to do in a bad room: prioritise the child's view of the stimulus, shield the form, and note the constraint.</t>
        </is>
      </c>
      <c r="M57" s="224" t="inlineStr">
        <is>
          <t>Taking whatever table you are given without adjusting it.</t>
        </is>
      </c>
      <c r="N57" s="165" t="inlineStr">
        <is>
          <t>→ Feeds into rapport and into the validity of timed subtests.</t>
        </is>
      </c>
      <c r="O57" s="225" t="inlineStr">
        <is>
          <t>Not started</t>
        </is>
      </c>
      <c r="P57" s="165" t="inlineStr">
        <is>
          <t>WATCH FOR — where your supervisor sits relative to the child, and how the record form is angled.</t>
        </is>
      </c>
      <c r="Q57" s="139" t="inlineStr">
        <is>
          <t>Year 1</t>
        </is>
      </c>
      <c r="R57" s="226" t="inlineStr">
        <is>
          <t>26/10/2026</t>
        </is>
      </c>
      <c r="S57" s="226" t="inlineStr">
        <is>
          <t>16/11/2026</t>
        </is>
      </c>
      <c r="T57" s="226" t="inlineStr">
        <is>
          <t>14/12/2026</t>
        </is>
      </c>
      <c r="U57" s="139" t="inlineStr">
        <is>
          <t>Note in write-up if compromised · Log sheet</t>
        </is>
      </c>
    </row>
    <row r="58" outlineLevel="2" ht="408.75" customHeight="1" s="128">
      <c r="A58" s="139" t="inlineStr">
        <is>
          <t>MICRO-SKILL</t>
        </is>
      </c>
      <c r="B58" s="139" t="inlineStr">
        <is>
          <t>1. Assessment</t>
        </is>
      </c>
      <c r="C58" s="139" t="inlineStr">
        <is>
          <t>WISC-V administration to proficiency standard</t>
        </is>
      </c>
      <c r="D58" s="139" t="inlineStr">
        <is>
          <t>Block 3 · Administration mechanics</t>
        </is>
      </c>
      <c r="E58" s="223" t="inlineStr">
        <is>
          <t>Read instructions verbatim</t>
        </is>
      </c>
      <c r="F58" s="139" t="inlineStr">
        <is>
          <t>CORU SoP 5.6</t>
        </is>
      </c>
      <c r="G58" s="165" t="inlineStr">
        <is>
          <t>The norms were built on those exact words. Paraphrasing changes the task, and it happens most under time pressure or when you think the child has not understood — which is exactly when standardisation matters most. If a child genuinely cannot access the instruction, that is a finding, not a problem to solve by rewording.</t>
        </is>
      </c>
      <c r="H58" s="165" t="inlineStr">
        <is>
          <t>WATCH FOR — whether your supervisor reads or recites, and whether the wording matches the manual.
WRITE DOWN — any instruction where you would have been tempted to simplify.
ASK AFTERWARDS — 'what do you do when a child clearly has not understood the instruction?'</t>
        </is>
      </c>
      <c r="I58" s="165" t="inlineStr">
        <is>
          <t>YOU TAKE — following in the manual while they administer, marking any departure.
THEY HOLD — the administration.
WHY THAT SPLIT — you calibrate your ear to what verbatim actually sounds like.</t>
        </is>
      </c>
      <c r="J58" s="165" t="inlineStr">
        <is>
          <t>YOU RUN IT — you read verbatim with the manual open.
WHAT THEY ARE WATCHING FOR — paraphrasing when the child looks blank. It is almost involuntary.
STEPPING IN LOOKS LIKE — nothing in the moment; raised afterwards.</t>
        </is>
      </c>
      <c r="K58" s="207" t="inlineStr">
        <is>
          <t>YOU DO IT ALONE — verbatim throughout, repetition only where permitted.
PASS TEST — you did not paraphrase under time pressure.
EVIDENCE TO FILE — the protocol, and any permitted repetition noted.
WHAT FAILURE LOOKS LIKE — a score obtained on a task you modified, reported against norms for a task you did not administer.</t>
        </is>
      </c>
      <c r="L58" s="165" t="inlineStr">
        <is>
          <t>YOU CAN TEACH IT — you can explain why verbatim administration is a validity requirement rather than a formality.
WHEN IT GOES WRONG — you can say what to do when a child cannot access an instruction: repeat where permitted, record the difficulty as a finding, and discuss in the limitations.</t>
        </is>
      </c>
      <c r="M58" s="224" t="inlineStr">
        <is>
          <t>Simplifying the wording for a child who looked confused.</t>
        </is>
      </c>
      <c r="N58" s="165" t="inlineStr">
        <is>
          <t>→ Feeds into standardisation, into the limitations, and into the language-difficulty findings a WISC-V can surface.</t>
        </is>
      </c>
      <c r="O58" s="225" t="inlineStr">
        <is>
          <t>Not started</t>
        </is>
      </c>
      <c r="P58" s="165" t="inlineStr">
        <is>
          <t>WATCH FOR — whether your supervisor reads or recites, and whether the wording matches the manual.</t>
        </is>
      </c>
      <c r="Q58" s="139" t="inlineStr">
        <is>
          <t>Year 1</t>
        </is>
      </c>
      <c r="R58" s="226" t="inlineStr">
        <is>
          <t>26/10/2026</t>
        </is>
      </c>
      <c r="S58" s="226" t="inlineStr">
        <is>
          <t>16/11/2026</t>
        </is>
      </c>
      <c r="T58" s="226" t="inlineStr">
        <is>
          <t>14/12/2026</t>
        </is>
      </c>
      <c r="U58" s="139" t="inlineStr">
        <is>
          <t>Completed protocol · Appendix 7 · Log sheet</t>
        </is>
      </c>
    </row>
    <row r="59" outlineLevel="2" ht="408.75" customHeight="1" s="128">
      <c r="A59" s="139" t="inlineStr">
        <is>
          <t>MICRO-SKILL</t>
        </is>
      </c>
      <c r="B59" s="139" t="inlineStr">
        <is>
          <t>1. Assessment</t>
        </is>
      </c>
      <c r="C59" s="139" t="inlineStr">
        <is>
          <t>WISC-V administration to proficiency standard</t>
        </is>
      </c>
      <c r="D59" s="139" t="inlineStr">
        <is>
          <t>Block 3 · Administration mechanics</t>
        </is>
      </c>
      <c r="E59" s="223" t="inlineStr">
        <is>
          <t>Time accurately while managing engagement</t>
        </is>
      </c>
      <c r="F59" s="139" t="inlineStr">
        <is>
          <t>CORU SoP 5.6</t>
        </is>
      </c>
      <c r="G59" s="165" t="inlineStr">
        <is>
          <t>Several subtests are timed and the timing is part of the score. The difficulty is doing it while also watching the child, recording responses and managing behaviour. Timing that slips because you were settling a child produces a score that is not comparable to anything.</t>
        </is>
      </c>
      <c r="H59" s="165" t="inlineStr">
        <is>
          <t>WATCH FOR — how your supervisor holds the stopwatch and when they start it. The start point is defined and it is easy to be a second late.
WRITE DOWN — which subtests were timed and any moment timing competed with something else.
ASK AFTERWARDS — 'what do you do if you have to stop the child mid-item?'</t>
        </is>
      </c>
      <c r="I59" s="165" t="inlineStr">
        <is>
          <t>YOU TAKE — the stopwatch, while your supervisor administers and records.
THEY HOLD — everything else.
WHY THAT SPLIT — timing alone is easy; timing plus recording plus managing is the actual skill, and it is built in layers.</t>
        </is>
      </c>
      <c r="J59" s="165" t="inlineStr">
        <is>
          <t>YOU RUN IT — time, record and manage together.
WHAT THEY ARE WATCHING FOR — whether the watch stops when you look away. It is the most common slip and you will not notice it yourself.
STEPPING IN LOOKS LIKE — quietly noting a timing they will raise afterwards.</t>
        </is>
      </c>
      <c r="K59" s="207" t="inlineStr">
        <is>
          <t>YOU DO IT ALONE — accurate timing throughout.
PASS TEST — timing did not slip while you managed behaviour.
EVIDENCE TO FILE — completion times on the protocol, and bonus points calculated correctly where they apply.
WHAT FAILURE LOOKS LIKE — estimated times written in afterwards, which is fabrication however small it feels.</t>
        </is>
      </c>
      <c r="L59" s="165" t="inlineStr">
        <is>
          <t>YOU CAN TEACH IT — you can explain how bonus points work and why a second matters at the top of the range.
WHEN IT GOES WRONG — you can say what to do when timing is genuinely lost: record it as invalid rather than estimating.</t>
        </is>
      </c>
      <c r="M59" s="224" t="inlineStr">
        <is>
          <t>Writing in a time you did not measure.</t>
        </is>
      </c>
      <c r="N59" s="165" t="inlineStr">
        <is>
          <t>→ Feeds into Processing Speed and Block Design validity, and into the honesty thread throughout.</t>
        </is>
      </c>
      <c r="O59" s="225" t="inlineStr">
        <is>
          <t>Not started</t>
        </is>
      </c>
      <c r="P59" s="165" t="inlineStr">
        <is>
          <t>WATCH FOR — how your supervisor holds the stopwatch and when they start it. The start point is defined and it is easy to be a second late.</t>
        </is>
      </c>
      <c r="Q59" s="139" t="inlineStr">
        <is>
          <t>Year 1</t>
        </is>
      </c>
      <c r="R59" s="226" t="inlineStr">
        <is>
          <t>26/10/2026</t>
        </is>
      </c>
      <c r="S59" s="226" t="inlineStr">
        <is>
          <t>16/11/2026</t>
        </is>
      </c>
      <c r="T59" s="226" t="inlineStr">
        <is>
          <t>14/12/2026</t>
        </is>
      </c>
      <c r="U59" s="139" t="inlineStr">
        <is>
          <t>Completed protocol with times · Log sheet</t>
        </is>
      </c>
    </row>
    <row r="60" outlineLevel="2" ht="408.75" customHeight="1" s="128">
      <c r="A60" s="139" t="inlineStr">
        <is>
          <t>MICRO-SKILL</t>
        </is>
      </c>
      <c r="B60" s="139" t="inlineStr">
        <is>
          <t>1. Assessment</t>
        </is>
      </c>
      <c r="C60" s="139" t="inlineStr">
        <is>
          <t>WISC-V administration to proficiency standard</t>
        </is>
      </c>
      <c r="D60" s="139" t="inlineStr">
        <is>
          <t>Block 3 · Administration mechanics</t>
        </is>
      </c>
      <c r="E60" s="223" t="inlineStr">
        <is>
          <t>Record responses verbatim including errors</t>
        </is>
      </c>
      <c r="F60" s="139" t="inlineStr">
        <is>
          <t>CORU SoP 2.8</t>
        </is>
      </c>
      <c r="G60" s="165" t="inlineStr">
        <is>
          <t>Verbatim recording is what makes the protocol re-scoreable and what makes qualitative analysis possible afterwards. A child's wrong answer often tells you more than their right one — a Similarities response that is concrete rather than abstract is a finding you can only see if you wrote down what they said.</t>
        </is>
      </c>
      <c r="H60" s="165" t="inlineStr">
        <is>
          <t>WATCH FOR — how much your supervisor writes. It is more than you expect.
WRITE DOWN — three verbatim responses they recorded that you would have summarised.
ASK AFTERWARDS — 'what do you do when a child talks faster than you can write?'</t>
        </is>
      </c>
      <c r="I60" s="165" t="inlineStr">
        <is>
          <t>YOU TAKE — recording verbatim on a subtest they administer.
THEY HOLD — the administration.
WHY THAT SPLIT — recording at speed is a motor skill and needs practice without the cognitive load of administering.</t>
        </is>
      </c>
      <c r="J60" s="165" t="inlineStr">
        <is>
          <t>YOU RUN IT — administer and record verbatim together.
WHAT THEY ARE WATCHING FOR — summarising. 'Said something about animals' is not a record.
STEPPING IN LOOKS LIKE — a note beside a response they will ask about later.</t>
        </is>
      </c>
      <c r="K60" s="207" t="inlineStr">
        <is>
          <t>YOU DO IT ALONE — verbatim throughout, including errors and self-corrections.
PASS TEST — another psychologist could re-score from your protocol.
EVIDENCE TO FILE — the protocol. This is the artefact your supervisor will actually check.
WHAT FAILURE LOOKS LIKE — a protocol only you can interpret, which cannot be re-scored and cannot be defended.</t>
        </is>
      </c>
      <c r="L60" s="165" t="inlineStr">
        <is>
          <t>YOU CAN TEACH IT — you can show a colleague how to abbreviate without losing the response, and how to use the error analysis afterwards.
WHEN IT GOES WRONG — you can say what to do when you miss a response: mark it as not recorded rather than reconstructing it.</t>
        </is>
      </c>
      <c r="M60" s="224" t="inlineStr">
        <is>
          <t>Recording your judgement of the answer instead of the answer.</t>
        </is>
      </c>
      <c r="N60" s="165" t="inlineStr">
        <is>
          <t>→ Feeds into scoring accuracy, into qualitative analysis, and into the EDUC42700 technical analysis.</t>
        </is>
      </c>
      <c r="O60" s="225" t="inlineStr">
        <is>
          <t>Not started</t>
        </is>
      </c>
      <c r="P60" s="165" t="inlineStr">
        <is>
          <t>WATCH FOR — how much your supervisor writes. It is more than you expect.</t>
        </is>
      </c>
      <c r="Q60" s="139" t="inlineStr">
        <is>
          <t>Year 1</t>
        </is>
      </c>
      <c r="R60" s="226" t="inlineStr">
        <is>
          <t>26/10/2026</t>
        </is>
      </c>
      <c r="S60" s="226" t="inlineStr">
        <is>
          <t>16/11/2026</t>
        </is>
      </c>
      <c r="T60" s="226" t="inlineStr">
        <is>
          <t>14/12/2026</t>
        </is>
      </c>
      <c r="U60" s="139" t="inlineStr">
        <is>
          <t>Completed protocol · Appendix 5 · Log sheet</t>
        </is>
      </c>
    </row>
    <row r="61" outlineLevel="2" ht="408.75" customHeight="1" s="128">
      <c r="A61" s="139" t="inlineStr">
        <is>
          <t>MICRO-SKILL</t>
        </is>
      </c>
      <c r="B61" s="139" t="inlineStr">
        <is>
          <t>1. Assessment</t>
        </is>
      </c>
      <c r="C61" s="139" t="inlineStr">
        <is>
          <t>WISC-V administration to proficiency standard</t>
        </is>
      </c>
      <c r="D61" s="139" t="inlineStr">
        <is>
          <t>Block 3 · Administration mechanics</t>
        </is>
      </c>
      <c r="E61" s="223" t="inlineStr">
        <is>
          <t>Use the record form correctly including Q and P</t>
        </is>
      </c>
      <c r="F61" s="139" t="inlineStr">
        <is>
          <t>CORU SoP 2.10</t>
        </is>
      </c>
      <c r="G61" s="165" t="inlineStr">
        <is>
          <t>The record form is the legal and professional record of the administration. Q marks a query, P marks a prompt, and both must be visible to anyone re-scoring. An incomplete form means an unverifiable score, and it is the first thing an examiner looks at.</t>
        </is>
      </c>
      <c r="H61" s="165" t="inlineStr">
        <is>
          <t>WATCH FOR — the notation your supervisor uses, including anything beyond Q and P.
WRITE DOWN — their conventions.
ASK AFTERWARDS — 'what do you always write down that the form does not ask for?'</t>
        </is>
      </c>
      <c r="I61" s="165" t="inlineStr">
        <is>
          <t>YOU TAKE — completing the form's administrative sections and the notation while they administer.
THEY HOLD — the administration.
WHY THAT SPLIT — form discipline is learnable separately and transfers directly.</t>
        </is>
      </c>
      <c r="J61" s="165" t="inlineStr">
        <is>
          <t>YOU RUN IT — administer and complete the form fully.
WHAT THEY ARE WATCHING FOR — blanks. Every item needs a score, including zeros, and every query needs a Q.
STEPPING IN LOOKS LIKE — pointing at a blank.</t>
        </is>
      </c>
      <c r="K61" s="207" t="inlineStr">
        <is>
          <t>YOU DO IT ALONE — complete, legible, correctly notated.
PASS TEST — the form is complete and legible.
EVIDENCE TO FILE — the form itself, retained per service protocol.
WHAT FAILURE LOOKS LIKE — a form with gaps, where nobody can tell whether an item was failed or skipped.</t>
        </is>
      </c>
      <c r="L61" s="165" t="inlineStr">
        <is>
          <t>YOU CAN TEACH IT — you can audit a colleague's protocol and explain what an examiner looks for.
WHEN IT GOES WRONG — you can say what to do when you find a gap at scoring: mark it as not administered and exclude it, rather than inferring a score.</t>
        </is>
      </c>
      <c r="M61" s="224" t="inlineStr">
        <is>
          <t>Leaving blanks where the answer was wrong.</t>
        </is>
      </c>
      <c r="N61" s="165" t="inlineStr">
        <is>
          <t>→ Feeds into re-scoreability, into record-keeping under Working with Others, and into GDPR retention.</t>
        </is>
      </c>
      <c r="O61" s="225" t="inlineStr">
        <is>
          <t>Not started</t>
        </is>
      </c>
      <c r="P61" s="165" t="inlineStr">
        <is>
          <t>WATCH FOR — the notation your supervisor uses, including anything beyond Q and P.</t>
        </is>
      </c>
      <c r="Q61" s="139" t="inlineStr">
        <is>
          <t>Year 1</t>
        </is>
      </c>
      <c r="R61" s="226" t="inlineStr">
        <is>
          <t>26/10/2026</t>
        </is>
      </c>
      <c r="S61" s="226" t="inlineStr">
        <is>
          <t>16/11/2026</t>
        </is>
      </c>
      <c r="T61" s="226" t="inlineStr">
        <is>
          <t>14/12/2026</t>
        </is>
      </c>
      <c r="U61" s="139" t="inlineStr">
        <is>
          <t>Completed protocol retained · Log sheet tagged 5. Working with Others</t>
        </is>
      </c>
    </row>
    <row r="62" outlineLevel="2" ht="43.5" customHeight="1" s="128">
      <c r="A62" s="220" t="inlineStr">
        <is>
          <t>BLOCK</t>
        </is>
      </c>
      <c r="B62" s="220" t="inlineStr">
        <is>
          <t>1. Assessment</t>
        </is>
      </c>
      <c r="C62" s="220" t="inlineStr">
        <is>
          <t>WISC-V administration to proficiency standard</t>
        </is>
      </c>
      <c r="D62" s="221" t="inlineStr">
        <is>
          <t>Block 4 · The clinical half</t>
        </is>
      </c>
      <c r="E62" s="222" t="inlineStr">
        <is>
          <t>Rapport, reading the child's state, and knowing when to adapt or stop.</t>
        </is>
      </c>
      <c r="F62" s="220" t="inlineStr">
        <is>
          <t>Builds with every administration · Weeks 7–12</t>
        </is>
      </c>
      <c r="G62" s="220" t="n"/>
      <c r="H62" s="220" t="n"/>
      <c r="I62" s="220" t="n"/>
      <c r="J62" s="220" t="n"/>
      <c r="K62" s="220" t="n"/>
      <c r="L62" s="220" t="n"/>
      <c r="M62" s="222" t="n"/>
      <c r="N62" s="220" t="n"/>
      <c r="O62" s="220" t="n"/>
      <c r="P62" s="220" t="inlineStr">
        <is>
          <t>How you build it: Write behavioural observations for every administration including practice ones. Compare them with the scores.</t>
        </is>
      </c>
      <c r="Q62" s="220" t="n"/>
      <c r="R62" s="220" t="n"/>
      <c r="S62" s="220" t="n"/>
      <c r="T62" s="220" t="n"/>
      <c r="U62" s="220" t="n"/>
    </row>
    <row r="63" outlineLevel="2" ht="408.75" customHeight="1" s="128">
      <c r="A63" s="139" t="inlineStr">
        <is>
          <t>MICRO-SKILL</t>
        </is>
      </c>
      <c r="B63" s="139" t="inlineStr">
        <is>
          <t>1. Assessment</t>
        </is>
      </c>
      <c r="C63" s="139" t="inlineStr">
        <is>
          <t>WISC-V administration to proficiency standard</t>
        </is>
      </c>
      <c r="D63" s="139" t="inlineStr">
        <is>
          <t>Block 4 · The clinical half</t>
        </is>
      </c>
      <c r="E63" s="223" t="inlineStr">
        <is>
          <t>Establish rapport before beginning</t>
        </is>
      </c>
      <c r="F63" s="139" t="inlineStr">
        <is>
          <t>CORU SoP 5.21</t>
        </is>
      </c>
      <c r="G63" s="165" t="inlineStr">
        <is>
          <t>Rapport is measurement validity, not manners. An anxious or wary child under-performs across every index, and you will then build a formulation on numbers that describe their state rather than their ability. Five minutes before subtest one is the cheapest investment in the whole assessment.</t>
        </is>
      </c>
      <c r="H63" s="165" t="inlineStr">
        <is>
          <t>WATCH FOR — how long your supervisor spends before starting, and what they talk about.
WRITE DOWN — their opening, and roughly how many minutes passed before the first subtest.
ASK AFTERWARDS — 'how do you know when a child is ready?'</t>
        </is>
      </c>
      <c r="I63" s="165" t="inlineStr">
        <is>
          <t>YOU TAKE — the opening conversation.
THEY HOLD — the transition into testing.
WHY THAT SPLIT — opening is low-risk and high-value practice.</t>
        </is>
      </c>
      <c r="J63" s="165" t="inlineStr">
        <is>
          <t>YOU RUN IT — opening and transition.
WHAT THEY ARE WATCHING FOR — whether you start because the clock says so rather than because the child is settled.
STEPPING IN LOOKS LIKE — extending the conversation when you were about to begin.</t>
        </is>
      </c>
      <c r="K63" s="207" t="inlineStr">
        <is>
          <t>YOU DO IT ALONE — settled before subtest one.
PASS TEST — the child looks at ease before subtest one.
EVIDENCE TO FILE — a behavioural observation note in the report describing how the child presented.
WHAT FAILURE LOOKS LIKE — a full battery administered to an anxious child, interpreted as though anxiety were ability.</t>
        </is>
      </c>
      <c r="L63" s="165" t="inlineStr">
        <is>
          <t>YOU CAN TEACH IT — you can explain to a colleague why rapport is a validity issue and cite it.
WHEN IT GOES WRONG — you can say what to do when a child will not settle: stop, reschedule, and record why. A rescheduled assessment is better than an invalid one.</t>
        </is>
      </c>
      <c r="M63" s="224" t="inlineStr">
        <is>
          <t>Starting on time rather than when the child is ready.</t>
        </is>
      </c>
      <c r="N63" s="165" t="inlineStr">
        <is>
          <t>→ Feeds into every score obtained, and into the rapport micro-skills under Working with Others.</t>
        </is>
      </c>
      <c r="O63" s="225" t="inlineStr">
        <is>
          <t>Not started</t>
        </is>
      </c>
      <c r="P63" s="165" t="inlineStr">
        <is>
          <t>WATCH FOR — how long your supervisor spends before starting, and what they talk about.</t>
        </is>
      </c>
      <c r="Q63" s="139" t="inlineStr">
        <is>
          <t>Year 1</t>
        </is>
      </c>
      <c r="R63" s="226" t="inlineStr">
        <is>
          <t>26/10/2026</t>
        </is>
      </c>
      <c r="S63" s="226" t="inlineStr">
        <is>
          <t>16/11/2026</t>
        </is>
      </c>
      <c r="T63" s="226" t="inlineStr">
        <is>
          <t>14/12/2026</t>
        </is>
      </c>
      <c r="U63" s="139" t="inlineStr">
        <is>
          <t>Report — behavioural observations · Appendix 7 · Log sheet</t>
        </is>
      </c>
    </row>
    <row r="64" outlineLevel="2" ht="408.75" customHeight="1" s="128">
      <c r="A64" s="139" t="inlineStr">
        <is>
          <t>MICRO-SKILL</t>
        </is>
      </c>
      <c r="B64" s="139" t="inlineStr">
        <is>
          <t>1. Assessment</t>
        </is>
      </c>
      <c r="C64" s="139" t="inlineStr">
        <is>
          <t>WISC-V administration to proficiency standard</t>
        </is>
      </c>
      <c r="D64" s="139" t="inlineStr">
        <is>
          <t>Block 4 · The clinical half</t>
        </is>
      </c>
      <c r="E64" s="223" t="inlineStr">
        <is>
          <t>Explain what will happen in language the child understands</t>
        </is>
      </c>
      <c r="F64" s="139" t="inlineStr">
        <is>
          <t>PSI Code 4.3.1</t>
        </is>
      </c>
      <c r="G64" s="165" t="inlineStr">
        <is>
          <t>A child who does not know what is happening is managing uncertainty instead of doing the task. They also have a right to know — PSI 1.4 covers assent, and assent requires understanding. Telling them that some items will be too hard for everyone is the single most useful sentence available to you.</t>
        </is>
      </c>
      <c r="H64" s="165" t="inlineStr">
        <is>
          <t>WATCH FOR — the explanation, and specifically whether your supervisor says the tasks get harder for everyone.
WRITE DOWN — the explanation verbatim.
ASK AFTERWARDS — 'how do you adapt that for a five-year-old?'</t>
        </is>
      </c>
      <c r="I64" s="165" t="inlineStr">
        <is>
          <t>YOU TAKE — the explanation, in your own words, checked with your supervisor beforehand.
THEY HOLD — the rest.
WHY THAT SPLIT — the explanation is short, rehearsable, and consequential.</t>
        </is>
      </c>
      <c r="J64" s="165" t="inlineStr">
        <is>
          <t>YOU RUN IT — you explain and check understanding.
WHAT THEY ARE WATCHING FOR — whether you check. 'Does that make sense?' is not a check; asking the child to say it back is.
STEPPING IN LOOKS LIKE — a simpler version offered.</t>
        </is>
      </c>
      <c r="K64" s="207" t="inlineStr">
        <is>
          <t>YOU DO IT ALONE — explained, checked, adapted to age.
PASS TEST — the child could repeat it back roughly.
EVIDENCE TO FILE — note in the report that purpose and process were explained and assent obtained.
WHAT FAILURE LOOKS LIKE — a child who thinks they are in trouble, or who thinks this decides whether they are clever.</t>
        </is>
      </c>
      <c r="L64" s="165" t="inlineStr">
        <is>
          <t>YOU CAN TEACH IT — you can give a colleague three age-pitched versions and explain what each must contain.
WHEN IT GOES WRONG — you can say what to do when a child asks whether they passed: answer honestly at their level, and never give a score on the day.</t>
        </is>
      </c>
      <c r="M64" s="224" t="inlineStr">
        <is>
          <t>Explaining it and not checking it landed.</t>
        </is>
      </c>
      <c r="N64" s="165" t="inlineStr">
        <is>
          <t>→ Feeds into assent under Ethical Practice, and into the child's experience of every future assessment.</t>
        </is>
      </c>
      <c r="O64" s="225" t="inlineStr">
        <is>
          <t>Not started</t>
        </is>
      </c>
      <c r="P64" s="165" t="inlineStr">
        <is>
          <t>WATCH FOR — the explanation, and specifically whether your supervisor says the tasks get harder for everyone.</t>
        </is>
      </c>
      <c r="Q64" s="139" t="inlineStr">
        <is>
          <t>Year 1</t>
        </is>
      </c>
      <c r="R64" s="226" t="inlineStr">
        <is>
          <t>26/10/2026</t>
        </is>
      </c>
      <c r="S64" s="226" t="inlineStr">
        <is>
          <t>16/11/2026</t>
        </is>
      </c>
      <c r="T64" s="226" t="inlineStr">
        <is>
          <t>14/12/2026</t>
        </is>
      </c>
      <c r="U64" s="139" t="inlineStr">
        <is>
          <t>Report — note on consent and assent · Appendix 7 · Log sheet tagged 6. Ethical Practice</t>
        </is>
      </c>
    </row>
    <row r="65" outlineLevel="2" ht="408.75" customHeight="1" s="128">
      <c r="A65" s="139" t="inlineStr">
        <is>
          <t>MICRO-SKILL</t>
        </is>
      </c>
      <c r="B65" s="139" t="inlineStr">
        <is>
          <t>1. Assessment</t>
        </is>
      </c>
      <c r="C65" s="139" t="inlineStr">
        <is>
          <t>WISC-V administration to proficiency standard</t>
        </is>
      </c>
      <c r="D65" s="139" t="inlineStr">
        <is>
          <t>Block 4 · The clinical half</t>
        </is>
      </c>
      <c r="E65" s="223" t="inlineStr">
        <is>
          <t>Notice fatigue, anxiety or disengagement</t>
        </is>
      </c>
      <c r="F65" s="139" t="inlineStr">
        <is>
          <t>CORU SoP 5.31</t>
        </is>
      </c>
      <c r="G65" s="165" t="inlineStr">
        <is>
          <t>Children rarely say they have had enough. They guess, they go quiet, they stop trying, they get faster and less accurate. Noticing before they tell you is what separates a valid profile from one that measures endurance, and the behavioural observations you record are often more useful to the school than the scores.</t>
        </is>
      </c>
      <c r="H65" s="165" t="inlineStr">
        <is>
          <t>WATCH FOR — what your supervisor notices and what they do about it. Watch for the moment they decide to offer a break.
WRITE DOWN — the signs they responded to.
ASK AFTERWARDS — 'what is the earliest sign you look for?'</t>
        </is>
      </c>
      <c r="I65" s="165" t="inlineStr">
        <is>
          <t>YOU TAKE — recording behavioural observations throughout while they administer.
THEY HOLD — deciding what to do about them.
WHY THAT SPLIT — noticing is trainable on its own and is the harder half.</t>
        </is>
      </c>
      <c r="J65" s="165" t="inlineStr">
        <is>
          <t>YOU RUN IT — notice and respond.
WHAT THEY ARE WATCHING FOR — whether you push on to finish the battery. The pull to complete is strong, particularly when the school has given you one slot.
STEPPING IN LOOKS LIKE — suggesting a break you had not considered.</t>
        </is>
      </c>
      <c r="K65" s="207" t="inlineStr">
        <is>
          <t>YOU DO IT ALONE — noticed early, responded, recorded.
PASS TEST — you noticed before the child told you.
EVIDENCE TO FILE — behavioural observations in the report, with any effect on interpretation named.
WHAT FAILURE LOOKS LIKE — a Processing Speed index obtained in the last fifteen minutes of a two-hour session, interpreted as stable.</t>
        </is>
      </c>
      <c r="L65" s="165" t="inlineStr">
        <is>
          <t>YOU CAN TEACH IT — you can list the early signs and explain how each affects which index.
WHEN IT GOES WRONG — you can say what to do when a child is too tired to continue: stop, record what was completed, and reschedule.</t>
        </is>
      </c>
      <c r="M65" s="224" t="inlineStr">
        <is>
          <t>Finishing the battery because the room is booked.</t>
        </is>
      </c>
      <c r="N65" s="165" t="inlineStr">
        <is>
          <t>→ Feeds into behavioural observations, into the limitations, and into the wellbeing thread in Ethical Practice.</t>
        </is>
      </c>
      <c r="O65" s="225" t="inlineStr">
        <is>
          <t>Not started</t>
        </is>
      </c>
      <c r="P65" s="165" t="inlineStr">
        <is>
          <t>WATCH FOR — what your supervisor notices and what they do about it. Watch for the moment they decide to offer a break.</t>
        </is>
      </c>
      <c r="Q65" s="139" t="inlineStr">
        <is>
          <t>Year 1</t>
        </is>
      </c>
      <c r="R65" s="226" t="inlineStr">
        <is>
          <t>26/10/2026</t>
        </is>
      </c>
      <c r="S65" s="226" t="inlineStr">
        <is>
          <t>16/11/2026</t>
        </is>
      </c>
      <c r="T65" s="226" t="inlineStr">
        <is>
          <t>14/12/2026</t>
        </is>
      </c>
      <c r="U65" s="139" t="inlineStr">
        <is>
          <t>Report — behavioural observations and limitations · Appendix 5 · Log sheet</t>
        </is>
      </c>
    </row>
    <row r="66" outlineLevel="2" ht="408.75" customHeight="1" s="128">
      <c r="A66" s="139" t="inlineStr">
        <is>
          <t>MICRO-SKILL</t>
        </is>
      </c>
      <c r="B66" s="139" t="inlineStr">
        <is>
          <t>1. Assessment</t>
        </is>
      </c>
      <c r="C66" s="139" t="inlineStr">
        <is>
          <t>WISC-V administration to proficiency standard</t>
        </is>
      </c>
      <c r="D66" s="139" t="inlineStr">
        <is>
          <t>Block 4 · The clinical half</t>
        </is>
      </c>
      <c r="E66" s="223" t="inlineStr">
        <is>
          <t>Offer a break and record it at the time</t>
        </is>
      </c>
      <c r="F66" s="139" t="inlineStr">
        <is>
          <t>CORU SoP 5.31 · Equal Status Acts</t>
        </is>
      </c>
      <c r="G66" s="165" t="inlineStr">
        <is>
          <t>Breaks are permitted and they protect validity. Recording when and where the break fell matters because it affects interpretation — a break between Block Design and Coding tells a different story from a break mid-Coding. Recorded at the time it takes five seconds; reconstructed later it is a guess.</t>
        </is>
      </c>
      <c r="H66" s="165" t="inlineStr">
        <is>
          <t>WATCH FOR — how your supervisor offers a break so it is not read as a rescue.
WRITE DOWN — the wording and where on the protocol they noted it.
ASK AFTERWARDS — 'do you ever break mid-subtest?'</t>
        </is>
      </c>
      <c r="I66" s="165" t="inlineStr">
        <is>
          <t>YOU TAKE — annotating the protocol when a break occurs.
THEY HOLD — the offer.
WHY THAT SPLIT — the annotation habit is worth building first.</t>
        </is>
      </c>
      <c r="J66" s="165" t="inlineStr">
        <is>
          <t>YOU RUN IT — offer and annotate.
WHAT THEY ARE WATCHING FOR — whether you annotate at the time or intend to do it later.
STEPPING IN LOOKS LIKE — a tap on the protocol.</t>
        </is>
      </c>
      <c r="K66" s="207" t="inlineStr">
        <is>
          <t>YOU DO IT ALONE — offered appropriately, annotated immediately.
PASS TEST — annotated on the protocol.
EVIDENCE TO FILE — the annotation, and a mention in the report if it affected interpretation.
WHAT FAILURE LOOKS LIKE — remembering at scoring that there was a break and not knowing where.</t>
        </is>
      </c>
      <c r="L66" s="165" t="inlineStr">
        <is>
          <t>YOU CAN TEACH IT — you can explain when a break is and is not permitted and how to phrase the offer.
WHEN IT GOES WRONG — you can say what to do when a break is needed mid-subtest: complete or abandon the subtest by the manual's rule, never pause it.</t>
        </is>
      </c>
      <c r="M66" s="224" t="inlineStr">
        <is>
          <t>Intending to write it down afterwards.</t>
        </is>
      </c>
      <c r="N66" s="165" t="inlineStr">
        <is>
          <t>→ Feeds into interpretation and into the honesty of the protocol.</t>
        </is>
      </c>
      <c r="O66" s="225" t="inlineStr">
        <is>
          <t>Not started</t>
        </is>
      </c>
      <c r="P66" s="165" t="inlineStr">
        <is>
          <t>WATCH FOR — how your supervisor offers a break so it is not read as a rescue.</t>
        </is>
      </c>
      <c r="Q66" s="139" t="inlineStr">
        <is>
          <t>Year 1</t>
        </is>
      </c>
      <c r="R66" s="226" t="inlineStr">
        <is>
          <t>26/10/2026</t>
        </is>
      </c>
      <c r="S66" s="226" t="inlineStr">
        <is>
          <t>16/11/2026</t>
        </is>
      </c>
      <c r="T66" s="226" t="inlineStr">
        <is>
          <t>14/12/2026</t>
        </is>
      </c>
      <c r="U66" s="139" t="inlineStr">
        <is>
          <t>Annotated protocol · Log sheet</t>
        </is>
      </c>
    </row>
    <row r="67" outlineLevel="2" ht="408.75" customHeight="1" s="128">
      <c r="A67" s="139" t="inlineStr">
        <is>
          <t>MICRO-SKILL</t>
        </is>
      </c>
      <c r="B67" s="139" t="inlineStr">
        <is>
          <t>1. Assessment</t>
        </is>
      </c>
      <c r="C67" s="139" t="inlineStr">
        <is>
          <t>WISC-V administration to proficiency standard</t>
        </is>
      </c>
      <c r="D67" s="139" t="inlineStr">
        <is>
          <t>Block 4 · The clinical half</t>
        </is>
      </c>
      <c r="E67" s="223" t="inlineStr">
        <is>
          <t>Stop if the child indicates they want to</t>
        </is>
      </c>
      <c r="F67" s="139" t="inlineStr">
        <is>
          <t>PSI Code 1.4.3</t>
        </is>
      </c>
      <c r="G67" s="165" t="inlineStr">
        <is>
          <t>PSI 1.4.3 requires responsiveness to non-verbal indications of wanting to discontinue. A child who has gone silent and stopped trying has withdrawn assent whether or not they said so. Negotiating past that is a consent breach, and it is done routinely and unthinkingly because finishing feels important.</t>
        </is>
      </c>
      <c r="H67" s="165" t="inlineStr">
        <is>
          <t>WATCH FOR — how your supervisor responds to reluctance, and whether they ever negotiate.
WRITE DOWN — what they said and what happened.
ASK AFTERWARDS — 'how do you tell a wobble from a withdrawal?'</t>
        </is>
      </c>
      <c r="I67" s="165" t="inlineStr">
        <is>
          <t>YOU TAKE — watching for indications and flagging them.
THEY HOLD — the decision.
WHY THAT SPLIT — this is a consent decision and needs modelling before you carry it.</t>
        </is>
      </c>
      <c r="J67" s="165" t="inlineStr">
        <is>
          <t>YOU RUN IT — you notice and you stop.
WHAT THEY ARE WATCHING FOR — negotiation. 'Just two more and then we'll finish' is negotiation.
STEPPING IN LOOKS LIKE — ending the session themselves.</t>
        </is>
      </c>
      <c r="K67" s="207" t="inlineStr">
        <is>
          <t>YOU DO IT ALONE — stopped when indicated.
PASS TEST — you stopped rather than negotiated.
EVIDENCE TO FILE — record that the assessment was discontinued at the child's indication, and what was completed. This is strong Ethical Practice evidence and it is rare.
WHAT FAILURE LOOKS LIKE — a complete protocol obtained from a child who wanted to leave, which is invalid data and a consent breach at once.</t>
        </is>
      </c>
      <c r="L67" s="165" t="inlineStr">
        <is>
          <t>YOU CAN TEACH IT — you can cite the clause and explain why a partial assessment is worth more than a coerced complete one.
WHEN IT GOES WRONG — you can say what to do when the school pushes for completion: explain the consent position, offer to reschedule, and do not resume.</t>
        </is>
      </c>
      <c r="M67" s="224" t="inlineStr">
        <is>
          <t>'Just two more.'</t>
        </is>
      </c>
      <c r="N67" s="165" t="inlineStr">
        <is>
          <t>→ Feeds directly into consent and assent under Ethical Practice, PSI 1.4.3.</t>
        </is>
      </c>
      <c r="O67" s="225" t="inlineStr">
        <is>
          <t>Not started</t>
        </is>
      </c>
      <c r="P67" s="165" t="inlineStr">
        <is>
          <t>WATCH FOR — how your supervisor responds to reluctance, and whether they ever negotiate.</t>
        </is>
      </c>
      <c r="Q67" s="139" t="inlineStr">
        <is>
          <t>Year 1</t>
        </is>
      </c>
      <c r="R67" s="226" t="inlineStr">
        <is>
          <t>26/10/2026</t>
        </is>
      </c>
      <c r="S67" s="226" t="inlineStr">
        <is>
          <t>16/11/2026</t>
        </is>
      </c>
      <c r="T67" s="226" t="inlineStr">
        <is>
          <t>14/12/2026</t>
        </is>
      </c>
      <c r="U67" s="139" t="inlineStr">
        <is>
          <t>Report and protocol note · Appendix 8 if a dilemma arose · Log sheet tagged 6. Ethical Practice</t>
        </is>
      </c>
    </row>
    <row r="68" outlineLevel="2" ht="408.75" customHeight="1" s="128">
      <c r="A68" s="139" t="inlineStr">
        <is>
          <t>MICRO-SKILL</t>
        </is>
      </c>
      <c r="B68" s="139" t="inlineStr">
        <is>
          <t>1. Assessment</t>
        </is>
      </c>
      <c r="C68" s="139" t="inlineStr">
        <is>
          <t>WISC-V administration to proficiency standard</t>
        </is>
      </c>
      <c r="D68" s="139" t="inlineStr">
        <is>
          <t>Block 4 · The clinical half</t>
        </is>
      </c>
      <c r="E68" s="223" t="inlineStr">
        <is>
          <t>Close so the child leaves feeling competent</t>
        </is>
      </c>
      <c r="F68" s="139" t="inlineStr">
        <is>
          <t>CORU SoP 5.21</t>
        </is>
      </c>
      <c r="G68" s="165" t="inlineStr">
        <is>
          <t>The child will be assessed again, possibly many times, and how this one ends shapes how they arrive at the next. It also matters in itself — they have just spent ninety minutes being asked things they could not answer, by design.</t>
        </is>
      </c>
      <c r="H68" s="165" t="inlineStr">
        <is>
          <t>WATCH FOR — the closing. Note whether the praise is specific and true.
WRITE DOWN — the closing words, and what the child did as they left.
ASK AFTERWARDS — 'what do you say when a child asks how they did?'</t>
        </is>
      </c>
      <c r="I68" s="165" t="inlineStr">
        <is>
          <t>YOU TAKE — the closing.
THEY HOLD — anything the child asks about results.
WHY THAT SPLIT — the closing is safe; the results question needs a modelled answer.</t>
        </is>
      </c>
      <c r="J68" s="165" t="inlineStr">
        <is>
          <t>YOU RUN IT — close and handle the results question.
WHAT THEY ARE WATCHING FOR — generic praise, and any hint of a score. Never give a score on the day.
STEPPING IN LOOKS LIKE — supplying an answer you are searching for.</t>
        </is>
      </c>
      <c r="K68" s="207" t="inlineStr">
        <is>
          <t>YOU DO IT ALONE — specific, true, and clear about what happens next.
PASS TEST — how the child walks out.
EVIDENCE TO FILE — a note of what you told the child about next steps, so the feedback session is consistent with it.
WHAT FAILURE LOOKS LIKE — 'you did great', which the child knows is not true, or a hint at a result which the parent then hears second-hand.</t>
        </is>
      </c>
      <c r="L68" s="165" t="inlineStr">
        <is>
          <t>YOU CAN TEACH IT — you can give a colleague a closing that is honest, specific and does not disclose anything.
WHEN IT GOES WRONG — you can say what to do when a child is upset at the end: stay with it, be honest that some of it was hard, and tell them what happens next.</t>
        </is>
      </c>
      <c r="M68" s="224" t="inlineStr">
        <is>
          <t>Generic praise, or letting slip how they did.</t>
        </is>
      </c>
      <c r="N68" s="165" t="inlineStr">
        <is>
          <t>→ Feeds into the feedback session, into future assessments of this child, and into Ethical Practice.</t>
        </is>
      </c>
      <c r="O68" s="225" t="inlineStr">
        <is>
          <t>Not started</t>
        </is>
      </c>
      <c r="P68" s="165" t="inlineStr">
        <is>
          <t>WATCH FOR — the closing. Note whether the praise is specific and true.</t>
        </is>
      </c>
      <c r="Q68" s="139" t="inlineStr">
        <is>
          <t>Year 1</t>
        </is>
      </c>
      <c r="R68" s="226" t="inlineStr">
        <is>
          <t>26/10/2026</t>
        </is>
      </c>
      <c r="S68" s="226" t="inlineStr">
        <is>
          <t>16/11/2026</t>
        </is>
      </c>
      <c r="T68" s="226" t="inlineStr">
        <is>
          <t>14/12/2026</t>
        </is>
      </c>
      <c r="U68" s="139" t="inlineStr">
        <is>
          <t>Case note · Appendix 7 · Log sheet</t>
        </is>
      </c>
    </row>
    <row r="69" outlineLevel="2" ht="19.5" customHeight="1" s="128">
      <c r="A69" s="219" t="inlineStr">
        <is>
          <t>MACRO SKILL</t>
        </is>
      </c>
      <c r="B69" s="219" t="inlineStr">
        <is>
          <t>1. Assessment</t>
        </is>
      </c>
      <c r="C69" s="219" t="inlineStr">
        <is>
          <t>WIAT administration, scoring and interpretation</t>
        </is>
      </c>
      <c r="D69" s="219" t="n"/>
      <c r="E69" s="219" t="inlineStr">
        <is>
          <t>4 blocks · 7 micro-skills</t>
        </is>
      </c>
      <c r="F69" s="219" t="inlineStr">
        <is>
          <t>CORU 3.2 · 3.3 · 5.6 · 5.32</t>
        </is>
      </c>
      <c r="G69" s="219" t="n"/>
      <c r="H69" s="219" t="n"/>
      <c r="I69" s="219" t="n"/>
      <c r="J69" s="219" t="n"/>
      <c r="K69" s="219" t="n"/>
      <c r="L69" s="219" t="n"/>
      <c r="M69" s="219" t="n"/>
      <c r="N69" s="219" t="n"/>
      <c r="O69" s="219" t="n"/>
      <c r="P69" s="219" t="n"/>
      <c r="Q69" s="219" t="inlineStr">
        <is>
          <t>Year 1</t>
        </is>
      </c>
      <c r="R69" s="219" t="n"/>
      <c r="S69" s="219" t="n"/>
      <c r="T69" s="219" t="n"/>
      <c r="U69" s="219" t="n"/>
    </row>
    <row r="70" outlineLevel="2" ht="43.5" customHeight="1" s="128">
      <c r="A70" s="220" t="inlineStr">
        <is>
          <t>BLOCK</t>
        </is>
      </c>
      <c r="B70" s="220" t="inlineStr">
        <is>
          <t>1. Assessment</t>
        </is>
      </c>
      <c r="C70" s="220" t="inlineStr">
        <is>
          <t>WIAT administration, scoring and interpretation</t>
        </is>
      </c>
      <c r="D70" s="221" t="inlineStr">
        <is>
          <t>Block 1 · Selection</t>
        </is>
      </c>
      <c r="E70" s="222" t="inlineStr">
        <is>
          <t>Which subtests answer which question, and what omitting one costs you.</t>
        </is>
      </c>
      <c r="F70" s="220" t="inlineStr">
        <is>
          <t>2 hours, then 10 minutes per case · Weeks 3–6</t>
        </is>
      </c>
      <c r="G70" s="220" t="n"/>
      <c r="H70" s="220" t="n"/>
      <c r="I70" s="220" t="n"/>
      <c r="J70" s="220" t="n"/>
      <c r="K70" s="220" t="n"/>
      <c r="L70" s="220" t="n"/>
      <c r="M70" s="222" t="n"/>
      <c r="N70" s="220" t="n"/>
      <c r="O70" s="220" t="n"/>
      <c r="P70" s="220" t="inlineStr">
        <is>
          <t>How you build it: Write your rationale before assessing, for five cases.</t>
        </is>
      </c>
      <c r="Q70" s="220" t="n"/>
      <c r="R70" s="220" t="n"/>
      <c r="S70" s="220" t="n"/>
      <c r="T70" s="220" t="n"/>
      <c r="U70" s="220" t="n"/>
    </row>
    <row r="71" outlineLevel="2" ht="408.75" customHeight="1" s="128">
      <c r="A71" s="139" t="inlineStr">
        <is>
          <t>MICRO-SKILL</t>
        </is>
      </c>
      <c r="B71" s="139" t="inlineStr">
        <is>
          <t>1. Assessment</t>
        </is>
      </c>
      <c r="C71" s="139" t="inlineStr">
        <is>
          <t>WIAT administration, scoring and interpretation</t>
        </is>
      </c>
      <c r="D71" s="139" t="inlineStr">
        <is>
          <t>Block 1 · Selection</t>
        </is>
      </c>
      <c r="E71" s="223" t="inlineStr">
        <is>
          <t>Select subtests matched to the referral question</t>
        </is>
      </c>
      <c r="F71" s="139" t="inlineStr">
        <is>
          <t>CORU SoP 3.2 · 3.3</t>
        </is>
      </c>
      <c r="G71" s="165" t="inlineStr">
        <is>
          <t>WIAT-III is modular and administering all of it wastes ninety minutes and tires the child. Selection is a reasoning task: which subtests could change your answer to the question asked? Anything that cannot is not neutral, because the child pays for it in fatigue.</t>
        </is>
      </c>
      <c r="H71" s="165" t="inlineStr">
        <is>
          <t>WATCH FOR — which subtests your supervisor selects and whether they say why.
WRITE DOWN — the referral question and the subtests chosen beside it.
ASK AFTERWARDS — 'what did you leave out, and what would it have told you?'</t>
        </is>
      </c>
      <c r="I71" s="165" t="inlineStr">
        <is>
          <t>YOU TAKE — drafting the selection and your reasoning before the session.
THEY HOLD — the final decision.
WHY THAT SPLIT — your draft gets corrected before it costs the child anything.</t>
        </is>
      </c>
      <c r="J71" s="165" t="inlineStr">
        <is>
          <t>YOU RUN IT — you select and justify.
WHAT THEY ARE WATCHING FOR — defaulting to a standard set regardless of the question.
STEPPING IN LOOKS LIKE — 'what will Numerical Operations tell you about a reading referral?'</t>
        </is>
      </c>
      <c r="K71" s="207" t="inlineStr">
        <is>
          <t>YOU DO IT ALONE — selected, justified, recorded.
PASS TEST — you can justify omitting what you omitted.
EVIDENCE TO FILE — the selection and rationale in the report's method section.
WHAT FAILURE LOOKS LIKE — a full battery, a tired child, and a report that could have been written from four subtests.</t>
        </is>
      </c>
      <c r="L71" s="165" t="inlineStr">
        <is>
          <t>YOU CAN TEACH IT — you can map referral question types to subtest sets and explain each.
WHEN IT GOES WRONG — you can say what to do when the question changes mid-assessment: add what is needed and record why, rather than continuing on the original plan.</t>
        </is>
      </c>
      <c r="M71" s="224" t="inlineStr">
        <is>
          <t>Administering everything because it is all in the kit.</t>
        </is>
      </c>
      <c r="N71" s="165" t="inlineStr">
        <is>
          <t>→ Feeds into the child's experience, into the limitations, and into efficient practice under caseload pressure.</t>
        </is>
      </c>
      <c r="O71" s="225" t="inlineStr">
        <is>
          <t>Not started</t>
        </is>
      </c>
      <c r="P71" s="165" t="inlineStr">
        <is>
          <t>WATCH FOR — which subtests your supervisor selects and whether they say why.</t>
        </is>
      </c>
      <c r="Q71" s="139" t="inlineStr">
        <is>
          <t>Year 1</t>
        </is>
      </c>
      <c r="R71" s="226" t="inlineStr">
        <is>
          <t>26/10/2026</t>
        </is>
      </c>
      <c r="S71" s="226" t="inlineStr">
        <is>
          <t>16/11/2026</t>
        </is>
      </c>
      <c r="T71" s="226" t="inlineStr">
        <is>
          <t>14/12/2026</t>
        </is>
      </c>
      <c r="U71" s="139" t="inlineStr">
        <is>
          <t>Report — method · Appendix 5 · Log sheet</t>
        </is>
      </c>
    </row>
    <row r="72" outlineLevel="2" ht="43.5" customHeight="1" s="128">
      <c r="A72" s="220" t="inlineStr">
        <is>
          <t>BLOCK</t>
        </is>
      </c>
      <c r="B72" s="220" t="inlineStr">
        <is>
          <t>1. Assessment</t>
        </is>
      </c>
      <c r="C72" s="220" t="inlineStr">
        <is>
          <t>WIAT administration, scoring and interpretation</t>
        </is>
      </c>
      <c r="D72" s="221" t="inlineStr">
        <is>
          <t>Block 2 · Administration</t>
        </is>
      </c>
      <c r="E72" s="222" t="inlineStr">
        <is>
          <t>Standard administration of reading, spelling and numerical subtests.</t>
        </is>
      </c>
      <c r="F72" s="220" t="inlineStr">
        <is>
          <t>6–8 hours · Weeks 3–6</t>
        </is>
      </c>
      <c r="G72" s="220" t="n"/>
      <c r="H72" s="220" t="n"/>
      <c r="I72" s="220" t="n"/>
      <c r="J72" s="220" t="n"/>
      <c r="K72" s="220" t="n"/>
      <c r="L72" s="220" t="n"/>
      <c r="M72" s="222" t="n"/>
      <c r="N72" s="220" t="n"/>
      <c r="O72" s="220" t="n"/>
      <c r="P72" s="220" t="inlineStr">
        <is>
          <t>How you build it: Three supervised practice administrations.</t>
        </is>
      </c>
      <c r="Q72" s="220" t="n"/>
      <c r="R72" s="220" t="n"/>
      <c r="S72" s="220" t="n"/>
      <c r="T72" s="220" t="n"/>
      <c r="U72" s="220" t="n"/>
    </row>
    <row r="73" outlineLevel="2" ht="408.75" customHeight="1" s="128">
      <c r="A73" s="139" t="inlineStr">
        <is>
          <t>MICRO-SKILL</t>
        </is>
      </c>
      <c r="B73" s="139" t="inlineStr">
        <is>
          <t>1. Assessment</t>
        </is>
      </c>
      <c r="C73" s="139" t="inlineStr">
        <is>
          <t>WIAT administration, scoring and interpretation</t>
        </is>
      </c>
      <c r="D73" s="139" t="inlineStr">
        <is>
          <t>Block 2 · Administration</t>
        </is>
      </c>
      <c r="E73" s="223" t="inlineStr">
        <is>
          <t>Administer to standard</t>
        </is>
      </c>
      <c r="F73" s="139" t="inlineStr">
        <is>
          <t>CORU SoP 5.6</t>
        </is>
      </c>
      <c r="G73" s="165" t="inlineStr">
        <is>
          <t>The same standardisation logic as WISC-V applies, with one addition: Oral Reading Fluency requires marking errors live while timing, and it cannot be reconstructed afterwards. Written Expression has exact prompt wording and timing that trainees routinely improvise.</t>
        </is>
      </c>
      <c r="H73" s="165" t="inlineStr">
        <is>
          <t>WATCH FOR — how your supervisor marks Oral Reading Fluency errors while the child reads.
WRITE DOWN — their notation.
ASK AFTERWARDS — 'how do you keep up when a child reads fast?'</t>
        </is>
      </c>
      <c r="I73" s="165" t="inlineStr">
        <is>
          <t>YOU TAKE — marking Oral Reading Fluency alongside them, comparing afterwards.
THEY HOLD — the administration.
WHY THAT SPLIT — parallel marking gives you an agreement check without risking the record.</t>
        </is>
      </c>
      <c r="J73" s="165" t="inlineStr">
        <is>
          <t>YOU RUN IT — administer with them present.
WHAT THEY ARE WATCHING FOR — Written Expression prompts, and whether timing holds.
STEPPING IN LOOKS LIKE — a note to discuss afterwards.</t>
        </is>
      </c>
      <c r="K73" s="207" t="inlineStr">
        <is>
          <t>YOU DO IT ALONE — administered to standard throughout.
PASS TEST — errors would not change the composite.
EVIDENCE TO FILE — the protocol, with Oral Reading Fluency marked live.
WHAT FAILURE LOOKS LIKE — an Oral Reading Fluency score reconstructed from memory, which is not a score.</t>
        </is>
      </c>
      <c r="L73" s="165" t="inlineStr">
        <is>
          <t>YOU CAN TEACH IT — you can demonstrate live error marking and explain which subtests are most often administered incorrectly.
WHEN IT GOES WRONG — you can say what to do when a timed subtest is disrupted: record it as invalid rather than adjusting the time.</t>
        </is>
      </c>
      <c r="M73" s="224" t="inlineStr">
        <is>
          <t>Improvising the Written Expression prompt.</t>
        </is>
      </c>
      <c r="N73" s="165" t="inlineStr">
        <is>
          <t>→ Feeds into scoring validity and into the literacy component analysis.</t>
        </is>
      </c>
      <c r="O73" s="225" t="inlineStr">
        <is>
          <t>Not started</t>
        </is>
      </c>
      <c r="P73" s="165" t="inlineStr">
        <is>
          <t>WATCH FOR — how your supervisor marks Oral Reading Fluency errors while the child reads.</t>
        </is>
      </c>
      <c r="Q73" s="139" t="inlineStr">
        <is>
          <t>Year 1</t>
        </is>
      </c>
      <c r="R73" s="226" t="inlineStr">
        <is>
          <t>26/10/2026</t>
        </is>
      </c>
      <c r="S73" s="226" t="inlineStr">
        <is>
          <t>16/11/2026</t>
        </is>
      </c>
      <c r="T73" s="226" t="inlineStr">
        <is>
          <t>14/12/2026</t>
        </is>
      </c>
      <c r="U73" s="139" t="inlineStr">
        <is>
          <t>Completed protocol · Appendix 7 · Log sheet</t>
        </is>
      </c>
    </row>
    <row r="74" outlineLevel="2" ht="43.5" customHeight="1" s="128">
      <c r="A74" s="220" t="inlineStr">
        <is>
          <t>BLOCK</t>
        </is>
      </c>
      <c r="B74" s="220" t="inlineStr">
        <is>
          <t>1. Assessment</t>
        </is>
      </c>
      <c r="C74" s="220" t="inlineStr">
        <is>
          <t>WIAT administration, scoring and interpretation</t>
        </is>
      </c>
      <c r="D74" s="221" t="inlineStr">
        <is>
          <t>Block 3 · Scoring</t>
        </is>
      </c>
      <c r="E74" s="222" t="inlineStr">
        <is>
          <t>Raw to scaled conversion, composites, confidence intervals.</t>
        </is>
      </c>
      <c r="F74" s="220" t="inlineStr">
        <is>
          <t>6–8 hours, then 45 min per protocol · Weeks 3–6</t>
        </is>
      </c>
      <c r="G74" s="220" t="n"/>
      <c r="H74" s="220" t="n"/>
      <c r="I74" s="220" t="n"/>
      <c r="J74" s="220" t="n"/>
      <c r="K74" s="220" t="n"/>
      <c r="L74" s="220" t="n"/>
      <c r="M74" s="222" t="n"/>
      <c r="N74" s="220" t="n"/>
      <c r="O74" s="220" t="n"/>
      <c r="P74" s="220" t="inlineStr">
        <is>
          <t>How you build it: Score three protocols by hand before using software. Have all three checked.</t>
        </is>
      </c>
      <c r="Q74" s="220" t="n"/>
      <c r="R74" s="220" t="n"/>
      <c r="S74" s="220" t="n"/>
      <c r="T74" s="220" t="n"/>
      <c r="U74" s="220" t="n"/>
    </row>
    <row r="75" outlineLevel="2" ht="408.75" customHeight="1" s="128">
      <c r="A75" s="139" t="inlineStr">
        <is>
          <t>MICRO-SKILL</t>
        </is>
      </c>
      <c r="B75" s="139" t="inlineStr">
        <is>
          <t>1. Assessment</t>
        </is>
      </c>
      <c r="C75" s="139" t="inlineStr">
        <is>
          <t>WIAT administration, scoring and interpretation</t>
        </is>
      </c>
      <c r="D75" s="139" t="inlineStr">
        <is>
          <t>Block 3 · Scoring</t>
        </is>
      </c>
      <c r="E75" s="223" t="inlineStr">
        <is>
          <t>Score the protocol the same day</t>
        </is>
      </c>
      <c r="F75" s="139" t="inlineStr">
        <is>
          <t>CORU SoP 2.8</t>
        </is>
      </c>
      <c r="G75" s="165" t="inlineStr">
        <is>
          <t>Scoring decays. Oral Reading Fluency and Written Expression in particular depend on what you saw, and a week later you are scoring your memory. Accumulated unscored protocols are also the commonest cause of the June backlog that makes everything else late.</t>
        </is>
      </c>
      <c r="H75" s="165" t="inlineStr">
        <is>
          <t>WATCH FOR — when your supervisor scores. Often immediately, in the car.
WRITE DOWN — how long it took them.
ASK AFTERWARDS — 'what goes wrong when you leave it a week?'</t>
        </is>
      </c>
      <c r="I75" s="165" t="inlineStr">
        <is>
          <t>YOU TAKE — scoring the objective subtests the same day.
THEY HOLD — the judgement-based ones.
WHY THAT SPLIT — you build the same-day habit on the easier half first.</t>
        </is>
      </c>
      <c r="J75" s="165" t="inlineStr">
        <is>
          <t>YOU RUN IT — score everything the same day, checked by them.
WHAT THEY ARE WATCHING FOR — Written Expression scoring drift. Trainees score generously against the rubric.
STEPPING IN LOOKS LIKE — re-scoring one item beside you.</t>
        </is>
      </c>
      <c r="K75" s="207" t="inlineStr">
        <is>
          <t>YOU DO IT ALONE — scored the same day, every time.
PASS TEST — scoring is not left to accumulate.
EVIDENCE TO FILE — the scored protocol, dated.
WHAT FAILURE LOOKS LIKE — four unscored protocols in May and no memory of any of them.</t>
        </is>
      </c>
      <c r="L75" s="165" t="inlineStr">
        <is>
          <t>YOU CAN TEACH IT — you can explain why judgement-based subtests decay fastest and demonstrate the rubric.
WHEN IT GOES WRONG — you can say what to do when same-day scoring is impossible: write your behavioural and qualitative notes immediately even if the scoring waits.</t>
        </is>
      </c>
      <c r="M75" s="224" t="inlineStr">
        <is>
          <t>Leaving it until the report is due.</t>
        </is>
      </c>
      <c r="N75" s="165" t="inlineStr">
        <is>
          <t>→ Feeds into workload management under Ethical Practice, and into report quality.</t>
        </is>
      </c>
      <c r="O75" s="225" t="inlineStr">
        <is>
          <t>Not started</t>
        </is>
      </c>
      <c r="P75" s="165" t="inlineStr">
        <is>
          <t>WATCH FOR — when your supervisor scores. Often immediately, in the car.</t>
        </is>
      </c>
      <c r="Q75" s="139" t="inlineStr">
        <is>
          <t>Year 1</t>
        </is>
      </c>
      <c r="R75" s="226" t="inlineStr">
        <is>
          <t>26/10/2026</t>
        </is>
      </c>
      <c r="S75" s="226" t="inlineStr">
        <is>
          <t>16/11/2026</t>
        </is>
      </c>
      <c r="T75" s="226" t="inlineStr">
        <is>
          <t>14/12/2026</t>
        </is>
      </c>
      <c r="U75" s="139" t="inlineStr">
        <is>
          <t>Dated scored protocol · Log sheet</t>
        </is>
      </c>
    </row>
    <row r="76" outlineLevel="2" ht="408.75" customHeight="1" s="128">
      <c r="A76" s="139" t="inlineStr">
        <is>
          <t>MICRO-SKILL</t>
        </is>
      </c>
      <c r="B76" s="139" t="inlineStr">
        <is>
          <t>1. Assessment</t>
        </is>
      </c>
      <c r="C76" s="139" t="inlineStr">
        <is>
          <t>WIAT administration, scoring and interpretation</t>
        </is>
      </c>
      <c r="D76" s="139" t="inlineStr">
        <is>
          <t>Block 3 · Scoring</t>
        </is>
      </c>
      <c r="E76" s="223" t="inlineStr">
        <is>
          <t>Check every raw-to-scaled conversion</t>
        </is>
      </c>
      <c r="F76" s="139" t="inlineStr">
        <is>
          <t>CORU SoP 5.6</t>
        </is>
      </c>
      <c r="G76" s="165" t="inlineStr">
        <is>
          <t>A single transcription error moves a composite and the error is invisible in the final report. It will be quoted for years. Checking twice costs five minutes and is the cheapest quality control available to you.</t>
        </is>
      </c>
      <c r="H76" s="165" t="inlineStr">
        <is>
          <t>WATCH FOR — whether your supervisor checks, and how.
WRITE DOWN — their method: second pass, reverse calculation, or a colleague.
ASK AFTERWARDS — 'have you ever found one?' They will have.</t>
        </is>
      </c>
      <c r="I76" s="165" t="inlineStr">
        <is>
          <t>YOU TAKE — the second check on their scoring.
THEY HOLD — the first.
WHY THAT SPLIT — checking someone else's work teaches you where errors live.</t>
        </is>
      </c>
      <c r="J76" s="165" t="inlineStr">
        <is>
          <t>YOU RUN IT — score and check, with them checking after you.
WHAT THEY ARE WATCHING FOR — whether you check at all once you are confident. Confidence is when errors start.
STEPPING IN LOOKS LIKE — finding one.</t>
        </is>
      </c>
      <c r="K76" s="207" t="inlineStr">
        <is>
          <t>YOU DO IT ALONE — every conversion checked twice.
PASS TEST — one transcription error changes an index.
EVIDENCE TO FILE — the protocol with checking evident.
WHAT FAILURE LOOKS LIKE — a report circulated with a wrong composite, discovered by someone else.</t>
        </is>
      </c>
      <c r="L76" s="165" t="inlineStr">
        <is>
          <t>YOU CAN TEACH IT — you can explain where conversion errors cluster and set up a checking routine for a colleague.
WHEN IT GOES WRONG — you can say what to do when you find an error after issuing a report: correct it, reissue it, and tell the people who received it. Immediately.</t>
        </is>
      </c>
      <c r="M76" s="224" t="inlineStr">
        <is>
          <t>Checking the ones you are unsure about rather than all of them.</t>
        </is>
      </c>
      <c r="N76" s="165" t="inlineStr">
        <is>
          <t>→ Feeds into every reported number, and into PSI 4.2.5 on accuracy.</t>
        </is>
      </c>
      <c r="O76" s="225" t="inlineStr">
        <is>
          <t>Not started</t>
        </is>
      </c>
      <c r="P76" s="165" t="inlineStr">
        <is>
          <t>WATCH FOR — whether your supervisor checks, and how.</t>
        </is>
      </c>
      <c r="Q76" s="139" t="inlineStr">
        <is>
          <t>Year 1</t>
        </is>
      </c>
      <c r="R76" s="226" t="inlineStr">
        <is>
          <t>26/10/2026</t>
        </is>
      </c>
      <c r="S76" s="226" t="inlineStr">
        <is>
          <t>16/11/2026</t>
        </is>
      </c>
      <c r="T76" s="226" t="inlineStr">
        <is>
          <t>14/12/2026</t>
        </is>
      </c>
      <c r="U76" s="139" t="inlineStr">
        <is>
          <t>Checked protocol · Log sheet tagged 6. Ethical Practice</t>
        </is>
      </c>
    </row>
    <row r="77" outlineLevel="2" ht="408.75" customHeight="1" s="128">
      <c r="A77" s="139" t="inlineStr">
        <is>
          <t>MICRO-SKILL</t>
        </is>
      </c>
      <c r="B77" s="139" t="inlineStr">
        <is>
          <t>1. Assessment</t>
        </is>
      </c>
      <c r="C77" s="139" t="inlineStr">
        <is>
          <t>WIAT administration, scoring and interpretation</t>
        </is>
      </c>
      <c r="D77" s="139" t="inlineStr">
        <is>
          <t>Block 3 · Scoring</t>
        </is>
      </c>
      <c r="E77" s="223" t="inlineStr">
        <is>
          <t>Apply confidence intervals rather than point scores</t>
        </is>
      </c>
      <c r="F77" s="139" t="inlineStr">
        <is>
          <t>PSI Code 4.2.2</t>
        </is>
      </c>
      <c r="G77" s="165" t="inlineStr">
        <is>
          <t>A standard score of 85 is an estimate with error around it. Reporting it as a point value implies a precision the instrument does not have, and schools and parents then treat a three-point change as meaningful. Confidence intervals are the honest representation and they are in the manual.</t>
        </is>
      </c>
      <c r="H77" s="165" t="inlineStr">
        <is>
          <t>WATCH FOR — how your supervisor reports scores. Look for ranges rather than points.
WRITE DOWN — two sentences using confidence intervals.
ASK AFTERWARDS — 'how do you explain a confidence interval to a parent?'</t>
        </is>
      </c>
      <c r="I77" s="165" t="inlineStr">
        <is>
          <t>YOU TAKE — looking up the intervals and drafting the score table.
THEY HOLD — the interpretive text.
WHY THAT SPLIT — the mechanics first, the explanation after.</t>
        </is>
      </c>
      <c r="J77" s="165" t="inlineStr">
        <is>
          <t>YOU RUN IT — you report with intervals and explain them in feedback.
WHAT THEY ARE WATCHING FOR — whether the narrative text reverts to point scores even when the table has intervals. It usually does.
STEPPING IN LOOKS LIKE — offering the plain-language version of the interval.</t>
        </is>
      </c>
      <c r="K77" s="207" t="inlineStr">
        <is>
          <t>YOU DO IT ALONE — intervals in the table and in the narrative.
PASS TEST — the report does not imply false precision.
EVIDENCE TO FILE — the score table with intervals, and narrative that matches it.
WHAT FAILURE LOOKS LIKE — a report where a school treats a four-point difference as progress.</t>
        </is>
      </c>
      <c r="L77" s="165" t="inlineStr">
        <is>
          <t>YOU CAN TEACH IT — you can explain standard error of measurement in plain words and demonstrate it to a parent.
WHEN IT GOES WRONG — you can say what to do when asked for 'the number': give the range, explain why, and do not give a point score to satisfy the question.</t>
        </is>
      </c>
      <c r="M77" s="224" t="inlineStr">
        <is>
          <t>An interval in the table and a point score in the sentence underneath.</t>
        </is>
      </c>
      <c r="N77" s="165" t="inlineStr">
        <is>
          <t>→ Feeds into PSI 2.3.1 on the limits of psychological data, and into the limitations section.</t>
        </is>
      </c>
      <c r="O77" s="225" t="inlineStr">
        <is>
          <t>Not started</t>
        </is>
      </c>
      <c r="P77" s="165" t="inlineStr">
        <is>
          <t>WATCH FOR — how your supervisor reports scores. Look for ranges rather than points.</t>
        </is>
      </c>
      <c r="Q77" s="139" t="inlineStr">
        <is>
          <t>Year 1</t>
        </is>
      </c>
      <c r="R77" s="226" t="inlineStr">
        <is>
          <t>26/10/2026</t>
        </is>
      </c>
      <c r="S77" s="226" t="inlineStr">
        <is>
          <t>16/11/2026</t>
        </is>
      </c>
      <c r="T77" s="226" t="inlineStr">
        <is>
          <t>14/12/2026</t>
        </is>
      </c>
      <c r="U77" s="139" t="inlineStr">
        <is>
          <t>Report — score table and narrative · Appendix 5 · Log sheet</t>
        </is>
      </c>
    </row>
    <row r="78" outlineLevel="2" ht="43.5" customHeight="1" s="128">
      <c r="A78" s="220" t="inlineStr">
        <is>
          <t>BLOCK</t>
        </is>
      </c>
      <c r="B78" s="220" t="inlineStr">
        <is>
          <t>1. Assessment</t>
        </is>
      </c>
      <c r="C78" s="220" t="inlineStr">
        <is>
          <t>WIAT administration, scoring and interpretation</t>
        </is>
      </c>
      <c r="D78" s="221" t="inlineStr">
        <is>
          <t>Block 4 · Interpretation</t>
        </is>
      </c>
      <c r="E78" s="222" t="inlineStr">
        <is>
          <t>What an attainment–ability discrepancy does and does not establish.</t>
        </is>
      </c>
      <c r="F78" s="220" t="inlineStr">
        <is>
          <t>Ongoing — Year 3 competence · Ongoing all year</t>
        </is>
      </c>
      <c r="G78" s="220" t="n"/>
      <c r="H78" s="220" t="n"/>
      <c r="I78" s="220" t="n"/>
      <c r="J78" s="220" t="n"/>
      <c r="K78" s="220" t="n"/>
      <c r="L78" s="220" t="n"/>
      <c r="M78" s="222" t="n"/>
      <c r="N78" s="220" t="n"/>
      <c r="O78" s="220" t="n"/>
      <c r="P78" s="220" t="inlineStr">
        <is>
          <t>How you build it: Read three reports by experienced EPs. Bring one profile to supervision.</t>
        </is>
      </c>
      <c r="Q78" s="220" t="n"/>
      <c r="R78" s="220" t="n"/>
      <c r="S78" s="220" t="n"/>
      <c r="T78" s="220" t="n"/>
      <c r="U78" s="220" t="n"/>
    </row>
    <row r="79" outlineLevel="2" ht="408.75" customHeight="1" s="128">
      <c r="A79" s="139" t="inlineStr">
        <is>
          <t>MICRO-SKILL</t>
        </is>
      </c>
      <c r="B79" s="139" t="inlineStr">
        <is>
          <t>1. Assessment</t>
        </is>
      </c>
      <c r="C79" s="139" t="inlineStr">
        <is>
          <t>WIAT administration, scoring and interpretation</t>
        </is>
      </c>
      <c r="D79" s="139" t="inlineStr">
        <is>
          <t>Block 4 · Interpretation</t>
        </is>
      </c>
      <c r="E79" s="223" t="inlineStr">
        <is>
          <t>Compare attainment against cognitive profile appropriately</t>
        </is>
      </c>
      <c r="F79" s="139" t="inlineStr">
        <is>
          <t>CORU SoP 5.32 · PSI Code 2.3.1</t>
        </is>
      </c>
      <c r="G79" s="165" t="inlineStr">
        <is>
          <t>Attainment means nothing without an expectation, and the expectation comes from the cognitive profile. But the discrepancy model has real limits — it under-identifies children with lower cognitive scores, which is why current criteria abandoned it as the sole basis for identification. Knowing what the discrepancy does not mean is as important as calculating it.</t>
        </is>
      </c>
      <c r="H79" s="165" t="inlineStr">
        <is>
          <t>WATCH FOR — how your supervisor frames the comparison, and whether they use a formal discrepancy or a descriptive one.
WRITE DOWN — the comparison sentence.
ASK AFTERWARDS — 'when does a discrepancy mislead you?'</t>
        </is>
      </c>
      <c r="I79" s="165" t="inlineStr">
        <is>
          <t>YOU TAKE — calculating the comparison.
THEY HOLD — the interpretation.
WHY THAT SPLIT — the arithmetic is straightforward; knowing what it licenses is not.</t>
        </is>
      </c>
      <c r="J79" s="165" t="inlineStr">
        <is>
          <t>YOU RUN IT — calculate and interpret, tested by them.
WHAT THEY ARE WATCHING FOR — over-reading a discrepancy, and missing a child with uniformly low scores who still has a real difficulty.
STEPPING IN LOOKS LIKE — 'what would you conclude if both were at the 5th percentile?'</t>
        </is>
      </c>
      <c r="K79" s="207" t="inlineStr">
        <is>
          <t>YOU DO IT ALONE — compared, interpreted, and qualified.
PASS TEST — you know what the discrepancy does not mean.
EVIDENCE TO FILE — the comparison in the report with its limits stated.
WHAT FAILURE LOOKS LIKE — a child with low average cognition and very low attainment told they do not meet criteria, when they clearly need the intervention.</t>
        </is>
      </c>
      <c r="L79" s="165" t="inlineStr">
        <is>
          <t>YOU CAN TEACH IT — you can explain why DSM-5 moved away from the discrepancy model and what replaced it.
WHEN IT GOES WRONG — you can say what to do when the numbers do not support a label the child clearly needs support for: recommend on need, describe the profile, and say plainly what the criteria do and do not establish.</t>
        </is>
      </c>
      <c r="M79" s="224" t="inlineStr">
        <is>
          <t>Treating the discrepancy as the finding rather than as one piece of evidence.</t>
        </is>
      </c>
      <c r="N79" s="165" t="inlineStr">
        <is>
          <t>→ Feeds into specific learning difficulty identification, and into the honesty thread about what tests establish.</t>
        </is>
      </c>
      <c r="O79" s="225" t="inlineStr">
        <is>
          <t>Not started</t>
        </is>
      </c>
      <c r="P79" s="165" t="inlineStr">
        <is>
          <t>WATCH FOR — how your supervisor frames the comparison, and whether they use a formal discrepancy or a descriptive one.</t>
        </is>
      </c>
      <c r="Q79" s="139" t="inlineStr">
        <is>
          <t>Year 1</t>
        </is>
      </c>
      <c r="R79" s="226" t="inlineStr">
        <is>
          <t>26/10/2026</t>
        </is>
      </c>
      <c r="S79" s="226" t="inlineStr">
        <is>
          <t>16/11/2026</t>
        </is>
      </c>
      <c r="T79" s="226" t="inlineStr">
        <is>
          <t>14/12/2026</t>
        </is>
      </c>
      <c r="U79" s="139" t="inlineStr">
        <is>
          <t>Report — interpretation · Appendix 5 · Log sheet</t>
        </is>
      </c>
    </row>
    <row r="80" outlineLevel="2" ht="408.75" customHeight="1" s="128">
      <c r="A80" s="139" t="inlineStr">
        <is>
          <t>MICRO-SKILL</t>
        </is>
      </c>
      <c r="B80" s="139" t="inlineStr">
        <is>
          <t>1. Assessment</t>
        </is>
      </c>
      <c r="C80" s="139" t="inlineStr">
        <is>
          <t>WIAT administration, scoring and interpretation</t>
        </is>
      </c>
      <c r="D80" s="139" t="inlineStr">
        <is>
          <t>Block 4 · Interpretation</t>
        </is>
      </c>
      <c r="E80" s="223" t="inlineStr">
        <is>
          <t>Notice a score you do not believe and check it</t>
        </is>
      </c>
      <c r="F80" s="139" t="inlineStr">
        <is>
          <t>CORU SoP 3.4</t>
        </is>
      </c>
      <c r="G80" s="165" t="inlineStr">
        <is>
          <t>Sometimes a score does not fit anything else you know about the child. The professional response is to check before reporting, because the two likeliest explanations are a scoring error and an administration problem — and both are yours to find.</t>
        </is>
      </c>
      <c r="H80" s="165" t="inlineStr">
        <is>
          <t>WATCH FOR — a moment your supervisor pauses over a score. Ask what prompted it.
WRITE DOWN — what they checked.
ASK AFTERWARDS — 'what makes you distrust a score?'</t>
        </is>
      </c>
      <c r="I80" s="165" t="inlineStr">
        <is>
          <t>YOU TAKE — flagging anything that looks inconsistent.
THEY HOLD — deciding what to do about it.
WHY THAT SPLIT — noticing is the skill; the response is a judgement.</t>
        </is>
      </c>
      <c r="J80" s="165" t="inlineStr">
        <is>
          <t>YOU RUN IT — notice, re-score, and decide.
WHAT THEY ARE WATCHING FOR — whether you report a score you privately doubt because re-scoring is tedious.
STEPPING IN LOOKS LIKE — 'does that fit with what you saw in the room?'</t>
        </is>
      </c>
      <c r="K80" s="207" t="inlineStr">
        <is>
          <t>YOU DO IT ALONE — noticed, re-scored, resolved.
PASS TEST — you re-scored rather than reported it.
EVIDENCE TO FILE — if the score stands after checking, say in the report that it is inconsistent with other findings and what you make of it.
WHAT FAILURE LOOKS LIKE — an anomalous score reported without comment, which the reader then builds on.</t>
        </is>
      </c>
      <c r="L80" s="165" t="inlineStr">
        <is>
          <t>YOU CAN TEACH IT — you can explain the common causes of anomalous scores: transcription, administration, fatigue, and genuine profile variation.
WHEN IT GOES WRONG — you can say what to do when the score is real and does not fit: report it, name the inconsistency, and resist smoothing it into a tidier narrative.</t>
        </is>
      </c>
      <c r="M80" s="224" t="inlineStr">
        <is>
          <t>Reporting a number you do not believe because the alternative was more work.</t>
        </is>
      </c>
      <c r="N80" s="165" t="inlineStr">
        <is>
          <t>→ Feeds into the synthesis skill, into limitations, and into Ethical Practice.</t>
        </is>
      </c>
      <c r="O80" s="225" t="inlineStr">
        <is>
          <t>Not started</t>
        </is>
      </c>
      <c r="P80" s="165" t="inlineStr">
        <is>
          <t>WATCH FOR — a moment your supervisor pauses over a score. Ask what prompted it.</t>
        </is>
      </c>
      <c r="Q80" s="139" t="inlineStr">
        <is>
          <t>Year 1</t>
        </is>
      </c>
      <c r="R80" s="226" t="inlineStr">
        <is>
          <t>26/10/2026</t>
        </is>
      </c>
      <c r="S80" s="226" t="inlineStr">
        <is>
          <t>16/11/2026</t>
        </is>
      </c>
      <c r="T80" s="226" t="inlineStr">
        <is>
          <t>14/12/2026</t>
        </is>
      </c>
      <c r="U80" s="139" t="inlineStr">
        <is>
          <t>Report — interpretation and limitations · Appendix 5 · Log sheet tagged 6. Ethical Practice</t>
        </is>
      </c>
    </row>
    <row r="81" outlineLevel="2" ht="19.5" customHeight="1" s="128">
      <c r="A81" s="219" t="inlineStr">
        <is>
          <t>MACRO SKILL</t>
        </is>
      </c>
      <c r="B81" s="219" t="inlineStr">
        <is>
          <t>1. Assessment</t>
        </is>
      </c>
      <c r="C81" s="219" t="inlineStr">
        <is>
          <t>Synthesise findings from multiple sources into one profile</t>
        </is>
      </c>
      <c r="D81" s="219" t="n"/>
      <c r="E81" s="219" t="inlineStr">
        <is>
          <t>2 blocks · 6 micro-skills</t>
        </is>
      </c>
      <c r="F81" s="219" t="inlineStr">
        <is>
          <t>CORU 3.4 · 5.32 · 5.27</t>
        </is>
      </c>
      <c r="G81" s="219" t="n"/>
      <c r="H81" s="219" t="n"/>
      <c r="I81" s="219" t="n"/>
      <c r="J81" s="219" t="n"/>
      <c r="K81" s="219" t="n"/>
      <c r="L81" s="219" t="n"/>
      <c r="M81" s="219" t="n"/>
      <c r="N81" s="219" t="n"/>
      <c r="O81" s="219" t="n"/>
      <c r="P81" s="219" t="n"/>
      <c r="Q81" s="219" t="inlineStr">
        <is>
          <t>Year 1</t>
        </is>
      </c>
      <c r="R81" s="219" t="n"/>
      <c r="S81" s="219" t="n"/>
      <c r="T81" s="219" t="n"/>
      <c r="U81" s="219" t="n"/>
    </row>
    <row r="82" outlineLevel="2" ht="43.5" customHeight="1" s="128">
      <c r="A82" s="220" t="inlineStr">
        <is>
          <t>BLOCK</t>
        </is>
      </c>
      <c r="B82" s="220" t="inlineStr">
        <is>
          <t>1. Assessment</t>
        </is>
      </c>
      <c r="C82" s="220" t="inlineStr">
        <is>
          <t>Synthesise findings from multiple sources into one profile</t>
        </is>
      </c>
      <c r="D82" s="221" t="inlineStr">
        <is>
          <t>Block 1 · Seeing the pattern</t>
        </is>
      </c>
      <c r="E82" s="222" t="inlineStr">
        <is>
          <t>Recognising convergence and divergence across sources rather than reporting each separately.</t>
        </is>
      </c>
      <c r="F82" s="220" t="inlineStr">
        <is>
          <t>Habit — 30 minutes per case · Weeks 3–6</t>
        </is>
      </c>
      <c r="G82" s="220" t="n"/>
      <c r="H82" s="220" t="n"/>
      <c r="I82" s="220" t="n"/>
      <c r="J82" s="220" t="n"/>
      <c r="K82" s="220" t="n"/>
      <c r="L82" s="220" t="n"/>
      <c r="M82" s="222" t="n"/>
      <c r="N82" s="220" t="n"/>
      <c r="O82" s="220" t="n"/>
      <c r="P82" s="220" t="inlineStr">
        <is>
          <t>How you build it: Lay every source on one page before writing. Mark agreements in one colour and disagreements in another.</t>
        </is>
      </c>
      <c r="Q82" s="220" t="n"/>
      <c r="R82" s="220" t="n"/>
      <c r="S82" s="220" t="n"/>
      <c r="T82" s="220" t="n"/>
      <c r="U82" s="220" t="n"/>
    </row>
    <row r="83" outlineLevel="2" ht="120" customHeight="1" s="128">
      <c r="A83" s="139" t="inlineStr">
        <is>
          <t>MICRO-SKILL</t>
        </is>
      </c>
      <c r="B83" s="139" t="inlineStr">
        <is>
          <t>1. Assessment</t>
        </is>
      </c>
      <c r="C83" s="139" t="inlineStr">
        <is>
          <t>Synthesise findings from multiple sources into one profile</t>
        </is>
      </c>
      <c r="D83" s="139" t="inlineStr">
        <is>
          <t>Block 1 · Seeing the pattern</t>
        </is>
      </c>
      <c r="E83" s="223" t="inlineStr">
        <is>
          <t>Identify where sources converge</t>
        </is>
      </c>
      <c r="F83" s="139" t="inlineStr">
        <is>
          <t>CORU SoP 3.4</t>
        </is>
      </c>
      <c r="G83" s="227" t="inlineStr">
        <is>
          <t>Convergence is the strongest evidence an assessment produces: the same pattern seen by different people, in different settings, with different methods. Triangulation, the idea that agreement across methods beats any single method (Denzin, The Research Act, 1978), is the logic of every integrated report. Get it wrong and you claim agreement that is only surface. 'Teacher and parent both mention attention' is not convergence if one means daydreaming and the other means leaving the seat.</t>
        </is>
      </c>
      <c r="H83" s="165" t="inlineStr">
        <is>
          <t>WATCH FOR — how your supervisor lines sources up before writing. Many do it on one page: sources down the side, domains across the top. Notice whether they check that two sources describe the same behaviour, or only use the same word.
WRITE DOWN — every source used (interview, rating scale, observation, standardised test, work sample, file) and which domains each one spoke to.
ASK AFTERWARDS — 'how did you know the teacher's and parent's reports were about the same thing and not just the same label?'</t>
        </is>
      </c>
      <c r="I83" s="165" t="inlineStr">
        <is>
          <t>YOU TAKE — building the source-by-domain grid from the file, and marking every cell where two or more sources point the same way, with the specific evidence quoted.
THEY HOLD — the judgement on whether each apparent agreement is real convergence or just shared vocabulary.
WHY THAT SPLIT — the grid is mechanical and teaches you the file. Judging whether agreement is genuine is the clinical skill, and it is the one you will be tested on.</t>
        </is>
      </c>
      <c r="J83" s="165" t="inlineStr">
        <is>
          <t>YOU RUN IT — present the grid in supervision and state each convergence aloud: which sources, which behaviour, which setting, how you know they mean the same thing.
WHAT THEY ARE WATCHING FOR — convergence you count rather than check. Three sources that all rely on the same parent report are one source, not three.
STEPPING IN LOOKS LIKE — 'the rating scale and the interview both came from mum on the same day — is that two sources?'</t>
        </is>
      </c>
      <c r="K83" s="207" t="inlineStr">
        <is>
          <t>YOU DO IT ALONE — build the grid, write the convergent findings into the integration section with each source named in the sentence, and bring it to supervision.
PASS TEST — Convergence is stated rather than assumed
EVIDENCE TO FILE — the integration section of the report and the grid as a working paper on the case file. Log against 1. Assessment.
WHAT FAILURE LOOKS LIKE — 'all sources indicate attention difficulties' with no named sources, no settings and no check that the behaviours match.</t>
        </is>
      </c>
      <c r="L83" s="165" t="inlineStr">
        <is>
          <t>YOU CAN TEACH IT — you can explain to a peer the difference between convergence of label and convergence of behaviour, and why sources that share an origin (the same informant, the same day, the same form) do not independently confirm each other.
WHEN IT GOES WRONG — you can say what to do when you find you overstated agreement after the report is drafted: rewrite the sentence to name the actual sources, and weaken the claim to what the evidence carries.</t>
        </is>
      </c>
      <c r="M83" s="224" t="inlineStr">
        <is>
          <t>Writing 'findings were consistent across sources' without naming the sources or checking they described the same behaviour.</t>
        </is>
      </c>
      <c r="N83" s="165" t="inlineStr">
        <is>
          <t>→ Feeds into 'Identify where sources diverge and say so', 'Judge which source to weight and why', and into Formulation, where convergent evidence carries the working hypothesis.</t>
        </is>
      </c>
      <c r="O83" s="225" t="inlineStr">
        <is>
          <t>Not started</t>
        </is>
      </c>
      <c r="P83" s="165" t="inlineStr">
        <is>
          <t>WATCH FOR — how your supervisor lines sources up before writing. Many do it on one page: sources down the side, domains across the top. Notice whether they check that two sources describe the same behaviour, or only use the same word.</t>
        </is>
      </c>
      <c r="Q83" s="139" t="inlineStr">
        <is>
          <t>Year 1</t>
        </is>
      </c>
      <c r="R83" s="226" t="inlineStr">
        <is>
          <t>26/10/2026</t>
        </is>
      </c>
      <c r="S83" s="226" t="inlineStr">
        <is>
          <t>16/11/2026</t>
        </is>
      </c>
      <c r="T83" s="226" t="inlineStr">
        <is>
          <t>14/12/2026</t>
        </is>
      </c>
      <c r="U83" s="139" t="inlineStr">
        <is>
          <t>Report — integration section · grid on case file · Appendix 5 · Log sheet tagged 1. Assessment</t>
        </is>
      </c>
    </row>
    <row r="84" outlineLevel="2" ht="120" customHeight="1" s="128">
      <c r="A84" s="139" t="inlineStr">
        <is>
          <t>MICRO-SKILL</t>
        </is>
      </c>
      <c r="B84" s="139" t="inlineStr">
        <is>
          <t>1. Assessment</t>
        </is>
      </c>
      <c r="C84" s="139" t="inlineStr">
        <is>
          <t>Synthesise findings from multiple sources into one profile</t>
        </is>
      </c>
      <c r="D84" s="139" t="inlineStr">
        <is>
          <t>Block 1 · Seeing the pattern</t>
        </is>
      </c>
      <c r="E84" s="223" t="inlineStr">
        <is>
          <t>Identify where sources diverge and say so</t>
        </is>
      </c>
      <c r="F84" s="139" t="inlineStr">
        <is>
          <t>CORU SoP 3.4 · PSI Code 4.2.6</t>
        </is>
      </c>
      <c r="G84" s="227" t="inlineStr">
        <is>
          <t>Divergence between sources is information, not noise. A child who is described as anxious at home and settled at school is telling you something about context. The cross-informant meta-analysis by Achenbach, McConaughy and Howell (Psychological Bulletin, 1987) found only modest agreement between different types of informant; exact figures are in the paper — check before quoting. A report that smooths divergence away hides the most useful finding and misleads the reader about how certain you are.</t>
        </is>
      </c>
      <c r="H84" s="165" t="inlineStr">
        <is>
          <t>WATCH FOR — how your supervisor words a disagreement between sources in the report. Notice whether they name both sides, or quietly pick one.
WRITE DOWN — each point of divergence in the case: which sources, which domain, which setting, and the likely explanations your supervisor considered.
ASK AFTERWARDS — 'when the teacher and parent disagree, how do you decide whether it's the child, the setting, or the informant?'</t>
        </is>
      </c>
      <c r="I84" s="165" t="inlineStr">
        <is>
          <t>YOU TAKE — listing every divergence on the grid and drafting the possible explanations for each: different setting, different demands, different informant threshold, different time period.
THEY HOLD — the wording that goes in the report, because divergence can land badly with a parent or school who feels disbelieved.
WHY THAT SPLIT — generating explanations is thinking you can practise safely. Wording that will be read by the family carries relational risk.</t>
        </is>
      </c>
      <c r="J84" s="165" t="inlineStr">
        <is>
          <t>YOU RUN IT — draft the divergence paragraph yourself and read it aloud in supervision before it goes in the report.
WHAT THEY ARE WATCHING FOR — divergence resolved by picking the professional source over the parent, or the adult over the child, without a reason. That is a bias, not a judgement.
STEPPING IN LOOKS LIKE — 'you've gone with the teacher's view there. What would the parent say if they read this sentence?'</t>
        </is>
      </c>
      <c r="K84" s="207" t="inlineStr">
        <is>
          <t>YOU DO IT ALONE — identify each divergence, offer at least one explanation grounded in the setting or task demands, and write it into the report in neutral language.
PASS TEST — Discrepancy is named rather than smoothed away
EVIDENCE TO FILE — the integration section of the report, marked in your Appendix 5 entry as the place divergence was handled. Log against 1. Assessment and 6. Ethical Practice (PSI Code 4.2.6).
WHAT FAILURE LOOKS LIKE — a profile that reads as if everyone agreed, when your grid shows they did not.</t>
        </is>
      </c>
      <c r="L84" s="165" t="inlineStr">
        <is>
          <t>YOU CAN TEACH IT — you can explain why informant disagreement is expected rather than a problem, and describe the context-based reading of it (De Los Reyes &amp; Kazdin, Psychological Bulletin, 2005, on informant discrepancies).
WHEN IT GOES WRONG — you can say what to do when a family objects that the report calls them wrong: show them the sentence, explain that both accounts are reported as true in their setting, and amend wording that implies blame.</t>
        </is>
      </c>
      <c r="M84" s="224" t="inlineStr">
        <is>
          <t>Reporting only the account that fits the hypothesis and leaving the contradicting one out.</t>
        </is>
      </c>
      <c r="N84" s="165" t="inlineStr">
        <is>
          <t>→ Feeds into 'Analyse informant agreement and discrepancy' (rating scales), into Formulation, and into Ethical Practice — honest reporting of uncertainty.</t>
        </is>
      </c>
      <c r="O84" s="225" t="inlineStr">
        <is>
          <t>Not started</t>
        </is>
      </c>
      <c r="P84" s="165" t="inlineStr">
        <is>
          <t>WATCH FOR — how your supervisor words a disagreement between sources in the report. Notice whether they name both sides, or quietly pick one.</t>
        </is>
      </c>
      <c r="Q84" s="139" t="inlineStr">
        <is>
          <t>Year 1</t>
        </is>
      </c>
      <c r="R84" s="226" t="inlineStr">
        <is>
          <t>26/10/2026</t>
        </is>
      </c>
      <c r="S84" s="226" t="inlineStr">
        <is>
          <t>16/11/2026</t>
        </is>
      </c>
      <c r="T84" s="226" t="inlineStr">
        <is>
          <t>14/12/2026</t>
        </is>
      </c>
      <c r="U84" s="139" t="inlineStr">
        <is>
          <t>Report — integration section · Appendix 5 · Log sheet tagged 1. Assessment and 6. Ethical Practice</t>
        </is>
      </c>
    </row>
    <row r="85" outlineLevel="2" ht="120" customHeight="1" s="128">
      <c r="A85" s="139" t="inlineStr">
        <is>
          <t>MICRO-SKILL</t>
        </is>
      </c>
      <c r="B85" s="139" t="inlineStr">
        <is>
          <t>1. Assessment</t>
        </is>
      </c>
      <c r="C85" s="139" t="inlineStr">
        <is>
          <t>Synthesise findings from multiple sources into one profile</t>
        </is>
      </c>
      <c r="D85" s="139" t="inlineStr">
        <is>
          <t>Block 1 · Seeing the pattern</t>
        </is>
      </c>
      <c r="E85" s="223" t="inlineStr">
        <is>
          <t>Judge which source to weight and why</t>
        </is>
      </c>
      <c r="F85" s="139" t="inlineStr">
        <is>
          <t>CORU SoP 5.32</t>
        </is>
      </c>
      <c r="G85" s="227" t="inlineStr">
        <is>
          <t>Sources are not equal, and pretending they are is its own error. A standardised score has known reliability; a single twenty-minute observation may have caught an unusual day; a parent knows the child across years but not in class. Weighting is unavoidable, so the professional task is to make it explicit. An unstated weighting cannot be challenged, and one that cannot be challenged cannot be defended at a review meeting or complaint.</t>
        </is>
      </c>
      <c r="H85" s="165" t="inlineStr">
        <is>
          <t>WATCH FOR — the moment your supervisor treats one finding as more telling than another. Listen for the reason: reliability, proximity to the concern, the setting it came from, or how recent it is.
WRITE DOWN — each source, the weight your supervisor gave it (high, moderate, low), and the stated or implied reason.
ASK AFTERWARDS — 'if the WISC and the classroom observation pointed opposite ways, which would you trust more for this question — and would that change for a different question?'</t>
        </is>
      </c>
      <c r="I85" s="165" t="inlineStr">
        <is>
          <t>YOU TAKE — writing a proposed weighting for each source with one line of reasoning beside it: how reliable, how close to the referral concern, how representative.
THEY HOLD — the final weighting and any sentence in the report that ranks one informant's account below another's.
WHY THAT SPLIT — writing reasons makes your implicit weighting visible so it can be corrected. Ranking people's accounts in print has consequences for relationships you do not yet hold.</t>
        </is>
      </c>
      <c r="J85" s="165" t="inlineStr">
        <is>
          <t>YOU RUN IT — state your weighting in supervision before you write the synthesis, and defend it when challenged.
WHAT THEY ARE WATCHING FOR — weighting by status (the psychologist's test over the parent's account) or by convenience (the source that fits your hypothesis) instead of by fit to the question.
STEPPING IN LOOKS LIKE — 'the referral question is about the yard. Which of your sources were actually in the yard?'</t>
        </is>
      </c>
      <c r="K85" s="207" t="inlineStr">
        <is>
          <t>YOU DO IT ALONE — decide the weighting, write it into the synthesis in one or two sentences, and bring it to supervision already written.
PASS TEST — The weighting is defensible and written down
EVIDENCE TO FILE — the sentence in the report stating which evidence carried most weight and why. Log against 1. Assessment.
WHAT FAILURE LOOKS LIKE — a conclusion that clearly rests on one source, with nothing in the report saying so, so the reader cannot tell what would change it.</t>
        </is>
      </c>
      <c r="L85" s="165" t="inlineStr">
        <is>
          <t>YOU CAN TEACH IT — you can explain the criteria for weighting (reliability, validity for the specific question, setting, recency, independence from other sources) and give a worked case where the same source deserves high weight for one question and low weight for another.
WHEN IT GOES WRONG — you can say what to do when new information arrives that overturns your weighting: say so in an addendum rather than quietly revising the conclusion.</t>
        </is>
      </c>
      <c r="M85" s="224" t="inlineStr">
        <is>
          <t>Letting the standardised score overrule everything else because it has a number attached, without asking whether it answers the referral question.</t>
        </is>
      </c>
      <c r="N85" s="165" t="inlineStr">
        <is>
          <t>→ Feeds into 'Write an integration section rather than a list', into Formulation, and into defending conclusions at a review meeting.</t>
        </is>
      </c>
      <c r="O85" s="225" t="inlineStr">
        <is>
          <t>Not started</t>
        </is>
      </c>
      <c r="P85" s="165" t="inlineStr">
        <is>
          <t>WATCH FOR — the moment your supervisor treats one finding as more telling than another. Listen for the reason: reliability, proximity to the concern, the setting it came from, or how recent it is.</t>
        </is>
      </c>
      <c r="Q85" s="139" t="inlineStr">
        <is>
          <t>Year 1</t>
        </is>
      </c>
      <c r="R85" s="226" t="inlineStr">
        <is>
          <t>26/10/2026</t>
        </is>
      </c>
      <c r="S85" s="226" t="inlineStr">
        <is>
          <t>16/11/2026</t>
        </is>
      </c>
      <c r="T85" s="226" t="inlineStr">
        <is>
          <t>14/12/2026</t>
        </is>
      </c>
      <c r="U85" s="139" t="inlineStr">
        <is>
          <t>Report — integration and conclusions · Appendix 5 · Log sheet tagged 1. Assessment</t>
        </is>
      </c>
    </row>
    <row r="86" outlineLevel="2" ht="43.5" customHeight="1" s="128">
      <c r="A86" s="220" t="inlineStr">
        <is>
          <t>BLOCK</t>
        </is>
      </c>
      <c r="B86" s="220" t="inlineStr">
        <is>
          <t>1. Assessment</t>
        </is>
      </c>
      <c r="C86" s="220" t="inlineStr">
        <is>
          <t>Synthesise findings from multiple sources into one profile</t>
        </is>
      </c>
      <c r="D86" s="221" t="inlineStr">
        <is>
          <t>Block 2 · Writing the synthesis</t>
        </is>
      </c>
      <c r="E86" s="222" t="inlineStr">
        <is>
          <t>Producing an integration section rather than a list of test results.</t>
        </is>
      </c>
      <c r="F86" s="220" t="inlineStr">
        <is>
          <t>Ongoing · 1–2 hours per report initially · Weeks 7–12</t>
        </is>
      </c>
      <c r="G86" s="220" t="n"/>
      <c r="H86" s="220" t="n"/>
      <c r="I86" s="220" t="n"/>
      <c r="J86" s="220" t="n"/>
      <c r="K86" s="220" t="n"/>
      <c r="L86" s="220" t="n"/>
      <c r="M86" s="222" t="n"/>
      <c r="N86" s="220" t="n"/>
      <c r="O86" s="220" t="n"/>
      <c r="P86" s="220" t="inlineStr">
        <is>
          <t>How you build it: Draft one and have it torn apart in supervision. It is the hardest thing to learn from written feedback alone.</t>
        </is>
      </c>
      <c r="Q86" s="220" t="n"/>
      <c r="R86" s="220" t="n"/>
      <c r="S86" s="220" t="n"/>
      <c r="T86" s="220" t="n"/>
      <c r="U86" s="220" t="n"/>
    </row>
    <row r="87" outlineLevel="2" ht="120" customHeight="1" s="128">
      <c r="A87" s="139" t="inlineStr">
        <is>
          <t>MICRO-SKILL</t>
        </is>
      </c>
      <c r="B87" s="139" t="inlineStr">
        <is>
          <t>1. Assessment</t>
        </is>
      </c>
      <c r="C87" s="139" t="inlineStr">
        <is>
          <t>Synthesise findings from multiple sources into one profile</t>
        </is>
      </c>
      <c r="D87" s="139" t="inlineStr">
        <is>
          <t>Block 2 · Writing the synthesis</t>
        </is>
      </c>
      <c r="E87" s="223" t="inlineStr">
        <is>
          <t>Write an integration section rather than a list</t>
        </is>
      </c>
      <c r="F87" s="139" t="inlineStr">
        <is>
          <t>CORU SoP 5.27</t>
        </is>
      </c>
      <c r="G87" s="227" t="inlineStr">
        <is>
          <t>A report that lists findings test by test hands the hardest part of the job to the reader. Teachers and parents will not integrate a WISC section, a rating-scale section and an observation section on their own; they will skim to the recommendations. Report-writing texts are consistent on this: organise by theme or domain, not by instrument (Lichtenberger, Mather, Kaufman &amp; Kaufman, Essentials of Assessment Report Writing, 2004). An unintegrated report is the commonest reason a trainee's report is returned.</t>
        </is>
      </c>
      <c r="H87" s="165" t="inlineStr">
        <is>
          <t>WATCH FOR — how your supervisor's reports are structured. Look for a section headed something like 'integration', 'summary of findings' or 'profile', and see whether it is organised by instrument or by question.
WRITE DOWN — the headings of three of their reports, and one integration paragraph you think works, with why.
ASK AFTERWARDS — 'when you write the summary, do you start from the tests or from the referral question?'</t>
        </is>
      </c>
      <c r="I87" s="165" t="inlineStr">
        <is>
          <t>YOU TAKE — drafting the integration section for a case your supervisor is leading, organised by referral question or by domain, with each claim tied to named evidence.
THEY HOLD — the overall conclusions and the final draft that goes to the family.
WHY THAT SPLIT — drafting integration is where you find out whether you understood the case. Your supervisor carries the conclusions, so an early draft that gets it wrong costs nothing.</t>
        </is>
      </c>
      <c r="J87" s="165" t="inlineStr">
        <is>
          <t>YOU RUN IT — write the integration section for your own case and bring it to supervision before the recommendations are written.
WHAT THEY ARE WATCHING FOR — a list with joining words. 'The WISC showed X. The teacher reported Y. Observation found Z.' is still a list.
STEPPING IN LOOKS LIKE — 'read me the first sentence of each paragraph. Does it make a claim, or name a test?'</t>
        </is>
      </c>
      <c r="K87" s="207" t="inlineStr">
        <is>
          <t>YOU DO IT ALONE — write an integration section where each paragraph opens with a claim about the child, then gives the evidence from several sources, then says what it means for the referral question.
PASS TEST — The reader is not left to do the synthesis
EVIDENCE TO FILE — the report. Name this section in your Appendix 5 entry. Log against 1. Assessment.
WHAT FAILURE LOOKS LIKE — recommendations that do not follow from anything the integration section said, because the integration section did not say anything.</t>
        </is>
      </c>
      <c r="L87" s="165" t="inlineStr">
        <is>
          <t>YOU CAN TEACH IT — you can show a peer how to rewrite a test-by-test summary into claim-first paragraphs, and explain why this is what makes recommendations defensible.
WHEN IT GOES WRONG — you can say what to do when the findings genuinely do not integrate: say so, name the competing readings, and state what further evidence would decide between them.</t>
        </is>
      </c>
      <c r="M87" s="224" t="inlineStr">
        <is>
          <t>Repeating every score again in the summary instead of saying what the scores mean together.</t>
        </is>
      </c>
      <c r="N87" s="165" t="inlineStr">
        <is>
          <t>→ Feeds into 'Ask whether the profile answers the referral question', into Formulation, and into recommendations the school can act on.</t>
        </is>
      </c>
      <c r="O87" s="225" t="inlineStr">
        <is>
          <t>Not started</t>
        </is>
      </c>
      <c r="P87" s="165" t="inlineStr">
        <is>
          <t>WATCH FOR — how your supervisor's reports are structured. Look for a section headed something like 'integration', 'summary of findings' or 'profile', and see whether it is organised by instrument or by question.</t>
        </is>
      </c>
      <c r="Q87" s="139" t="inlineStr">
        <is>
          <t>Year 1</t>
        </is>
      </c>
      <c r="R87" s="226" t="inlineStr">
        <is>
          <t>26/10/2026</t>
        </is>
      </c>
      <c r="S87" s="226" t="inlineStr">
        <is>
          <t>16/11/2026</t>
        </is>
      </c>
      <c r="T87" s="226" t="inlineStr">
        <is>
          <t>14/12/2026</t>
        </is>
      </c>
      <c r="U87" s="139" t="inlineStr">
        <is>
          <t>Report — integration section · Appendix 5 · Log sheet tagged 1. Assessment</t>
        </is>
      </c>
    </row>
    <row r="88" outlineLevel="2" ht="120" customHeight="1" s="128">
      <c r="A88" s="139" t="inlineStr">
        <is>
          <t>MICRO-SKILL</t>
        </is>
      </c>
      <c r="B88" s="139" t="inlineStr">
        <is>
          <t>1. Assessment</t>
        </is>
      </c>
      <c r="C88" s="139" t="inlineStr">
        <is>
          <t>Synthesise findings from multiple sources into one profile</t>
        </is>
      </c>
      <c r="D88" s="139" t="inlineStr">
        <is>
          <t>Block 2 · Writing the synthesis</t>
        </is>
      </c>
      <c r="E88" s="223" t="inlineStr">
        <is>
          <t>Ask whether the profile answers the referral question</t>
        </is>
      </c>
      <c r="F88" s="139" t="inlineStr">
        <is>
          <t>CORU SoP 3.4</t>
        </is>
      </c>
      <c r="G88" s="227" t="inlineStr">
        <is>
          <t>The referral question is the contract. Schools and parents asked something specific, and a thorough report that answers a different question has failed them, however good the psychometrics. It is easy to drift: the assessment finds something interesting and the report follows it. The check is simple and often skipped — reread the question, reread your conclusion, and see whether one answers the other.</t>
        </is>
      </c>
      <c r="H88" s="165" t="inlineStr">
        <is>
          <t>WATCH FOR — whether your supervisor goes back to the referral form before finalising a report. Some print it and set it beside the draft.
WRITE DOWN — the referral question in the referrer's own words, and the one-sentence answer your supervisor's report gives to it.
ASK AFTERWARDS — 'has a report of yours ever answered a different question from the one that was asked? What happened?'</t>
        </is>
      </c>
      <c r="I88" s="165" t="inlineStr">
        <is>
          <t>YOU TAKE — writing the referral question at the top of the draft in the referrer's words, and a one-line answer to it underneath, before anything else is written.
THEY HOLD — whether the question itself needs to be renegotiated with the school or parent.
WHY THAT SPLIT — checking the fit is a habit you can build straight away. Going back to a referrer to say the question has changed is a consultation decision.</t>
        </is>
      </c>
      <c r="J88" s="165" t="inlineStr">
        <is>
          <t>YOU RUN IT — at the end of your draft, state aloud in supervision: the question asked, your answer, and which section of the report carries it.
WHAT THEY ARE WATCHING FOR — an answer that is technically there but buried, or an answer to the question you would have preferred they asked.
STEPPING IN LOOKS LIKE — 'if the principal read only your summary, would they know the answer to what they asked?'</t>
        </is>
      </c>
      <c r="K88" s="207" t="inlineStr">
        <is>
          <t>YOU DO IT ALONE — before sending any report, check it against the referral question and fix it if it does not answer it. If it cannot answer it, say why in the report.
PASS TEST — You noticed if it did not
EVIDENCE TO FILE — the report, with the referral question stated at the start and answered in the summary. Note in the Log if the question was renegotiated. Log against 1. Assessment.
WHAT FAILURE LOOKS LIKE — the school rings to ask what the report means for their question.</t>
        </is>
      </c>
      <c r="L88" s="165" t="inlineStr">
        <is>
          <t>YOU CAN TEACH IT — you can explain to a peer how referral questions drift during an assessment, and show the simple check: question, answer, location in the report.
WHEN IT GOES WRONG — you can say what to do when the assessment shows the original question was the wrong one: answer it anyway, then say plainly what you think the more useful question is and why.</t>
        </is>
      </c>
      <c r="M88" s="224" t="inlineStr">
        <is>
          <t>Sending a report that is thorough on cognition when the school asked about behaviour in the yard.</t>
        </is>
      </c>
      <c r="N88" s="165" t="inlineStr">
        <is>
          <t>→ Feeds into recommendations, into Working with Others — agreeing the question at the start — and into Formulation.</t>
        </is>
      </c>
      <c r="O88" s="225" t="inlineStr">
        <is>
          <t>Not started</t>
        </is>
      </c>
      <c r="P88" s="165" t="inlineStr">
        <is>
          <t>WATCH FOR — whether your supervisor goes back to the referral form before finalising a report. Some print it and set it beside the draft.</t>
        </is>
      </c>
      <c r="Q88" s="139" t="inlineStr">
        <is>
          <t>Year 1</t>
        </is>
      </c>
      <c r="R88" s="226" t="inlineStr">
        <is>
          <t>26/10/2026</t>
        </is>
      </c>
      <c r="S88" s="226" t="inlineStr">
        <is>
          <t>16/11/2026</t>
        </is>
      </c>
      <c r="T88" s="226" t="inlineStr">
        <is>
          <t>14/12/2026</t>
        </is>
      </c>
      <c r="U88" s="139" t="inlineStr">
        <is>
          <t>Report — reason for referral and summary · Appendix 5 · Log sheet tagged 1. Assessment</t>
        </is>
      </c>
    </row>
    <row r="89" outlineLevel="2" ht="120" customHeight="1" s="128">
      <c r="A89" s="139" t="inlineStr">
        <is>
          <t>MICRO-SKILL</t>
        </is>
      </c>
      <c r="B89" s="139" t="inlineStr">
        <is>
          <t>1. Assessment</t>
        </is>
      </c>
      <c r="C89" s="139" t="inlineStr">
        <is>
          <t>Synthesise findings from multiple sources into one profile</t>
        </is>
      </c>
      <c r="D89" s="139" t="inlineStr">
        <is>
          <t>Block 2 · Writing the synthesis</t>
        </is>
      </c>
      <c r="E89" s="223" t="inlineStr">
        <is>
          <t>State what you did not assess and what that limits</t>
        </is>
      </c>
      <c r="F89" s="139" t="inlineStr">
        <is>
          <t>CORU SoP 1.2 · PSI Code 2.3.1</t>
        </is>
      </c>
      <c r="G89" s="227" t="inlineStr">
        <is>
          <t>Every assessment is partial. A report that does not say what was left out invites the reader to assume it was covered — that language was fine because it was not mentioned, or that mood was screened because anxiety was not reported. Stating the limits of your competence and your evidence is a professional obligation (CORU SoP 1.2; PSI Code 2.3.1). Missing limitations are what an external examiner or a complaint will find first.</t>
        </is>
      </c>
      <c r="H89" s="165" t="inlineStr">
        <is>
          <t>WATCH FOR — where in your supervisor's reports the limitations appear, and how they are worded. Some write a short paragraph; some fold them into each section.
WRITE DOWN — every domain relevant to the referral that was not directly assessed in the case, and whether the report says so.
ASK AFTERWARDS — 'how do you decide what goes in the limitations without making the report sound like it achieved nothing?'</t>
        </is>
      </c>
      <c r="I89" s="165" t="inlineStr">
        <is>
          <t>YOU TAKE — drafting the limitations paragraph: what was not assessed, why (time, consent, scope, a test not available, the child's state on the day), and what that means for the conclusions.
THEY HOLD — the decision about whether a gap is serious enough to change the conclusions or require an onward referral.
WHY THAT SPLIT — listing gaps is straightforward. Judging whether a gap undermines the conclusion needs experience of what those gaps usually hide.</t>
        </is>
      </c>
      <c r="J89" s="165" t="inlineStr">
        <is>
          <t>YOU RUN IT — write the limitations yourself and discuss in supervision which of them affect the conclusions directly.
WHAT THEY ARE WATCHING FOR — a boilerplate paragraph ('results should be interpreted with caution') that could go in any report and tells the reader nothing about this one.
STEPPING IN LOOKS LIKE — 'caution about what, exactly? Which conclusion would change if you had assessed that?'</t>
        </is>
      </c>
      <c r="K89" s="207" t="inlineStr">
        <is>
          <t>YOU DO IT ALONE — every report you write has a specific limitations paragraph naming what was not assessed and which conclusion that affects.
PASS TEST — A limitations paragraph exists
EVIDENCE TO FILE — the limitations paragraph in the report. Log against 1. Assessment and 6. Ethical Practice.
WHAT FAILURE LOOKS LIKE — no limitations paragraph, or a generic one, so the school acts on a conclusion the evidence does not carry.</t>
        </is>
      </c>
      <c r="L89" s="165" t="inlineStr">
        <is>
          <t>YOU CAN TEACH IT — you can explain why a limitations paragraph protects the child, the reader and you, and show how to make one specific: name the gap, the reason, and the conclusion it qualifies.
WHEN IT GOES WRONG — you can say what to do when a gap you did not report turns out to matter later: acknowledge it in writing, correct the record, and tell your supervisor before the family hears it from someone else.</t>
        </is>
      </c>
      <c r="M89" s="224" t="inlineStr">
        <is>
          <t>A generic 'interpret with caution' line that names no gap and qualifies no conclusion.</t>
        </is>
      </c>
      <c r="N89" s="165" t="inlineStr">
        <is>
          <t>→ Feeds into Ethical Practice — working within competence — and into onward referral decisions.</t>
        </is>
      </c>
      <c r="O89" s="225" t="inlineStr">
        <is>
          <t>Not started</t>
        </is>
      </c>
      <c r="P89" s="165" t="inlineStr">
        <is>
          <t>WATCH FOR — where in your supervisor's reports the limitations appear, and how they are worded. Some write a short paragraph; some fold them into each section.</t>
        </is>
      </c>
      <c r="Q89" s="139" t="inlineStr">
        <is>
          <t>Year 1</t>
        </is>
      </c>
      <c r="R89" s="226" t="inlineStr">
        <is>
          <t>26/10/2026</t>
        </is>
      </c>
      <c r="S89" s="226" t="inlineStr">
        <is>
          <t>16/11/2026</t>
        </is>
      </c>
      <c r="T89" s="226" t="inlineStr">
        <is>
          <t>14/12/2026</t>
        </is>
      </c>
      <c r="U89" s="139" t="inlineStr">
        <is>
          <t>Report — limitations · Appendix 5 · Log sheet tagged 1. Assessment and 6. Ethical Practice</t>
        </is>
      </c>
    </row>
    <row r="90" outlineLevel="2" ht="19.5" customHeight="1" s="128">
      <c r="A90" s="219" t="inlineStr">
        <is>
          <t>MACRO SKILL</t>
        </is>
      </c>
      <c r="B90" s="219" t="inlineStr">
        <is>
          <t>1. Assessment</t>
        </is>
      </c>
      <c r="C90" s="219" t="inlineStr">
        <is>
          <t>Phonological and literacy measures</t>
        </is>
      </c>
      <c r="D90" s="219" t="n"/>
      <c r="E90" s="219" t="inlineStr">
        <is>
          <t>3 blocks · 7 micro-skills</t>
        </is>
      </c>
      <c r="F90" s="219" t="inlineStr">
        <is>
          <t>CORU 3.3 · 5.28 · 5.32</t>
        </is>
      </c>
      <c r="G90" s="219" t="n"/>
      <c r="H90" s="219" t="n"/>
      <c r="I90" s="219" t="n"/>
      <c r="J90" s="219" t="n"/>
      <c r="K90" s="219" t="n"/>
      <c r="L90" s="219" t="n"/>
      <c r="M90" s="219" t="n"/>
      <c r="N90" s="219" t="n"/>
      <c r="O90" s="219" t="n"/>
      <c r="P90" s="219" t="n"/>
      <c r="Q90" s="219" t="inlineStr">
        <is>
          <t>Year 1</t>
        </is>
      </c>
      <c r="R90" s="219" t="n"/>
      <c r="S90" s="219" t="n"/>
      <c r="T90" s="219" t="n"/>
      <c r="U90" s="219" t="n"/>
    </row>
    <row r="91" outlineLevel="2" ht="43.5" customHeight="1" s="128">
      <c r="A91" s="220" t="inlineStr">
        <is>
          <t>BLOCK</t>
        </is>
      </c>
      <c r="B91" s="220" t="inlineStr">
        <is>
          <t>1. Assessment</t>
        </is>
      </c>
      <c r="C91" s="220" t="inlineStr">
        <is>
          <t>Phonological and literacy measures</t>
        </is>
      </c>
      <c r="D91" s="221" t="inlineStr">
        <is>
          <t>Block 1 · The reading model underneath</t>
        </is>
      </c>
      <c r="E91" s="222" t="inlineStr">
        <is>
          <t>The simple view of reading, the phonological deficit hypothesis, and what a dyslexia profile actually looks like.</t>
        </is>
      </c>
      <c r="F91" s="220" t="inlineStr">
        <is>
          <t>4–5 hours, once · Weeks 1–2</t>
        </is>
      </c>
      <c r="G91" s="220" t="n"/>
      <c r="H91" s="220" t="n"/>
      <c r="I91" s="220" t="n"/>
      <c r="J91" s="220" t="n"/>
      <c r="K91" s="220" t="n"/>
      <c r="L91" s="220" t="n"/>
      <c r="M91" s="222" t="n"/>
      <c r="N91" s="220" t="n"/>
      <c r="O91" s="220" t="n"/>
      <c r="P91" s="220" t="inlineStr">
        <is>
          <t>How you build it: One chapter on reading development plus one on dyslexia. Write a half-page summary of each.</t>
        </is>
      </c>
      <c r="Q91" s="220" t="n"/>
      <c r="R91" s="220" t="n"/>
      <c r="S91" s="220" t="n"/>
      <c r="T91" s="220" t="n"/>
      <c r="U91" s="220" t="n"/>
    </row>
    <row r="92" outlineLevel="2" ht="120" customHeight="1" s="128">
      <c r="A92" s="139" t="inlineStr">
        <is>
          <t>MICRO-SKILL</t>
        </is>
      </c>
      <c r="B92" s="139" t="inlineStr">
        <is>
          <t>1. Assessment</t>
        </is>
      </c>
      <c r="C92" s="139" t="inlineStr">
        <is>
          <t>Phonological and literacy measures</t>
        </is>
      </c>
      <c r="D92" s="139" t="inlineStr">
        <is>
          <t>Block 1 · The reading model underneath</t>
        </is>
      </c>
      <c r="E92" s="223" t="inlineStr">
        <is>
          <t>Explain why phonological awareness matters for reading</t>
        </is>
      </c>
      <c r="F92" s="139" t="inlineStr">
        <is>
          <t>CORU SoP 5.12</t>
        </is>
      </c>
      <c r="G92" s="227" t="inlineStr">
        <is>
          <t>Teachers will ask why you tested sound games when the concern was reading. The answer is the core of the literacy evidence base. The Simple View of Reading splits reading into decoding and language comprehension (Gough &amp; Tunmer, Remedial and Special Education, 1986). Phonological processing difficulty is the best-supported account of why decoding fails (the 'phonological core' view — Stanovich, Journal of Learning Disabilities, 1988). If you cannot explain this plainly, the recommendations that follow will not be implemented.</t>
        </is>
      </c>
      <c r="H92" s="165" t="inlineStr">
        <is>
          <t>WATCH FOR — how your supervisor explains phonological awareness to a teacher or parent. Note the example they use; most use rhyme, syllables and a spoken word broken into sounds.
WRITE DOWN — the explanation in their words, and any question the listener asked that showed confusion.
ASK AFTERWARDS — 'how do you explain the difference between phonological awareness and phonics to a teacher who uses the words interchangeably?'</t>
        </is>
      </c>
      <c r="I92" s="165" t="inlineStr">
        <is>
          <t>YOU TAKE — the explanation of phonological awareness in a feedback meeting, prepared in advance and kept to two minutes.
THEY HOLD — linking it to this child's scores and to what the school should do.
WHY THAT SPLIT — the general explanation can be rehearsed and is low-risk. Tying it to a named child's results carries the interpretation, which your supervisor still owns at this stage.</t>
        </is>
      </c>
      <c r="J92" s="165" t="inlineStr">
        <is>
          <t>YOU RUN IT — explain phonological awareness and its link to this child's reading in a feedback meeting, with your supervisor present.
WHAT THEY ARE WATCHING FOR — jargon ('phonemic segmentation deficit') and overclaiming, such as implying phonological difficulty is the whole story when comprehension or vocabulary are also weak.
STEPPING IN LOOKS LIKE — a supervisor asking, in the meeting, 'could you give an example of what that looks like in class?'</t>
        </is>
      </c>
      <c r="K92" s="207" t="inlineStr">
        <is>
          <t>YOU DO IT ALONE — explain it to a teacher or parent in plain language, with one example drawn from this child's work, and check that they understood.
PASS TEST — You can explain it to a teacher without notes
EVIDENCE TO FILE — a case note of the feedback meeting. Log against 1. Assessment and 5. Working with Others.
WHAT FAILURE LOOKS LIKE — the teacher leaves thinking the answer is more phonics worksheets, or thinking the child cannot learn to read.</t>
        </is>
      </c>
      <c r="L92" s="165" t="inlineStr">
        <is>
          <t>YOU CAN TEACH IT — you can explain the Simple View of Reading, why decoding and comprehension can fail separately, and where phonological awareness sits — citing sources, not from memory of a lecture.
WHEN IT GOES WRONG — you can say what to do when a teacher disagrees ('he knows all his sounds'): separate knowing letter–sound links from being able to manipulate sounds in spoken words, and show the difference with a quick oral example.</t>
        </is>
      </c>
      <c r="M92" s="224" t="inlineStr">
        <is>
          <t>Explaining phonological awareness with the child's scores instead of with an example the teacher will recognise in class.</t>
        </is>
      </c>
      <c r="N92" s="165" t="inlineStr">
        <is>
          <t>→ Feeds into 'Distinguish a specific difficulty from a general one', 'Interpret a phonological profile in context', and 'Link the profile to what the school can deliver'.</t>
        </is>
      </c>
      <c r="O92" s="225" t="inlineStr">
        <is>
          <t>Not started</t>
        </is>
      </c>
      <c r="P92" s="165" t="inlineStr">
        <is>
          <t>WATCH FOR — how your supervisor explains phonological awareness to a teacher or parent. Note the example they use; most use rhyme, syllables and a spoken word broken into sounds.</t>
        </is>
      </c>
      <c r="Q92" s="139" t="inlineStr">
        <is>
          <t>Year 1</t>
        </is>
      </c>
      <c r="R92" s="226" t="inlineStr">
        <is>
          <t>26/10/2026</t>
        </is>
      </c>
      <c r="S92" s="226" t="inlineStr">
        <is>
          <t>16/11/2026</t>
        </is>
      </c>
      <c r="T92" s="226" t="inlineStr">
        <is>
          <t>14/12/2026</t>
        </is>
      </c>
      <c r="U92" s="139" t="inlineStr">
        <is>
          <t>Case note of feedback meeting · Appendix 5 · Log sheet tagged 1. Assessment and 5. Working with Others</t>
        </is>
      </c>
    </row>
    <row r="93" outlineLevel="2" ht="120" customHeight="1" s="128">
      <c r="A93" s="139" t="inlineStr">
        <is>
          <t>MICRO-SKILL</t>
        </is>
      </c>
      <c r="B93" s="139" t="inlineStr">
        <is>
          <t>1. Assessment</t>
        </is>
      </c>
      <c r="C93" s="139" t="inlineStr">
        <is>
          <t>Phonological and literacy measures</t>
        </is>
      </c>
      <c r="D93" s="139" t="inlineStr">
        <is>
          <t>Block 1 · The reading model underneath</t>
        </is>
      </c>
      <c r="E93" s="223" t="inlineStr">
        <is>
          <t>Distinguish a specific difficulty from a general one</t>
        </is>
      </c>
      <c r="F93" s="139" t="inlineStr">
        <is>
          <t>CORU SoP 3.4 · 5.17</t>
        </is>
      </c>
      <c r="G93" s="227" t="inlineStr">
        <is>
          <t>A child with weak reading and weak general language or reasoning needs different support from a child whose reading difficulty stands apart from otherwise typical abilities. Current definitions of dyslexia treat it as a continuum and do not rely on an IQ–achievement discrepancy (Rose, Identifying and Teaching Children and Young People with Dyslexia and Literacy Difficulties, 2009). But you still have to know the broader profile — especially oral language — before calling the difficulty specific. Skip that and the recommendation targets the wrong thing.</t>
        </is>
      </c>
      <c r="H93" s="165" t="inlineStr">
        <is>
          <t>WATCH FOR — which information your supervisor looks at before saying a literacy difficulty is 'specific': cognitive scores, oral language, attendance, teaching history, vision and hearing.
WRITE DOWN — the checks they made and any they said were missing.
ASK AFTERWARDS — 'what would make you say this is a general learning difficulty showing up in reading, rather than a reading difficulty?'</t>
        </is>
      </c>
      <c r="I93" s="165" t="inlineStr">
        <is>
          <t>YOU TAKE — gathering the wider profile: cognitive or language scores, school history, attendance, sensory screening, and whether the child has had adequate teaching.
THEY HOLD — the conclusion about whether the difficulty is specific, and how it is worded.
WHY THAT SPLIT — collecting the context teaches you what the question depends on. The label, or the absence of one, is what the family and school will act on.</t>
        </is>
      </c>
      <c r="J93" s="165" t="inlineStr">
        <is>
          <t>YOU RUN IT — present your view in supervision: specific, general, or unclear, and the evidence for each.
WHAT THEY ARE WATCHING FOR — jumping from low phonological scores to 'dyslexic profile' without checking oral language comprehension or response to teaching.
STEPPING IN LOOKS LIKE — 'what's their receptive language like? And how long have they had structured literacy teaching?'</t>
        </is>
      </c>
      <c r="K93" s="207" t="inlineStr">
        <is>
          <t>YOU DO IT ALONE — check the broader profile before concluding, and state in the report what that check found.
PASS TEST — You check the cognitive profile before concluding
EVIDENCE TO FILE — the interpretation section of the report, with the broader profile referenced. Log against 1. Assessment.
WHAT FAILURE LOOKS LIKE — a report naming a specific literacy difficulty for a child whose oral language is as weak as their reading, so the language need goes unaddressed.</t>
        </is>
      </c>
      <c r="L93" s="165" t="inlineStr">
        <is>
          <t>YOU CAN TEACH IT — you can explain to a peer why discrepancy definitions were abandoned, what replaced them, and why the wider profile still matters — citing Rose (2009) and your service's own criteria.
WHEN IT GOES WRONG — you can say what to do when the profile is mixed: describe both needs, say which is primary for the referral question, and avoid a label the evidence does not support.</t>
        </is>
      </c>
      <c r="M93" s="224" t="inlineStr">
        <is>
          <t>Concluding 'specific' from low phonological scores alone, without checking oral language or teaching history.</t>
        </is>
      </c>
      <c r="N93" s="165" t="inlineStr">
        <is>
          <t>→ Feeds into 'Interpret a phonological profile in context', into Formulation, and into Conditions — DLD and literacy difficulty.</t>
        </is>
      </c>
      <c r="O93" s="225" t="inlineStr">
        <is>
          <t>Not started</t>
        </is>
      </c>
      <c r="P93" s="165" t="inlineStr">
        <is>
          <t>WATCH FOR — which information your supervisor looks at before saying a literacy difficulty is 'specific': cognitive scores, oral language, attendance, teaching history, vision and hearing.</t>
        </is>
      </c>
      <c r="Q93" s="139" t="inlineStr">
        <is>
          <t>Year 1</t>
        </is>
      </c>
      <c r="R93" s="226" t="inlineStr">
        <is>
          <t>26/10/2026</t>
        </is>
      </c>
      <c r="S93" s="226" t="inlineStr">
        <is>
          <t>16/11/2026</t>
        </is>
      </c>
      <c r="T93" s="226" t="inlineStr">
        <is>
          <t>14/12/2026</t>
        </is>
      </c>
      <c r="U93" s="139" t="inlineStr">
        <is>
          <t>Report — interpretation · Appendix 5 · Log sheet tagged 1. Assessment</t>
        </is>
      </c>
    </row>
    <row r="94" outlineLevel="2" ht="43.5" customHeight="1" s="128">
      <c r="A94" s="220" t="inlineStr">
        <is>
          <t>BLOCK</t>
        </is>
      </c>
      <c r="B94" s="220" t="inlineStr">
        <is>
          <t>1. Assessment</t>
        </is>
      </c>
      <c r="C94" s="220" t="inlineStr">
        <is>
          <t>Phonological and literacy measures</t>
        </is>
      </c>
      <c r="D94" s="221" t="inlineStr">
        <is>
          <t>Block 2 · Administering the battery</t>
        </is>
      </c>
      <c r="E94" s="222" t="inlineStr">
        <is>
          <t>CTOPP-2 or equivalent — timing, error recording, scoring the composites.</t>
        </is>
      </c>
      <c r="F94" s="220" t="inlineStr">
        <is>
          <t>5–6 hours · Weeks 3–6</t>
        </is>
      </c>
      <c r="G94" s="220" t="n"/>
      <c r="H94" s="220" t="n"/>
      <c r="I94" s="220" t="n"/>
      <c r="J94" s="220" t="n"/>
      <c r="K94" s="220" t="n"/>
      <c r="L94" s="220" t="n"/>
      <c r="M94" s="222" t="n"/>
      <c r="N94" s="220" t="n"/>
      <c r="O94" s="220" t="n"/>
      <c r="P94" s="220" t="inlineStr">
        <is>
          <t>How you build it: Two supervised practice administrations, then score both by hand.</t>
        </is>
      </c>
      <c r="Q94" s="220" t="n"/>
      <c r="R94" s="220" t="n"/>
      <c r="S94" s="220" t="n"/>
      <c r="T94" s="220" t="n"/>
      <c r="U94" s="220" t="n"/>
    </row>
    <row r="95" outlineLevel="2" ht="120" customHeight="1" s="128">
      <c r="A95" s="139" t="inlineStr">
        <is>
          <t>MICRO-SKILL</t>
        </is>
      </c>
      <c r="B95" s="139" t="inlineStr">
        <is>
          <t>1. Assessment</t>
        </is>
      </c>
      <c r="C95" s="139" t="inlineStr">
        <is>
          <t>Phonological and literacy measures</t>
        </is>
      </c>
      <c r="D95" s="139" t="inlineStr">
        <is>
          <t>Block 2 · Administering the battery</t>
        </is>
      </c>
      <c r="E95" s="223" t="inlineStr">
        <is>
          <t>Administer phonological awareness subtests to standard</t>
        </is>
      </c>
      <c r="F95" s="139" t="inlineStr">
        <is>
          <t>CORU SoP 5.6</t>
        </is>
      </c>
      <c r="G95" s="227" t="inlineStr">
        <is>
          <t>Phonological tasks are presented orally, so the stimulus is your voice. Speak too slowly, stress the wrong sound or repeat an item not allowed to be repeated, and the score reflects your delivery, not the child's skill. Many batteries use recorded audio for some tasks for this reason: CTOPP-2 (Wagner, Torgesen, Rashotte &amp; Pearson, 2013) supplies audio for some subtests. Check your edition's manual for which ones. An inaccurate administration cannot be rescued at scoring.</t>
        </is>
      </c>
      <c r="H95" s="165" t="inlineStr">
        <is>
          <t>WATCH FOR — how your supervisor delivers oral items: pace, whether they use the audio where the manual requires it, how they handle a request to repeat, and what they do after a discontinue.
WRITE DOWN — the subtests used, the start points, repeat rules and discontinue rules, checked against the manual afterwards.
ASK AFTERWARDS — 'what's the easiest way to spoil an elision item without noticing?'</t>
        </is>
      </c>
      <c r="I95" s="165" t="inlineStr">
        <is>
          <t>YOU TAKE — administering one phonological subtest while your supervisor watches, having practised it aloud at least twice beforehand.
THEY HOLD — the rest of the battery and the decision about whether your administration was valid enough to score.
WHY THAT SPLIT — oral delivery is a motor skill that needs practice under observation. Whether a spoiled item invalidates the subtest is a judgement you have not yet seen enough to make.</t>
        </is>
      </c>
      <c r="J95" s="165" t="inlineStr">
        <is>
          <t>YOU RUN IT — administer the full phonological battery with your supervisor present.
WHAT THEY ARE WATCHING FOR — adding sounds (saying 'buh' for /b/), unscripted feedback, repeating items the manual says cannot be repeated, and losing track of the discontinue rule.
STEPPING IN LOOKS LIKE — a quiet note to check the discontinue rule, or taking over for one item and handing back.</t>
        </is>
      </c>
      <c r="K95" s="207" t="inlineStr">
        <is>
          <t>YOU DO IT ALONE — administer the battery to manual standard, with the audio where required, correct start points and discontinues, and responses recorded as you go.
PASS TEST — Administration is fluent and timing accurate
EVIDENCE TO FILE — the completed record form. Log against 1. Assessment and Table 3 tools.
WHAT FAILURE LOOKS LIKE — a discontinued subtest continued, or items repeated against the rules, so the scaled score cannot be interpreted.</t>
        </is>
      </c>
      <c r="L95" s="165" t="inlineStr">
        <is>
          <t>YOU CAN TEACH IT — you can demonstrate clean phoneme production (no added schwa), explain the start, repeat and discontinue rules from memory, and explain why each rule exists.
WHEN IT GOES WRONG — you can say what to do when you realise mid-battery you broke a rule: note it on the form at that point, decide with the manual whether the subtest is still scoreable, and report the problem if it is not.</t>
        </is>
      </c>
      <c r="M95" s="224" t="inlineStr">
        <is>
          <t>Adding a vowel to isolated consonants ('buh' for /b/), which changes the task the child is doing.</t>
        </is>
      </c>
      <c r="N95" s="165" t="inlineStr">
        <is>
          <t>→ Feeds into 'Score the phonological composites correctly' and 'Interpret a phonological profile in context'.</t>
        </is>
      </c>
      <c r="O95" s="225" t="inlineStr">
        <is>
          <t>Not started</t>
        </is>
      </c>
      <c r="P95" s="165" t="inlineStr">
        <is>
          <t>WATCH FOR — how your supervisor delivers oral items: pace, whether they use the audio where the manual requires it, how they handle a request to repeat, and what they do after a discontinue.</t>
        </is>
      </c>
      <c r="Q95" s="139" t="inlineStr">
        <is>
          <t>Year 1</t>
        </is>
      </c>
      <c r="R95" s="226" t="inlineStr">
        <is>
          <t>26/10/2026</t>
        </is>
      </c>
      <c r="S95" s="226" t="inlineStr">
        <is>
          <t>16/11/2026</t>
        </is>
      </c>
      <c r="T95" s="226" t="inlineStr">
        <is>
          <t>14/12/2026</t>
        </is>
      </c>
      <c r="U95" s="139" t="inlineStr">
        <is>
          <t>Completed protocol · Appendix 7 if observed · Log sheet tagged 1. Assessment</t>
        </is>
      </c>
    </row>
    <row r="96" outlineLevel="2" ht="120" customHeight="1" s="128">
      <c r="A96" s="139" t="inlineStr">
        <is>
          <t>MICRO-SKILL</t>
        </is>
      </c>
      <c r="B96" s="139" t="inlineStr">
        <is>
          <t>1. Assessment</t>
        </is>
      </c>
      <c r="C96" s="139" t="inlineStr">
        <is>
          <t>Phonological and literacy measures</t>
        </is>
      </c>
      <c r="D96" s="139" t="inlineStr">
        <is>
          <t>Block 2 · Administering the battery</t>
        </is>
      </c>
      <c r="E96" s="223" t="inlineStr">
        <is>
          <t>Administer rapid naming tasks accurately</t>
        </is>
      </c>
      <c r="F96" s="139" t="inlineStr">
        <is>
          <t>CORU SoP 5.6</t>
        </is>
      </c>
      <c r="G96" s="227" t="inlineStr">
        <is>
          <t>Rapid automatised naming (RAN) — naming arrays of digits, letters, colours or objects as fast as possible — predicts reading fluency partly independently of phonological awareness. This is the basis of the double-deficit hypothesis (Wolf &amp; Bowers, Journal of Educational Psychology, 1999). The score is a time, often adjusted for errors, so a stopwatch started late or an error not recorded changes the result directly.</t>
        </is>
      </c>
      <c r="H96" s="165" t="inlineStr">
        <is>
          <t>WATCH FOR — exactly when your supervisor starts and stops the timer, how they record errors and self-corrections, and whether they use the practice items as the manual requires.
WRITE DOWN — the timing rule (when the clock starts and stops), how errors are counted, and whether the test has an error cut-off that invalidates a trial.
ASK AFTERWARDS — 'what do you do if a child loses their place on the array?'</t>
        </is>
      </c>
      <c r="I96" s="165" t="inlineStr">
        <is>
          <t>YOU TAKE — timing and error recording while your supervisor administers, then compare your times with theirs.
THEY HOLD — the administration and the decision on which timing counts if yours differs.
WHY THAT SPLIT — timing reliability is checkable against another person, so it is the right thing to practise first. Administration adds the load of instructions and managing the child.</t>
        </is>
      </c>
      <c r="J96" s="165" t="inlineStr">
        <is>
          <t>YOU RUN IT — administer and time the RAN tasks with your supervisor present, timing in parallel.
WHAT THEY ARE WATCHING FOR — timer starts that lag the child's first response, errors missed because you were watching the clock, and prompts the manual does not allow.
STEPPING IN LOOKS LIKE — comparing the two times afterwards and asking why they differ by more than a second.</t>
        </is>
      </c>
      <c r="K96" s="207" t="inlineStr">
        <is>
          <t>YOU DO IT ALONE — administer, time and record errors to manual standard, and note anything that affected speed (stammer, naming difficulty, losing place).
PASS TEST — You timed and recorded errors correctly
EVIDENCE TO FILE — the completed record form with times and errors. Log against 1. Assessment.
WHAT FAILURE LOOKS LIKE — a time that includes your instructions, or no record of errors, so the score and any error adjustment are wrong.</t>
        </is>
      </c>
      <c r="L96" s="165" t="inlineStr">
        <is>
          <t>YOU CAN TEACH IT — you can explain what RAN measures and does not measure, why it relates to fluency, and how to time it reliably — with the double-deficit literature cited.
WHEN IT GOES WRONG — you can say what to do when the timing is compromised (interruption, timer failure): note it, do not estimate, and check the manual on whether the trial can be re-run.</t>
        </is>
      </c>
      <c r="M96" s="224" t="inlineStr">
        <is>
          <t>Starting the timer on your own instruction rather than on the child's first response, which adds seconds to every trial.</t>
        </is>
      </c>
      <c r="N96" s="165" t="inlineStr">
        <is>
          <t>→ Feeds into 'Score the phonological composites correctly' and 'Interpret a phonological profile in context' — especially fluency-focused recommendations.</t>
        </is>
      </c>
      <c r="O96" s="225" t="inlineStr">
        <is>
          <t>Not started</t>
        </is>
      </c>
      <c r="P96" s="165" t="inlineStr">
        <is>
          <t>WATCH FOR — exactly when your supervisor starts and stops the timer, how they record errors and self-corrections, and whether they use the practice items as the manual requires.</t>
        </is>
      </c>
      <c r="Q96" s="139" t="inlineStr">
        <is>
          <t>Year 1</t>
        </is>
      </c>
      <c r="R96" s="226" t="inlineStr">
        <is>
          <t>26/10/2026</t>
        </is>
      </c>
      <c r="S96" s="226" t="inlineStr">
        <is>
          <t>16/11/2026</t>
        </is>
      </c>
      <c r="T96" s="226" t="inlineStr">
        <is>
          <t>14/12/2026</t>
        </is>
      </c>
      <c r="U96" s="139" t="inlineStr">
        <is>
          <t>Completed protocol with times · Log sheet tagged 1. Assessment</t>
        </is>
      </c>
    </row>
    <row r="97" outlineLevel="2" ht="120" customHeight="1" s="128">
      <c r="A97" s="139" t="inlineStr">
        <is>
          <t>MICRO-SKILL</t>
        </is>
      </c>
      <c r="B97" s="139" t="inlineStr">
        <is>
          <t>1. Assessment</t>
        </is>
      </c>
      <c r="C97" s="139" t="inlineStr">
        <is>
          <t>Phonological and literacy measures</t>
        </is>
      </c>
      <c r="D97" s="139" t="inlineStr">
        <is>
          <t>Block 2 · Administering the battery</t>
        </is>
      </c>
      <c r="E97" s="223" t="inlineStr">
        <is>
          <t>Score the phonological composites correctly</t>
        </is>
      </c>
      <c r="F97" s="139" t="inlineStr">
        <is>
          <t>CORU SoP 5.6</t>
        </is>
      </c>
      <c r="G97" s="227" t="inlineStr">
        <is>
          <t>Composite scores are what reports quote and what schools act on, and they are built from several conversions: raw to scaled for each subtest, scaled summed to a composite, composite to percentile and confidence interval. Each step uses the child's exact age on the day. On CTOPP-2 (Wagner et al., 2013), subtests are scaled scores (mean 10, SD 3) and composites are index scores (mean 100, SD 15). Which subtests feed which composite changes with age band, so check the manual for your edition. One wrong table and the whole profile shifts.</t>
        </is>
      </c>
      <c r="H97" s="165" t="inlineStr">
        <is>
          <t>WATCH FOR — how your supervisor calculates chronological age, which norm table they turn to, and whether they double-check the sum of scaled scores before looking up the composite.
WRITE DOWN — for each composite, which subtests feed it at this child's age, and the table used.
ASK AFTERWARDS — 'which scoring mistake have you seen most often in trainee protocols?'</t>
        </is>
      </c>
      <c r="I97" s="165" t="inlineStr">
        <is>
          <t>YOU TAKE — scoring the protocol independently, from raw scores to composites, before seeing your supervisor's scoring.
THEY HOLD — the authoritative score, and resolving any difference between your scoring and theirs.
WHY THAT SPLIT — independent double-scoring is the fastest way to find your systematic errors. Your supervisor's version stands until you have shown you score accurately.</t>
        </is>
      </c>
      <c r="J97" s="165" t="inlineStr">
        <is>
          <t>YOU RUN IT — score the protocol and the composites yourself; your supervisor checks it before anything is reported.
WHAT THEY ARE WATCHING FOR — age calculated wrongly (especially borrowing months and days), the wrong age-band table, a subtest summed into the wrong composite, and transcription errors from protocol to report.
STEPPING IN LOOKS LIKE — handing it back with 'one of these is wrong — find it.'</t>
        </is>
      </c>
      <c r="K97" s="207" t="inlineStr">
        <is>
          <t>YOU DO IT ALONE — score, then check every step a second time on a different day or with scoring software, and reconcile any difference before reporting.
PASS TEST — Composites calculated and checked
EVIDENCE TO FILE — the scored protocol with your check marked, and the score table in the report. Log against 1. Assessment.
WHAT FAILURE LOOKS LIKE — a composite in the report that does not match the protocol, found by the family's private assessor or at a review.</t>
        </is>
      </c>
      <c r="L97" s="165" t="inlineStr">
        <is>
          <t>YOU CAN TEACH IT — you can walk a peer through age calculation, subtest-to-composite mapping, and confidence intervals, and explain why a composite is more reliable than any single subtest.
WHEN IT GOES WRONG — you can say what to do when you find a scoring error after the report has gone: tell your supervisor, issue a corrected report with the change marked, and tell the family and school what changed and whether the conclusion changes.</t>
        </is>
      </c>
      <c r="M97" s="224" t="inlineStr">
        <is>
          <t>Calculating age without borrowing correctly across months and days, and reading off the wrong norm table.</t>
        </is>
      </c>
      <c r="N97" s="165" t="inlineStr">
        <is>
          <t>→ Feeds into 'Interpret a phonological profile in context' and into the score table and limitations of the report.</t>
        </is>
      </c>
      <c r="O97" s="225" t="inlineStr">
        <is>
          <t>Not started</t>
        </is>
      </c>
      <c r="P97" s="165" t="inlineStr">
        <is>
          <t>WATCH FOR — how your supervisor calculates chronological age, which norm table they turn to, and whether they double-check the sum of scaled scores before looking up the composite.</t>
        </is>
      </c>
      <c r="Q97" s="139" t="inlineStr">
        <is>
          <t>Year 1</t>
        </is>
      </c>
      <c r="R97" s="226" t="inlineStr">
        <is>
          <t>26/10/2026</t>
        </is>
      </c>
      <c r="S97" s="226" t="inlineStr">
        <is>
          <t>16/11/2026</t>
        </is>
      </c>
      <c r="T97" s="226" t="inlineStr">
        <is>
          <t>14/12/2026</t>
        </is>
      </c>
      <c r="U97" s="139" t="inlineStr">
        <is>
          <t>Scored protocol with check · Report — score table · Appendix 5 · Log sheet tagged 1. Assessment</t>
        </is>
      </c>
    </row>
    <row r="98" outlineLevel="2" ht="43.5" customHeight="1" s="128">
      <c r="A98" s="220" t="inlineStr">
        <is>
          <t>BLOCK</t>
        </is>
      </c>
      <c r="B98" s="220" t="inlineStr">
        <is>
          <t>1. Assessment</t>
        </is>
      </c>
      <c r="C98" s="220" t="inlineStr">
        <is>
          <t>Phonological and literacy measures</t>
        </is>
      </c>
      <c r="D98" s="221" t="inlineStr">
        <is>
          <t>Block 3 · Turning a profile into advice</t>
        </is>
      </c>
      <c r="E98" s="222" t="inlineStr">
        <is>
          <t>Linking what the profile shows to an intervention the school can deliver.</t>
        </is>
      </c>
      <c r="F98" s="220" t="inlineStr">
        <is>
          <t>Habit per case · Weeks 7–12</t>
        </is>
      </c>
      <c r="G98" s="220" t="n"/>
      <c r="H98" s="220" t="n"/>
      <c r="I98" s="220" t="n"/>
      <c r="J98" s="220" t="n"/>
      <c r="K98" s="220" t="n"/>
      <c r="L98" s="220" t="n"/>
      <c r="M98" s="222" t="n"/>
      <c r="N98" s="220" t="n"/>
      <c r="O98" s="220" t="n"/>
      <c r="P98" s="220" t="inlineStr">
        <is>
          <t>How you build it: Write the recommendation before you look at the programme list. Then check what is available.</t>
        </is>
      </c>
      <c r="Q98" s="220" t="n"/>
      <c r="R98" s="220" t="n"/>
      <c r="S98" s="220" t="n"/>
      <c r="T98" s="220" t="n"/>
      <c r="U98" s="220" t="n"/>
    </row>
    <row r="99" outlineLevel="2" ht="120" customHeight="1" s="128">
      <c r="A99" s="139" t="inlineStr">
        <is>
          <t>MICRO-SKILL</t>
        </is>
      </c>
      <c r="B99" s="139" t="inlineStr">
        <is>
          <t>1. Assessment</t>
        </is>
      </c>
      <c r="C99" s="139" t="inlineStr">
        <is>
          <t>Phonological and literacy measures</t>
        </is>
      </c>
      <c r="D99" s="139" t="inlineStr">
        <is>
          <t>Block 3 · Turning a profile into advice</t>
        </is>
      </c>
      <c r="E99" s="223" t="inlineStr">
        <is>
          <t>Interpret a phonological profile in context</t>
        </is>
      </c>
      <c r="F99" s="139" t="inlineStr">
        <is>
          <t>CORU SoP 5.32 · PSI Code 2.3.1</t>
        </is>
      </c>
      <c r="G99" s="227" t="inlineStr">
        <is>
          <t>A low phonological composite shows the child did poorly on these tasks, on this day, compared with the norm sample. It does not by itself establish dyslexia, explain every reading problem, or predict what intervention will work. Interpretation means putting the scores beside reading accuracy, fluency, comprehension, oral language, teaching history and the child's own account. Rose (2009) is explicit that dyslexia is best thought of as a continuum and that response to intervention is part of the picture. Overclaim here and the family leaves with a label the evidence does not carry.</t>
        </is>
      </c>
      <c r="H99" s="165" t="inlineStr">
        <is>
          <t>WATCH FOR — the words your supervisor uses when interpreting phonological scores: 'consistent with', 'suggests', 'is characteristic of'. Note what they will not say.
WRITE DOWN — the other evidence they set beside the scores, and any conclusion they chose not to draw.
ASK AFTERWARDS — 'what would you need to see before you'd say this profile shows a dyslexic-type difficulty?'</t>
        </is>
      </c>
      <c r="I99" s="165" t="inlineStr">
        <is>
          <t>YOU TAKE — drafting the interpretation paragraph: what the scores show, which other evidence agrees or disagrees, and the limits.
THEY HOLD — any diagnostic or quasi-diagnostic language, and how the conclusion is framed for the family.
WHY THAT SPLIT — writing interpretation shows your reasoning. Diagnostic language has consequences for school supports and for the child's view of themselves, so it stays with them.</t>
        </is>
      </c>
      <c r="J99" s="165" t="inlineStr">
        <is>
          <t>YOU RUN IT — write the interpretation and present it in supervision, including one sentence on what the profile does not establish.
WHAT THEY ARE WATCHING FOR — reading scores as causes ('because of her phonological deficit') and ignoring evidence of adequate teaching, attendance, or language.
STEPPING IN LOOKS LIKE — 'you've said this explains her reading. What else could explain it?'</t>
        </is>
      </c>
      <c r="K99" s="207" t="inlineStr">
        <is>
          <t>YOU DO IT ALONE — interpret the profile against the wider evidence, and write explicitly what it does and does not establish.
PASS TEST — You can say what it does and does not establish
EVIDENCE TO FILE — the interpretation and limitations sections of the report. Log against 1. Assessment and 6. Ethical Practice.
WHAT FAILURE LOOKS LIKE — 'the results confirm dyslexia' on the basis of one battery, with no reference to the child's response to teaching.</t>
        </is>
      </c>
      <c r="L99" s="165" t="inlineStr">
        <is>
          <t>YOU CAN TEACH IT — you can explain the difference between describing a profile and diagnosing, why phonological scores are one strand of evidence, and how to write both halves: what it shows and what it does not.
WHEN IT GOES WRONG — you can say what to do when a parent wants a label the evidence does not support: explain what the evidence does show, what support follows from it without a label, and what would need to happen for the question to be revisited.</t>
        </is>
      </c>
      <c r="M99" s="224" t="inlineStr">
        <is>
          <t>Writing that the scores 'confirm' a difficulty rather than that they are consistent with it alongside the other evidence.</t>
        </is>
      </c>
      <c r="N99" s="165" t="inlineStr">
        <is>
          <t>→ Feeds into 'Link the profile to what the school can deliver', into Formulation, and into Conditions — literacy difficulty and DLD.</t>
        </is>
      </c>
      <c r="O99" s="225" t="inlineStr">
        <is>
          <t>Not started</t>
        </is>
      </c>
      <c r="P99" s="165" t="inlineStr">
        <is>
          <t>WATCH FOR — the words your supervisor uses when interpreting phonological scores: 'consistent with', 'suggests', 'is characteristic of'. Note what they will not say.</t>
        </is>
      </c>
      <c r="Q99" s="139" t="inlineStr">
        <is>
          <t>Year 1</t>
        </is>
      </c>
      <c r="R99" s="226" t="inlineStr">
        <is>
          <t>26/10/2026</t>
        </is>
      </c>
      <c r="S99" s="226" t="inlineStr">
        <is>
          <t>16/11/2026</t>
        </is>
      </c>
      <c r="T99" s="226" t="inlineStr">
        <is>
          <t>14/12/2026</t>
        </is>
      </c>
      <c r="U99" s="139" t="inlineStr">
        <is>
          <t>Report — interpretation and limitations · Appendix 5 · Log sheet tagged 1. Assessment and 6. Ethical Practice</t>
        </is>
      </c>
    </row>
    <row r="100" outlineLevel="2" ht="120" customHeight="1" s="128">
      <c r="A100" s="139" t="inlineStr">
        <is>
          <t>MICRO-SKILL</t>
        </is>
      </c>
      <c r="B100" s="139" t="inlineStr">
        <is>
          <t>1. Assessment</t>
        </is>
      </c>
      <c r="C100" s="139" t="inlineStr">
        <is>
          <t>Phonological and literacy measures</t>
        </is>
      </c>
      <c r="D100" s="139" t="inlineStr">
        <is>
          <t>Block 3 · Turning a profile into advice</t>
        </is>
      </c>
      <c r="E100" s="223" t="inlineStr">
        <is>
          <t>Link the profile to what the school can deliver</t>
        </is>
      </c>
      <c r="F100" s="139" t="inlineStr">
        <is>
          <t>CORU SoP 5.34</t>
        </is>
      </c>
      <c r="G100" s="227" t="inlineStr">
        <is>
          <t>A recommendation the school cannot deliver is not a recommendation. Irish primary schools allocate special education teaching under the model set out in DES Circular 0013/2017 (post-primary 0014/2017), within the NEPS Continuum of Support. What is possible depends on staffing, timetable and the programmes staff are trained in. Recommendations should follow from the finding — phonological weakness points towards explicit, systematic phonological and phonics teaching — and be specific enough to act on.</t>
        </is>
      </c>
      <c r="H100" s="165" t="inlineStr">
        <is>
          <t>WATCH FOR — how your supervisor finds out what the school already offers before recommending. Listen for questions about the special education team, programmes in use, group sizes and timetabling.
WRITE DOWN — each recommendation in their report, the finding it follows from, and whether it names who, what, how often and for how long.
ASK AFTERWARDS — 'how do you write a recommendation that is honest about what the child needs when the school can't provide all of it?'</t>
        </is>
      </c>
      <c r="I100" s="165" t="inlineStr">
        <is>
          <t>YOU TAKE — drafting the recommendations for the literacy section, each linked in one line to the finding it comes from.
THEY HOLD — the conversation with the school about what is feasible, and the final wording.
WHY THAT SPLIT — linking finding to recommendation is reasoning you can practise. Negotiating provision with a principal involves a relationship and service expectations you do not yet hold.</t>
        </is>
      </c>
      <c r="J100" s="165" t="inlineStr">
        <is>
          <t>YOU RUN IT — ask the school what it can offer, write recommendations that fit, and present them in the feedback meeting with your supervisor there.
WHAT THEY ARE WATCHING FOR — generic recommendations ('multisensory approach', 'extra time') that do not follow from this child's profile, and naming a programme the school does not have or cannot resource.
STEPPING IN LOOKS LIKE — 'which finding does that recommendation come from?'</t>
        </is>
      </c>
      <c r="K100" s="207" t="inlineStr">
        <is>
          <t>YOU DO IT ALONE — write recommendations that each follow from a named finding and that the school has confirmed it can deliver or adapt.
PASS TEST — The recommendation follows from the finding
EVIDENCE TO FILE — the recommendations section and the case note of the school conversation. Log against 1. Assessment, 3. Intervention and 4. Systemic Change.
WHAT FAILURE LOOKS LIKE — ten recommendations copied from a template, none implemented, and a review six months later with nothing changed.</t>
        </is>
      </c>
      <c r="L100" s="165" t="inlineStr">
        <is>
          <t>YOU CAN TEACH IT — you can explain how the Continuum of Support and the allocation model shape what schools can do, and how to write a recommendation that names what, who, how often, for how long and how progress will be measured.
WHEN IT GOES WRONG — you can say what to do when the child needs more than the school can give: state the need honestly, recommend what is feasible now, and say who else should be involved.</t>
        </is>
      </c>
      <c r="M100" s="224" t="inlineStr">
        <is>
          <t>A list of generic literacy recommendations that could have gone in any child's report.</t>
        </is>
      </c>
      <c r="N100" s="165" t="inlineStr">
        <is>
          <t>→ Feeds into Intervention — planning and review — and into Systemic Change, where repeated gaps in school provision become a consultation issue.</t>
        </is>
      </c>
      <c r="O100" s="225" t="inlineStr">
        <is>
          <t>Not started</t>
        </is>
      </c>
      <c r="P100" s="165" t="inlineStr">
        <is>
          <t>WATCH FOR — how your supervisor finds out what the school already offers before recommending. Listen for questions about the special education team, programmes in use, group sizes and timetabling.</t>
        </is>
      </c>
      <c r="Q100" s="139" t="inlineStr">
        <is>
          <t>Year 1</t>
        </is>
      </c>
      <c r="R100" s="226" t="inlineStr">
        <is>
          <t>26/10/2026</t>
        </is>
      </c>
      <c r="S100" s="226" t="inlineStr">
        <is>
          <t>16/11/2026</t>
        </is>
      </c>
      <c r="T100" s="226" t="inlineStr">
        <is>
          <t>14/12/2026</t>
        </is>
      </c>
      <c r="U100" s="139" t="inlineStr">
        <is>
          <t>Report — recommendations · case note · Appendix 5 · Log sheet tagged 1. Assessment and 3. Intervention</t>
        </is>
      </c>
    </row>
    <row r="101" outlineLevel="2" ht="19.5" customHeight="1" s="128">
      <c r="A101" s="219" t="inlineStr">
        <is>
          <t>MACRO SKILL</t>
        </is>
      </c>
      <c r="B101" s="219" t="inlineStr">
        <is>
          <t>1. Assessment</t>
        </is>
      </c>
      <c r="C101" s="219" t="inlineStr">
        <is>
          <t>Social communication screening measures</t>
        </is>
      </c>
      <c r="D101" s="219" t="n"/>
      <c r="E101" s="219" t="inlineStr">
        <is>
          <t>3 blocks · 5 micro-skills</t>
        </is>
      </c>
      <c r="F101" s="219" t="inlineStr">
        <is>
          <t>CORU 5.28 · 1.2 · 5.24</t>
        </is>
      </c>
      <c r="G101" s="219" t="n"/>
      <c r="H101" s="219" t="n"/>
      <c r="I101" s="219" t="n"/>
      <c r="J101" s="219" t="n"/>
      <c r="K101" s="219" t="n"/>
      <c r="L101" s="219" t="n"/>
      <c r="M101" s="219" t="n"/>
      <c r="N101" s="219" t="n"/>
      <c r="O101" s="219" t="n"/>
      <c r="P101" s="219" t="n"/>
      <c r="Q101" s="219" t="inlineStr">
        <is>
          <t>Year 1</t>
        </is>
      </c>
      <c r="R101" s="219" t="n"/>
      <c r="S101" s="219" t="n"/>
      <c r="T101" s="219" t="n"/>
      <c r="U101" s="219" t="n"/>
    </row>
    <row r="102" outlineLevel="2" ht="43.5" customHeight="1" s="128">
      <c r="A102" s="220" t="inlineStr">
        <is>
          <t>BLOCK</t>
        </is>
      </c>
      <c r="B102" s="220" t="inlineStr">
        <is>
          <t>1. Assessment</t>
        </is>
      </c>
      <c r="C102" s="220" t="inlineStr">
        <is>
          <t>Social communication screening measures</t>
        </is>
      </c>
      <c r="D102" s="221" t="inlineStr">
        <is>
          <t>Block 1 · Knowing what a screen is</t>
        </is>
      </c>
      <c r="E102" s="222" t="inlineStr">
        <is>
          <t>The difference between screening, assessment and diagnosis, and what a positive screen entitles you to say.</t>
        </is>
      </c>
      <c r="F102" s="220" t="inlineStr">
        <is>
          <t>4–5 hours, once · Weeks 1–2</t>
        </is>
      </c>
      <c r="G102" s="220" t="n"/>
      <c r="H102" s="220" t="n"/>
      <c r="I102" s="220" t="n"/>
      <c r="J102" s="220" t="n"/>
      <c r="K102" s="220" t="n"/>
      <c r="L102" s="220" t="n"/>
      <c r="M102" s="222" t="n"/>
      <c r="N102" s="220" t="n"/>
      <c r="O102" s="220" t="n"/>
      <c r="P102" s="220" t="inlineStr">
        <is>
          <t>How you build it: Read the SCQ manual's validity section. Then read the PSI Autism Guidelines 2022.</t>
        </is>
      </c>
      <c r="Q102" s="220" t="n"/>
      <c r="R102" s="220" t="n"/>
      <c r="S102" s="220" t="n"/>
      <c r="T102" s="220" t="n"/>
      <c r="U102" s="220" t="n"/>
    </row>
    <row r="103" outlineLevel="2" ht="120" customHeight="1" s="128">
      <c r="A103" s="139" t="inlineStr">
        <is>
          <t>MICRO-SKILL</t>
        </is>
      </c>
      <c r="B103" s="139" t="inlineStr">
        <is>
          <t>1. Assessment</t>
        </is>
      </c>
      <c r="C103" s="139" t="inlineStr">
        <is>
          <t>Social communication screening measures</t>
        </is>
      </c>
      <c r="D103" s="139" t="inlineStr">
        <is>
          <t>Block 1 · Knowing what a screen is</t>
        </is>
      </c>
      <c r="E103" s="223" t="inlineStr">
        <is>
          <t>Recognise the limits of a screening instrument</t>
        </is>
      </c>
      <c r="F103" s="139" t="inlineStr">
        <is>
          <t>CORU SoP 1.2 · PSI Code 2.3.1</t>
        </is>
      </c>
      <c r="G103" s="227" t="inlineStr">
        <is>
          <t>A screen finds people who may need a fuller assessment. It does not diagnose. Questionnaires such as the Social Communication Questionnaire (SCQ; Rutter, Bailey &amp; Lord, 2003) or the Social Responsiveness Scale (SRS-2; Constantino &amp; Gruber, 2012) rely on one informant's view and use cut-offs chosen to trade missed cases against false alarms. Sensitivity and specificity vary by sample and age — check the manual and do not quote a figure from memory. A family who hears 'the score was high' as 'your child is autistic' has been misled.</t>
        </is>
      </c>
      <c r="H103" s="165" t="inlineStr">
        <is>
          <t>WATCH FOR — how your supervisor describes a screening result, in the report and aloud. Notice the words they avoid.
WRITE DOWN — the instrument, the informant, the cut-off, what the manual says the cut-off means, and the exact sentence your supervisor used to report it.
ASK AFTERWARDS — 'have you ever had a screen come back below the cut-off for a child you were sure needed a full assessment? What did you do?'</t>
        </is>
      </c>
      <c r="I103" s="165" t="inlineStr">
        <is>
          <t>YOU TAKE — drafting the paragraph that reports the screen, including a sentence saying what a screen can and cannot establish.
THEY HOLD — the recommendation about onward referral, and the conversation with the family.
WHY THAT SPLIT — the wording can be practised and corrected on paper. The onward decision and the family conversation carry emotional weight and service consequences.</t>
        </is>
      </c>
      <c r="J103" s="165" t="inlineStr">
        <is>
          <t>YOU RUN IT — report the screen yourself, in writing and aloud to the family, with your supervisor present.
WHAT THEY ARE WATCHING FOR — diagnostic language ('scores in the autistic range') and false reassurance from a low score when observation or history raise concern.
STEPPING IN LOOKS LIKE — your supervisor adding, 'just to be clear, this is a questionnaire, not an assessment for autism.'</t>
        </is>
      </c>
      <c r="K103" s="207" t="inlineStr">
        <is>
          <t>YOU DO IT ALONE — report every screen with a written statement that it is not a diagnosis, what it does suggest, and what happens next.
PASS TEST — You said in writing that a screen is not a diagnosis
EVIDENCE TO FILE — the report paragraph. Log against 1. Assessment and 6. Ethical Practice.
WHAT FAILURE LOOKS LIKE — a school telling a parent 'the psychologist said he's autistic' because your report said 'scores in the autism range'.</t>
        </is>
      </c>
      <c r="L103" s="165" t="inlineStr">
        <is>
          <t>YOU CAN TEACH IT — you can explain sensitivity, specificity and why cut-offs are compromises, and why a single-informant questionnaire cannot carry a diagnosis.
WHEN IT GOES WRONG — you can say what to do when a screen is being used as a diagnosis by the school or family: correct it in writing, explain the difference, and point to the pathway.</t>
        </is>
      </c>
      <c r="M103" s="224" t="inlineStr">
        <is>
          <t>Writing 'in the autism range' instead of 'above the screening threshold, which indicates a fuller assessment is warranted'.</t>
        </is>
      </c>
      <c r="N103" s="165" t="inlineStr">
        <is>
          <t>→ Feeds into 'Know the onward diagnostic pathway in this service', 'Integrate screening data with direct observation', and Ethical Practice.</t>
        </is>
      </c>
      <c r="O103" s="225" t="inlineStr">
        <is>
          <t>Not started</t>
        </is>
      </c>
      <c r="P103" s="165" t="inlineStr">
        <is>
          <t>WATCH FOR — how your supervisor describes a screening result, in the report and aloud. Notice the words they avoid.</t>
        </is>
      </c>
      <c r="Q103" s="139" t="inlineStr">
        <is>
          <t>Year 1</t>
        </is>
      </c>
      <c r="R103" s="226" t="inlineStr">
        <is>
          <t>26/10/2026</t>
        </is>
      </c>
      <c r="S103" s="226" t="inlineStr">
        <is>
          <t>16/11/2026</t>
        </is>
      </c>
      <c r="T103" s="226" t="inlineStr">
        <is>
          <t>14/12/2026</t>
        </is>
      </c>
      <c r="U103" s="139" t="inlineStr">
        <is>
          <t>Report — findings and limitations · Appendix 5 · Log sheet tagged 1. Assessment and 6. Ethical Practice</t>
        </is>
      </c>
    </row>
    <row r="104" outlineLevel="2" ht="120" customHeight="1" s="128">
      <c r="A104" s="139" t="inlineStr">
        <is>
          <t>MICRO-SKILL</t>
        </is>
      </c>
      <c r="B104" s="139" t="inlineStr">
        <is>
          <t>1. Assessment</t>
        </is>
      </c>
      <c r="C104" s="139" t="inlineStr">
        <is>
          <t>Social communication screening measures</t>
        </is>
      </c>
      <c r="D104" s="139" t="inlineStr">
        <is>
          <t>Block 1 · Knowing what a screen is</t>
        </is>
      </c>
      <c r="E104" s="223" t="inlineStr">
        <is>
          <t>Know the onward diagnostic pathway in this service</t>
        </is>
      </c>
      <c r="F104" s="139" t="inlineStr">
        <is>
          <t>CORU SoP 1.2</t>
        </is>
      </c>
      <c r="G104" s="227" t="inlineStr">
        <is>
          <t>A positive screen with nowhere to go leaves the family holding a worry and no route. In Ireland, autism diagnostic assessment is usually done by HSE multidisciplinary teams — Children's Disability Network Teams, primary care, or CAMHS where there is a co-occurring mental health need — or by private assessment. Assessment of Need under the Disability Act 2005 is one statutory route. Routes, waiting times and who can refer vary by area and change often, so find out the current local position rather than assuming.</t>
        </is>
      </c>
      <c r="H104" s="165" t="inlineStr">
        <is>
          <t>WATCH FOR — what your supervisor tells a family after a positive screen: who they should contact, who makes the referral, and roughly how long it takes.
WRITE DOWN — the local pathway as your supervisor describes it: team names, referral route, who can refer, whether the school or GP is involved, and any local waiting time they quote.
ASK AFTERWARDS — 'what's changed in this pathway in the last two years, and where do you check it's still current?'</t>
        </is>
      </c>
      <c r="I104" s="165" t="inlineStr">
        <is>
          <t>YOU TAKE — writing a one-page summary of the local pathway for your own use, and checking it with your supervisor.
THEY HOLD — advising the family on the route, and any referral made.
WHY THAT SPLIT — mapping the pathway is research you can do alone and it builds your knowledge of the area. Advice to a family must be current and accurate, so your supervisor gives it until you have checked the map.</t>
        </is>
      </c>
      <c r="J104" s="165" t="inlineStr">
        <is>
          <t>YOU RUN IT — explain the pathway to a family after a screen, with your supervisor there.
WHAT THEY ARE WATCHING FOR — out-of-date information, promises about timescales, and not mentioning interim support the school can put in place without a diagnosis.
STEPPING IN LOOKS LIKE — your supervisor adding what the school can do in the meantime.</t>
        </is>
      </c>
      <c r="K104" s="207" t="inlineStr">
        <is>
          <t>YOU DO IT ALONE — name the onward pathway in the report and to the family, accurately for the area, with interim supports alongside.
PASS TEST — You could name where a positive screen goes
EVIDENCE TO FILE — the recommendations section of the report and the pathway summary on file. Log against 1. Assessment and 5. Working with Others.
WHAT FAILURE LOOKS LIKE — 'the family should seek a diagnostic assessment', with no route named, and a family that does not know where to start.</t>
        </is>
      </c>
      <c r="L104" s="165" t="inlineStr">
        <is>
          <t>YOU CAN TEACH IT — you can explain the Irish routes (HSE teams, Assessment of Need, CAMHS, private), who refers, and the difference between a need-led support in school and a diagnosis-led service.
WHEN IT GOES WRONG — you can say what to do when the pathway is blocked or very long: say so honestly, recommend what the school can do now, and record the gap for your service's systemic view.</t>
        </is>
      </c>
      <c r="M104" s="224" t="inlineStr">
        <is>
          <t>Telling a family to 'seek a diagnosis' without naming who, how, or what to do while they wait.</t>
        </is>
      </c>
      <c r="N104" s="165" t="inlineStr">
        <is>
          <t>→ Feeds into Working with Others — interagency referral — and into Systemic Change, where pathway gaps are raised.</t>
        </is>
      </c>
      <c r="O104" s="225" t="inlineStr">
        <is>
          <t>Not started</t>
        </is>
      </c>
      <c r="P104" s="165" t="inlineStr">
        <is>
          <t>WATCH FOR — what your supervisor tells a family after a positive screen: who they should contact, who makes the referral, and roughly how long it takes.</t>
        </is>
      </c>
      <c r="Q104" s="139" t="inlineStr">
        <is>
          <t>Year 1</t>
        </is>
      </c>
      <c r="R104" s="226" t="inlineStr">
        <is>
          <t>26/10/2026</t>
        </is>
      </c>
      <c r="S104" s="226" t="inlineStr">
        <is>
          <t>16/11/2026</t>
        </is>
      </c>
      <c r="T104" s="226" t="inlineStr">
        <is>
          <t>14/12/2026</t>
        </is>
      </c>
      <c r="U104" s="139" t="inlineStr">
        <is>
          <t>Report — recommendations · pathway summary on file · Appendix 5 · Log sheet tagged 1. Assessment and 5. Working with Others</t>
        </is>
      </c>
    </row>
    <row r="105" outlineLevel="2" ht="43.5" customHeight="1" s="128">
      <c r="A105" s="220" t="inlineStr">
        <is>
          <t>BLOCK</t>
        </is>
      </c>
      <c r="B105" s="220" t="inlineStr">
        <is>
          <t>1. Assessment</t>
        </is>
      </c>
      <c r="C105" s="220" t="inlineStr">
        <is>
          <t>Social communication screening measures</t>
        </is>
      </c>
      <c r="D105" s="221" t="inlineStr">
        <is>
          <t>Block 2 · Administering and integrating</t>
        </is>
      </c>
      <c r="E105" s="222" t="inlineStr">
        <is>
          <t>Completing the screen with an informant and combining it with observation.</t>
        </is>
      </c>
      <c r="F105" s="220" t="inlineStr">
        <is>
          <t>3–4 hours · Weeks 7–12</t>
        </is>
      </c>
      <c r="G105" s="220" t="n"/>
      <c r="H105" s="220" t="n"/>
      <c r="I105" s="220" t="n"/>
      <c r="J105" s="220" t="n"/>
      <c r="K105" s="220" t="n"/>
      <c r="L105" s="220" t="n"/>
      <c r="M105" s="222" t="n"/>
      <c r="N105" s="220" t="n"/>
      <c r="O105" s="220" t="n"/>
      <c r="P105" s="220" t="inlineStr">
        <is>
          <t>How you build it: Complete three with parents, then compare each with your own observation.</t>
        </is>
      </c>
      <c r="Q105" s="220" t="n"/>
      <c r="R105" s="220" t="n"/>
      <c r="S105" s="220" t="n"/>
      <c r="T105" s="220" t="n"/>
      <c r="U105" s="220" t="n"/>
    </row>
    <row r="106" outlineLevel="2" ht="120" customHeight="1" s="128">
      <c r="A106" s="139" t="inlineStr">
        <is>
          <t>MICRO-SKILL</t>
        </is>
      </c>
      <c r="B106" s="139" t="inlineStr">
        <is>
          <t>1. Assessment</t>
        </is>
      </c>
      <c r="C106" s="139" t="inlineStr">
        <is>
          <t>Social communication screening measures</t>
        </is>
      </c>
      <c r="D106" s="139" t="inlineStr">
        <is>
          <t>Block 2 · Administering and integrating</t>
        </is>
      </c>
      <c r="E106" s="223" t="inlineStr">
        <is>
          <t>Administer a screen with a parent</t>
        </is>
      </c>
      <c r="F106" s="139" t="inlineStr">
        <is>
          <t>CORU SoP 2.1</t>
        </is>
      </c>
      <c r="G106" s="227" t="inlineStr">
        <is>
          <t>Parents complete screening questionnaires about their own child, often while already worried or defending against a worry. How you introduce it shapes what they report. Some over-endorse to secure help; some under-endorse to protect the child from a label. Explaining what the screen is for, what it cannot tell them, and what happens next is part of informed consent. It also makes the answers more accurate.</t>
        </is>
      </c>
      <c r="H106" s="165" t="inlineStr">
        <is>
          <t>WATCH FOR — how your supervisor introduces the questionnaire: purpose, how long it takes, how to handle items they are unsure of, and who will see the results.
WRITE DOWN — their introduction as close to verbatim as you can, and any question the parent asked.
ASK AFTERWARDS — 'what do you say when a parent asks, before they start, whether a high score means autism?'</t>
        </is>
      </c>
      <c r="I106" s="165" t="inlineStr">
        <is>
          <t>YOU TAKE — introducing the questionnaire to the parent, from a script you have written and checked with your supervisor.
THEY HOLD — questions about diagnosis, and any distress that comes up.
WHY THAT SPLIT — a scripted introduction is safe to practise. Questions about what the child 'has' need someone who can answer them in the moment without overstating.</t>
        </is>
      </c>
      <c r="J106" s="165" t="inlineStr">
        <is>
          <t>YOU RUN IT — introduce the questionnaire, answer the parent's questions, and stay available while they complete it, with your supervisor present.
WHAT THEY ARE WATCHING FOR — leading the parent ('does he do this a lot?') or interpreting items in a way that shifts the answer.
STEPPING IN LOOKS LIKE — your supervisor offering the standard response to an unclear item: 'answer as best you can and we'll talk about it after.'</t>
        </is>
      </c>
      <c r="K106" s="207" t="inlineStr">
        <is>
          <t>YOU DO IT ALONE — introduce the screen, explain what it can and cannot tell them, give neutral help with unclear items, and tell them when and how they will hear the results.
PASS TEST — You explained what a screen can and cannot tell them
EVIDENCE TO FILE — a case note recording the explanation given. Log against 1. Assessment and 6. Ethical Practice.
WHAT FAILURE LOOKS LIKE — a parent who completed the form thinking the score would give them a diagnosis, and who is distressed or angry when it does not.</t>
        </is>
      </c>
      <c r="L106" s="165" t="inlineStr">
        <is>
          <t>YOU CAN TEACH IT — you can explain why the introduction matters for validity as well as consent, and how to answer a parent's questions about an item without shifting their answer.
WHEN IT GOES WRONG — you can say what to do when a parent becomes distressed or angry during the questionnaire: stop, acknowledge it, offer to finish another time, and record that the conditions may have affected the responses.</t>
        </is>
      </c>
      <c r="M106" s="224" t="inlineStr">
        <is>
          <t>Handing the questionnaire over without explaining that it is a screen and not a diagnosis.</t>
        </is>
      </c>
      <c r="N106" s="165" t="inlineStr">
        <is>
          <t>→ Feeds into 'Integrate screening data with direct observation', into consent practice in Ethical Practice, and into Working with Others — families.</t>
        </is>
      </c>
      <c r="O106" s="225" t="inlineStr">
        <is>
          <t>Not started</t>
        </is>
      </c>
      <c r="P106" s="165" t="inlineStr">
        <is>
          <t>WATCH FOR — how your supervisor introduces the questionnaire: purpose, how long it takes, how to handle items they are unsure of, and who will see the results.</t>
        </is>
      </c>
      <c r="Q106" s="139" t="inlineStr">
        <is>
          <t>Year 1</t>
        </is>
      </c>
      <c r="R106" s="226" t="inlineStr">
        <is>
          <t>26/10/2026</t>
        </is>
      </c>
      <c r="S106" s="226" t="inlineStr">
        <is>
          <t>16/11/2026</t>
        </is>
      </c>
      <c r="T106" s="226" t="inlineStr">
        <is>
          <t>14/12/2026</t>
        </is>
      </c>
      <c r="U106" s="139" t="inlineStr">
        <is>
          <t>Case note · Appendix 5 · Log sheet tagged 1. Assessment and 6. Ethical Practice</t>
        </is>
      </c>
    </row>
    <row r="107" outlineLevel="2" ht="120" customHeight="1" s="128">
      <c r="A107" s="139" t="inlineStr">
        <is>
          <t>MICRO-SKILL</t>
        </is>
      </c>
      <c r="B107" s="139" t="inlineStr">
        <is>
          <t>1. Assessment</t>
        </is>
      </c>
      <c r="C107" s="139" t="inlineStr">
        <is>
          <t>Social communication screening measures</t>
        </is>
      </c>
      <c r="D107" s="139" t="inlineStr">
        <is>
          <t>Block 2 · Administering and integrating</t>
        </is>
      </c>
      <c r="E107" s="223" t="inlineStr">
        <is>
          <t>Integrate screening data with direct observation</t>
        </is>
      </c>
      <c r="F107" s="139" t="inlineStr">
        <is>
          <t>CORU SoP 3.4</t>
        </is>
      </c>
      <c r="G107" s="227" t="inlineStr">
        <is>
          <t>A questionnaire records one informant's summary of the child. Observation shows you the child — in the yard, in class, with peers and adults. Each can mislead alone. The screen can be skewed by the informant, and a short observation can catch an untypical day. Guidance on autism assessment consistently requires information from more than one source and setting — check the specific requirements of the guidance your service uses. Relying on the questionnaire alone makes the screen do a job it was not built for.</t>
        </is>
      </c>
      <c r="H107" s="165" t="inlineStr">
        <is>
          <t>WATCH FOR — which settings your supervisor chooses to observe after a screen, and what they look for: initiation, response to bids, reciprocity, play, transitions, sensory response.
WRITE DOWN — the observation focus, the setting, and how the observation was later set beside the questionnaire.
ASK AFTERWARDS — 'when the screen and your observation disagree, what do you do?'</t>
        </is>
      </c>
      <c r="I107" s="165" t="inlineStr">
        <is>
          <t>YOU TAKE — the observation in one setting, with a focus agreed beforehand from the screen items.
THEY HOLD — putting the two together and deciding what it means for onward referral.
WHY THAT SPLIT — a focused observation is a skill you are already building. Integrating it with a screen and deciding on referral is a clinical judgement.</t>
        </is>
      </c>
      <c r="J107" s="165" t="inlineStr">
        <is>
          <t>YOU RUN IT — plan the observation from the screen, observe, and present the integration in supervision.
WHAT THEY ARE WATCHING FOR — observing only structured class time when the concern is unstructured social time, and treating 'did not see it' as 'it does not happen'.
STEPPING IN LOOKS LIKE — 'the parent reported difficulty at break. When did you observe?'</t>
        </is>
      </c>
      <c r="K107" s="207" t="inlineStr">
        <is>
          <t>YOU DO IT ALONE — observe in at least one setting chosen to test what the screen suggested, and write a paragraph that sets the two sources together.
PASS TEST — You did not rely on the questionnaire alone
EVIDENCE TO FILE — the observation write-up and the integration paragraph in the report. Log against 1. Assessment.
WHAT FAILURE LOOKS LIKE — a report whose conclusions rest entirely on a questionnaire score.</t>
        </is>
      </c>
      <c r="L107" s="165" t="inlineStr">
        <is>
          <t>YOU CAN TEACH IT — you can explain why screening and observation are complementary, how to choose an observation setting from screen items, and why absence of a behaviour in one short observation is weak evidence.
WHEN IT GOES WRONG — you can say what to do when the two sources flatly contradict: report both, give the likeliest reasons, and let that uncertainty inform the onward referral rather than hiding it.</t>
        </is>
      </c>
      <c r="M107" s="224" t="inlineStr">
        <is>
          <t>Observing in the setting that was easiest to arrange rather than the one where the concern was reported.</t>
        </is>
      </c>
      <c r="N107" s="165" t="inlineStr">
        <is>
          <t>→ Feeds into 'Recognise masked or atypical presentation', into 'Identify where sources diverge and say so', and into onward referral.</t>
        </is>
      </c>
      <c r="O107" s="225" t="inlineStr">
        <is>
          <t>Not started</t>
        </is>
      </c>
      <c r="P107" s="165" t="inlineStr">
        <is>
          <t>WATCH FOR — which settings your supervisor chooses to observe after a screen, and what they look for: initiation, response to bids, reciprocity, play, transitions, sensory response.</t>
        </is>
      </c>
      <c r="Q107" s="139" t="inlineStr">
        <is>
          <t>Year 1</t>
        </is>
      </c>
      <c r="R107" s="226" t="inlineStr">
        <is>
          <t>26/10/2026</t>
        </is>
      </c>
      <c r="S107" s="226" t="inlineStr">
        <is>
          <t>16/11/2026</t>
        </is>
      </c>
      <c r="T107" s="226" t="inlineStr">
        <is>
          <t>14/12/2026</t>
        </is>
      </c>
      <c r="U107" s="139" t="inlineStr">
        <is>
          <t>Observation write-up · Report — integration · Appendix 5 · Log sheet tagged 1. Assessment</t>
        </is>
      </c>
    </row>
    <row r="108" outlineLevel="2" ht="43.5" customHeight="1" s="128">
      <c r="A108" s="220" t="inlineStr">
        <is>
          <t>BLOCK</t>
        </is>
      </c>
      <c r="B108" s="220" t="inlineStr">
        <is>
          <t>1. Assessment</t>
        </is>
      </c>
      <c r="C108" s="220" t="inlineStr">
        <is>
          <t>Social communication screening measures</t>
        </is>
      </c>
      <c r="D108" s="221" t="inlineStr">
        <is>
          <t>Block 3 · Recognising atypical presentation</t>
        </is>
      </c>
      <c r="E108" s="222" t="inlineStr">
        <is>
          <t>How autism presents differently in girls, in late identification, and alongside anxiety.</t>
        </is>
      </c>
      <c r="F108" s="220" t="inlineStr">
        <is>
          <t>3 hours, once · Weeks 3–6</t>
        </is>
      </c>
      <c r="G108" s="220" t="n"/>
      <c r="H108" s="220" t="n"/>
      <c r="I108" s="220" t="n"/>
      <c r="J108" s="220" t="n"/>
      <c r="K108" s="220" t="n"/>
      <c r="L108" s="220" t="n"/>
      <c r="M108" s="222" t="n"/>
      <c r="N108" s="220" t="n"/>
      <c r="O108" s="220" t="n"/>
      <c r="P108" s="220" t="inlineStr">
        <is>
          <t>How you build it: Read one paper on female presentation. It changes what you notice permanently.</t>
        </is>
      </c>
      <c r="Q108" s="220" t="n"/>
      <c r="R108" s="220" t="n"/>
      <c r="S108" s="220" t="n"/>
      <c r="T108" s="220" t="n"/>
      <c r="U108" s="220" t="n"/>
    </row>
    <row r="109" outlineLevel="2" ht="120" customHeight="1" s="128">
      <c r="A109" s="139" t="inlineStr">
        <is>
          <t>MICRO-SKILL</t>
        </is>
      </c>
      <c r="B109" s="139" t="inlineStr">
        <is>
          <t>1. Assessment</t>
        </is>
      </c>
      <c r="C109" s="139" t="inlineStr">
        <is>
          <t>Social communication screening measures</t>
        </is>
      </c>
      <c r="D109" s="139" t="inlineStr">
        <is>
          <t>Block 3 · Recognising atypical presentation</t>
        </is>
      </c>
      <c r="E109" s="223" t="inlineStr">
        <is>
          <t>Recognise masked or atypical presentation</t>
        </is>
      </c>
      <c r="F109" s="139" t="inlineStr">
        <is>
          <t>CORU SoP 5.24 · PSI Autism Guidelines 2022</t>
        </is>
      </c>
      <c r="G109" s="227" t="inlineStr">
        <is>
          <t>Some autistic children — often, but not only, girls — learn to hide or compensate for social differences, at great cost to themselves. This is camouflaging, described in Hull et al. (Journal of Autism and Developmental Disorders, 2017). A meta-analysis estimated the true male-to-female ratio nearer 3:1 than the 4:1 often quoted, pointing to under-identification of girls (Loomes, Hull &amp; Mandy, JAACAP, 2017). Screens and short observations may miss these children. The PSI Autism Guidelines (2022) are the reference named for this standard — read them directly rather than relying on a summary.</t>
        </is>
      </c>
      <c r="H109" s="165" t="inlineStr">
        <is>
          <t>WATCH FOR — how your supervisor asks about effort and exhaustion as well as behaviour: after-school collapse, scripted conversation, intense friendships that break down, anxiety, masking at school and releasing at home.
WRITE DOWN — the questions they ask that go beyond the screen items.
ASK AFTERWARDS — 'what makes you suspect camouflaging when school says everything is fine?'</t>
        </is>
      </c>
      <c r="I109" s="165" t="inlineStr">
        <is>
          <t>YOU TAKE — preparing a short list of questions on masking and effort for the parent interview and the child, drawn from the literature, and checking them with your supervisor.
THEY HOLD — interpreting the answers and deciding whether they warrant onward referral despite a sub-threshold screen.
WHY THAT SPLIT — the questions are the part you can research and improve. Acting on a hunch against a sub-threshold score needs experience of how often that hunch is right.</t>
        </is>
      </c>
      <c r="J109" s="165" t="inlineStr">
        <is>
          <t>YOU RUN IT — ask about masking in interview, with your supervisor present, and bring your view to supervision.
WHAT THEY ARE WATCHING FOR — dismissing home reports because school sees no difficulty, and assuming a girl who makes eye contact and has friends cannot be autistic.
STEPPING IN LOOKS LIKE — 'what happens when she gets home from school?'</t>
        </is>
      </c>
      <c r="K109" s="207" t="inlineStr">
        <is>
          <t>YOU DO IT ALONE — consider camouflaging and late identification in every social communication assessment, and write in the report that you did.
PASS TEST — You considered presentation in girls and late identification
EVIDENCE TO FILE — a sentence in the report on how presentation and masking were considered. Log against 1. Assessment and 6. Ethical Practice.
WHAT FAILURE LOOKS LIKE — a sub-threshold screen and a calm classroom observation reported as 'no social communication concerns', and a teenager identified years later.</t>
        </is>
      </c>
      <c r="L109" s="165" t="inlineStr">
        <is>
          <t>YOU CAN TEACH IT — you can explain camouflaging, why screens under-identify it, and what questions surface it — citing Hull et al. (2017), Loomes et al. (2017) and the PSI guidelines.
WHEN IT GOES WRONG — you can say what to do when home and school accounts are irreconcilable: treat the difference as a possible sign of masking, not a reason to doubt the parent.</t>
        </is>
      </c>
      <c r="M109" s="224" t="inlineStr">
        <is>
          <t>Taking a calm classroom and a sub-threshold screen as evidence against autism in a child who is exhausted and distressed at home.</t>
        </is>
      </c>
      <c r="N109" s="165" t="inlineStr">
        <is>
          <t>→ Feeds into 'Analyse informant agreement and discrepancy', into Conditions — autism, and into Formulation.</t>
        </is>
      </c>
      <c r="O109" s="225" t="inlineStr">
        <is>
          <t>Not started</t>
        </is>
      </c>
      <c r="P109" s="165" t="inlineStr">
        <is>
          <t>WATCH FOR — how your supervisor asks about effort and exhaustion as well as behaviour: after-school collapse, scripted conversation, intense friendships that break down, anxiety, masking at school and releasing at home.</t>
        </is>
      </c>
      <c r="Q109" s="139" t="inlineStr">
        <is>
          <t>Year 1</t>
        </is>
      </c>
      <c r="R109" s="226" t="inlineStr">
        <is>
          <t>26/10/2026</t>
        </is>
      </c>
      <c r="S109" s="226" t="inlineStr">
        <is>
          <t>16/11/2026</t>
        </is>
      </c>
      <c r="T109" s="226" t="inlineStr">
        <is>
          <t>14/12/2026</t>
        </is>
      </c>
      <c r="U109" s="139" t="inlineStr">
        <is>
          <t>Report — findings and limitations · Appendix 5 · Log sheet tagged 1. Assessment and 6. Ethical Practice</t>
        </is>
      </c>
    </row>
    <row r="110" outlineLevel="2" ht="19.5" customHeight="1" s="128">
      <c r="A110" s="219" t="inlineStr">
        <is>
          <t>MACRO SKILL</t>
        </is>
      </c>
      <c r="B110" s="219" t="inlineStr">
        <is>
          <t>1. Assessment</t>
        </is>
      </c>
      <c r="C110" s="219" t="inlineStr">
        <is>
          <t>Behavioural and emotional rating scales</t>
        </is>
      </c>
      <c r="D110" s="219" t="n"/>
      <c r="E110" s="219" t="inlineStr">
        <is>
          <t>3 blocks · 6 micro-skills</t>
        </is>
      </c>
      <c r="F110" s="219" t="inlineStr">
        <is>
          <t>CORU 3.3 · 3.4 · 5.32</t>
        </is>
      </c>
      <c r="G110" s="219" t="n"/>
      <c r="H110" s="219" t="n"/>
      <c r="I110" s="219" t="n"/>
      <c r="J110" s="219" t="n"/>
      <c r="K110" s="219" t="n"/>
      <c r="L110" s="219" t="n"/>
      <c r="M110" s="219" t="n"/>
      <c r="N110" s="219" t="n"/>
      <c r="O110" s="219" t="n"/>
      <c r="P110" s="219" t="n"/>
      <c r="Q110" s="219" t="inlineStr">
        <is>
          <t>Year 1</t>
        </is>
      </c>
      <c r="R110" s="219" t="n"/>
      <c r="S110" s="219" t="n"/>
      <c r="T110" s="219" t="n"/>
      <c r="U110" s="219" t="n"/>
    </row>
    <row r="111" outlineLevel="2" ht="43.5" customHeight="1" s="128">
      <c r="A111" s="220" t="inlineStr">
        <is>
          <t>BLOCK</t>
        </is>
      </c>
      <c r="B111" s="220" t="inlineStr">
        <is>
          <t>1. Assessment</t>
        </is>
      </c>
      <c r="C111" s="220" t="inlineStr">
        <is>
          <t>Behavioural and emotional rating scales</t>
        </is>
      </c>
      <c r="D111" s="221" t="inlineStr">
        <is>
          <t>Block 1 · Choosing the instrument</t>
        </is>
      </c>
      <c r="E111" s="222" t="inlineStr">
        <is>
          <t>Which scale for which question, which informants, and what each is normed on.</t>
        </is>
      </c>
      <c r="F111" s="220" t="inlineStr">
        <is>
          <t>3 hours, once · Weeks 1–2</t>
        </is>
      </c>
      <c r="G111" s="220" t="n"/>
      <c r="H111" s="220" t="n"/>
      <c r="I111" s="220" t="n"/>
      <c r="J111" s="220" t="n"/>
      <c r="K111" s="220" t="n"/>
      <c r="L111" s="220" t="n"/>
      <c r="M111" s="222" t="n"/>
      <c r="N111" s="220" t="n"/>
      <c r="O111" s="220" t="n"/>
      <c r="P111" s="220" t="inlineStr">
        <is>
          <t>How you build it: Compare SDQ, Conners' and ASEBA on one page. Know what each is for.</t>
        </is>
      </c>
      <c r="Q111" s="220" t="n"/>
      <c r="R111" s="220" t="n"/>
      <c r="S111" s="220" t="n"/>
      <c r="T111" s="220" t="n"/>
      <c r="U111" s="220" t="n"/>
    </row>
    <row r="112" outlineLevel="2" ht="120" customHeight="1" s="128">
      <c r="A112" s="139" t="inlineStr">
        <is>
          <t>MICRO-SKILL</t>
        </is>
      </c>
      <c r="B112" s="139" t="inlineStr">
        <is>
          <t>1. Assessment</t>
        </is>
      </c>
      <c r="C112" s="139" t="inlineStr">
        <is>
          <t>Behavioural and emotional rating scales</t>
        </is>
      </c>
      <c r="D112" s="139" t="inlineStr">
        <is>
          <t>Block 1 · Choosing the instrument</t>
        </is>
      </c>
      <c r="E112" s="223" t="inlineStr">
        <is>
          <t>Select the right forms for informant and age</t>
        </is>
      </c>
      <c r="F112" s="139" t="inlineStr">
        <is>
          <t>CORU SoP 3.3</t>
        </is>
      </c>
      <c r="G112" s="227" t="inlineStr">
        <is>
          <t>Rating scale systems come as families of forms for different informants and age bands. Using the wrong one gives you scores compared against the wrong norm group. The BASC-3 (Reynolds &amp; Kamphaus, 2015) has teacher, parent and self-report forms by age band. The ASEBA (Achenbach &amp; Rescorla, 2001) has the CBCL, TRF and Youth Self-Report (YSR). The SDQ (Goodman, 1997) has parent, teacher and self-report versions, the self-report for ages 11–17. Check the exact age ranges in the manual you are using before choosing.</t>
        </is>
      </c>
      <c r="H112" s="165" t="inlineStr">
        <is>
          <t>WATCH FOR — how your supervisor decides which forms go to whom: the child's age, which adults know the child in which setting, and whether the child can self-report.
WRITE DOWN — the instrument, each form used, who completed it, and the age range printed on each form.
ASK AFTERWARDS — 'which teacher do you send it to when a post-primary student has eight?'</t>
        </is>
      </c>
      <c r="I112" s="165" t="inlineStr">
        <is>
          <t>YOU TAKE — proposing the forms, informants and age bands for the case, in writing, before anything is sent.
THEY HOLD — the final choice of instrument and of informants.
WHY THAT SPLIT — form selection is rule-based and easy to check, so it is the right thing to practise. Choosing the instrument depends on the referral question and on what the service holds.</t>
        </is>
      </c>
      <c r="J112" s="165" t="inlineStr">
        <is>
          <t>YOU RUN IT — select and send the forms yourself; your supervisor checks your selection before they go out.
WHAT THEY ARE WATCHING FOR — a form one band too young or too old for the child, a teacher who barely knows the child, and no self-report where one is available and appropriate.
STEPPING IN LOOKS LIKE — 'she turns twelve next month — which form will you use, and why?'</t>
        </is>
      </c>
      <c r="K112" s="207" t="inlineStr">
        <is>
          <t>YOU DO IT ALONE — choose forms matched to the age band on the date of completion, send them to informants who know the child in the relevant setting, and record who completed each.
PASS TEST — Parent, teacher and self-report chosen appropriately
EVIDENCE TO FILE — the method section of the report naming each form and informant. Log against 1. Assessment.
WHAT FAILURE LOOKS LIKE — scores reported from a form normed for the wrong age band, found when someone checks the date of birth.</t>
        </is>
      </c>
      <c r="L112" s="165" t="inlineStr">
        <is>
          <t>YOU CAN TEACH IT — you can explain the structure of at least two rating scale systems, how to match forms to age and informant, and why the choice of informant is part of the evidence.
WHEN IT GOES WRONG — you can say what to do when the wrong form was completed: do not score it against the wrong norms. Report it as descriptive only, or re-send the right form.</t>
        </is>
      </c>
      <c r="M112" s="224" t="inlineStr">
        <is>
          <t>Using a form normed for the wrong age band because the child's birthday fell between sending and completion.</t>
        </is>
      </c>
      <c r="N112" s="165" t="inlineStr">
        <is>
          <t>→ Feeds into 'Include the child's own self-report where age-appropriate', 'Score and convert to standardised scores', and 'Analyse informant agreement and discrepancy'.</t>
        </is>
      </c>
      <c r="O112" s="225" t="inlineStr">
        <is>
          <t>Not started</t>
        </is>
      </c>
      <c r="P112" s="165" t="inlineStr">
        <is>
          <t>WATCH FOR — how your supervisor decides which forms go to whom: the child's age, which adults know the child in which setting, and whether the child can self-report.</t>
        </is>
      </c>
      <c r="Q112" s="139" t="inlineStr">
        <is>
          <t>Year 1</t>
        </is>
      </c>
      <c r="R112" s="226" t="inlineStr">
        <is>
          <t>26/10/2026</t>
        </is>
      </c>
      <c r="S112" s="226" t="inlineStr">
        <is>
          <t>16/11/2026</t>
        </is>
      </c>
      <c r="T112" s="226" t="inlineStr">
        <is>
          <t>14/12/2026</t>
        </is>
      </c>
      <c r="U112" s="139" t="inlineStr">
        <is>
          <t>Report — method · Appendix 5 · Log sheet tagged 1. Assessment</t>
        </is>
      </c>
    </row>
    <row r="113" outlineLevel="2" ht="120" customHeight="1" s="128">
      <c r="A113" s="139" t="inlineStr">
        <is>
          <t>MICRO-SKILL</t>
        </is>
      </c>
      <c r="B113" s="139" t="inlineStr">
        <is>
          <t>1. Assessment</t>
        </is>
      </c>
      <c r="C113" s="139" t="inlineStr">
        <is>
          <t>Behavioural and emotional rating scales</t>
        </is>
      </c>
      <c r="D113" s="139" t="inlineStr">
        <is>
          <t>Block 1 · Choosing the instrument</t>
        </is>
      </c>
      <c r="E113" s="223" t="inlineStr">
        <is>
          <t>Include the child's own self-report where age-appropriate</t>
        </is>
      </c>
      <c r="F113" s="139" t="inlineStr">
        <is>
          <t>UNCRC Art. 12 · CORU SoP 2.3</t>
        </is>
      </c>
      <c r="G113" s="227" t="inlineStr">
        <is>
          <t>Children have a right to express their views in matters affecting them, and those views must be given due weight (UNCRC Article 12). In assessment, that means the child's own account sits beside the adults' — not below it, and not only where it agrees. Internal states such as anxiety and low mood are often under-reported by adults who see only behaviour. Lundy's model of participation — space, voice, audience, influence (British Educational Research Journal, 2007) — is a useful check that the view was heard and acted on.</t>
        </is>
      </c>
      <c r="H113" s="165" t="inlineStr">
        <is>
          <t>WATCH FOR — how your supervisor introduces a self-report form to a child: who reads the items, how they check understanding, and whether the child is told who will see the answers.
WRITE DOWN — the form, the child's age, how it was administered, and where the child's view appeared in the report.
ASK AFTERWARDS — 'what do you do when a child's self-report says everything is fine and every adult says it isn't?'</t>
        </is>
      </c>
      <c r="I113" s="165" t="inlineStr">
        <is>
          <t>YOU TAKE — administering the self-report with the child, reading items aloud where reading is a barrier, and recording anything the child says about the items.
THEY HOLD — how the child's account is weighted and worded in the report.
WHY THAT SPLIT — sitting with the child is direct, supervised practice. Where their view lands in the report shapes the conclusions, which your supervisor still holds.</t>
        </is>
      </c>
      <c r="J113" s="165" t="inlineStr">
        <is>
          <t>YOU RUN IT — administer the self-report and write the section presenting the child's view, with your supervisor reviewing before it goes in.
WHAT THEY ARE WATCHING FOR — the child's view summarised in one line after pages of adult ratings, or dismissed as 'lacking insight' without evidence.
STEPPING IN LOOKS LIKE — 'where in the report would the child find what they told you?'</t>
        </is>
      </c>
      <c r="K113" s="207" t="inlineStr">
        <is>
          <t>YOU DO IT ALONE — include self-report wherever the child's age and ability allow, present it alongside adult reports, and say how it informed the conclusions.
PASS TEST — The child's account appears alongside the adults'
EVIDENCE TO FILE — the findings section showing the child's account in parallel with adult ratings. Log against 1. Assessment and 6. Ethical Practice.
WHAT FAILURE LOOKS LIKE — a report on a thirteen-year-old's anxiety with no self-report and no direct quote from the young person.</t>
        </is>
      </c>
      <c r="L113" s="165" t="inlineStr">
        <is>
          <t>YOU CAN TEACH IT — you can explain Article 12, Lundy's model, and the practical adaptations — reading items aloud, visual scales, checking understanding — that let younger or less able children self-report validly.
WHEN IT GOES WRONG — you can say what to do when the child refuses or cannot complete a self-report: record that, and gather their view another way — conversation, drawing, scaling questions.</t>
        </is>
      </c>
      <c r="M113" s="224" t="inlineStr">
        <is>
          <t>Leaving out the child's own view because the adults' forms were enough to score.</t>
        </is>
      </c>
      <c r="N113" s="165" t="inlineStr">
        <is>
          <t>→ Feeds into 'Analyse informant agreement and discrepancy', into Ethical Practice — the child's voice — and into Working with Others.</t>
        </is>
      </c>
      <c r="O113" s="225" t="inlineStr">
        <is>
          <t>Not started</t>
        </is>
      </c>
      <c r="P113" s="165" t="inlineStr">
        <is>
          <t>WATCH FOR — how your supervisor introduces a self-report form to a child: who reads the items, how they check understanding, and whether the child is told who will see the answers.</t>
        </is>
      </c>
      <c r="Q113" s="139" t="inlineStr">
        <is>
          <t>Year 1</t>
        </is>
      </c>
      <c r="R113" s="226" t="inlineStr">
        <is>
          <t>26/10/2026</t>
        </is>
      </c>
      <c r="S113" s="226" t="inlineStr">
        <is>
          <t>16/11/2026</t>
        </is>
      </c>
      <c r="T113" s="226" t="inlineStr">
        <is>
          <t>14/12/2026</t>
        </is>
      </c>
      <c r="U113" s="139" t="inlineStr">
        <is>
          <t>Report — findings · Appendix 5 · Log sheet tagged 1. Assessment and 6. Ethical Practice</t>
        </is>
      </c>
    </row>
    <row r="114" outlineLevel="2" ht="43.5" customHeight="1" s="128">
      <c r="A114" s="220" t="inlineStr">
        <is>
          <t>BLOCK</t>
        </is>
      </c>
      <c r="B114" s="220" t="inlineStr">
        <is>
          <t>1. Assessment</t>
        </is>
      </c>
      <c r="C114" s="220" t="inlineStr">
        <is>
          <t>Behavioural and emotional rating scales</t>
        </is>
      </c>
      <c r="D114" s="221" t="inlineStr">
        <is>
          <t>Block 2 · Administering and scoring</t>
        </is>
      </c>
      <c r="E114" s="222" t="inlineStr">
        <is>
          <t>Briefing informants, chasing returns, scoring and converting.</t>
        </is>
      </c>
      <c r="F114" s="220" t="inlineStr">
        <is>
          <t>3–4 hours · Weeks 3–6</t>
        </is>
      </c>
      <c r="G114" s="220" t="n"/>
      <c r="H114" s="220" t="n"/>
      <c r="I114" s="220" t="n"/>
      <c r="J114" s="220" t="n"/>
      <c r="K114" s="220" t="n"/>
      <c r="L114" s="220" t="n"/>
      <c r="M114" s="222" t="n"/>
      <c r="N114" s="220" t="n"/>
      <c r="O114" s="220" t="n"/>
      <c r="P114" s="220" t="inlineStr">
        <is>
          <t>How you build it: Do three sets. Score by hand once.</t>
        </is>
      </c>
      <c r="Q114" s="220" t="n"/>
      <c r="R114" s="220" t="n"/>
      <c r="S114" s="220" t="n"/>
      <c r="T114" s="220" t="n"/>
      <c r="U114" s="220" t="n"/>
    </row>
    <row r="115" outlineLevel="2" ht="120" customHeight="1" s="128">
      <c r="A115" s="139" t="inlineStr">
        <is>
          <t>MICRO-SKILL</t>
        </is>
      </c>
      <c r="B115" s="139" t="inlineStr">
        <is>
          <t>1. Assessment</t>
        </is>
      </c>
      <c r="C115" s="139" t="inlineStr">
        <is>
          <t>Behavioural and emotional rating scales</t>
        </is>
      </c>
      <c r="D115" s="139" t="inlineStr">
        <is>
          <t>Block 2 · Administering and scoring</t>
        </is>
      </c>
      <c r="E115" s="223" t="inlineStr">
        <is>
          <t>Explain to informants how to complete them</t>
        </is>
      </c>
      <c r="F115" s="139" t="inlineStr">
        <is>
          <t>CORU SoP 2.1</t>
        </is>
      </c>
      <c r="G115" s="227" t="inlineStr">
        <is>
          <t>A rating scale is only as good as the completion. Forms come back with half the items blank, several boxes ticked on one item, notes in the margins instead of ratings, or completed jointly by two parents without saying so. Each invalidates or weakens the score. Most manuals set a maximum number of omitted items before a scale cannot be scored — check yours. Two minutes of explanation at the start saves a wasted form and a second request to a busy teacher.</t>
        </is>
      </c>
      <c r="H115" s="165" t="inlineStr">
        <is>
          <t>WATCH FOR — what your supervisor says when handing out or sending forms: the time period to rate, answering every item, one rater per form, what to do when unsure, and the return date.
WRITE DOWN — their instructions, and anything they put in a covering note for teachers.
ASK AFTERWARDS — 'what's the most common way forms come back unusable?'</t>
        </is>
      </c>
      <c r="I115" s="165" t="inlineStr">
        <is>
          <t>YOU TAKE — writing a covering note for teacher forms and giving the verbal explanation to parents, checked beforehand by your supervisor.
THEY HOLD — deciding whether a returned form is valid enough to score.
WHY THAT SPLIT — the explanation is a script you can improve with feedback. Judging validity depends on the manual's rules and on experience of how different errors affect scores.</t>
        </is>
      </c>
      <c r="J115" s="165" t="inlineStr">
        <is>
          <t>YOU RUN IT — explain the forms to every informant yourself, and check the forms on return before the informant leaves where you can.
WHAT THEY ARE WATCHING FOR — not stating the rating period ('in the last six months'), and not asking the informant to answer every item.
STEPPING IN LOOKS LIKE — 'did you mention the time period? Some of these answers sound like last year.'</t>
        </is>
      </c>
      <c r="K115" s="207" t="inlineStr">
        <is>
          <t>YOU DO IT ALONE — explain the rating period, one rater per form, answering every item, and how to handle uncertainty. Check forms on return and follow up omissions quickly.
PASS TEST — Forms come back usable
EVIDENCE TO FILE — the covering note template and returned forms. Log against 1. Assessment and 5. Working with Others.
WHAT FAILURE LOOKS LIKE — a teacher form with twelve items blank, discovered a week later when the teacher has moved on to other work.</t>
        </is>
      </c>
      <c r="L115" s="165" t="inlineStr">
        <is>
          <t>YOU CAN TEACH IT — you can explain why each instruction matters for the score, and write a short covering note that gets forms back complete.
WHEN IT GOES WRONG — you can say what to do when a form comes back incomplete: check the manual's omission rule, follow up the specific items if it is over, and never fill in or pro-rate beyond what the manual permits.</t>
        </is>
      </c>
      <c r="M115" s="224" t="inlineStr">
        <is>
          <t>Sending forms without a stated rating period and a request to answer every item.</t>
        </is>
      </c>
      <c r="N115" s="165" t="inlineStr">
        <is>
          <t>→ Feeds into 'Score and convert to standardised scores' and into Working with Others — teachers and families as informants.</t>
        </is>
      </c>
      <c r="O115" s="225" t="inlineStr">
        <is>
          <t>Not started</t>
        </is>
      </c>
      <c r="P115" s="165" t="inlineStr">
        <is>
          <t>WATCH FOR — what your supervisor says when handing out or sending forms: the time period to rate, answering every item, one rater per form, what to do when unsure, and the return date.</t>
        </is>
      </c>
      <c r="Q115" s="139" t="inlineStr">
        <is>
          <t>Year 1</t>
        </is>
      </c>
      <c r="R115" s="226" t="inlineStr">
        <is>
          <t>26/10/2026</t>
        </is>
      </c>
      <c r="S115" s="226" t="inlineStr">
        <is>
          <t>16/11/2026</t>
        </is>
      </c>
      <c r="T115" s="226" t="inlineStr">
        <is>
          <t>14/12/2026</t>
        </is>
      </c>
      <c r="U115" s="139" t="inlineStr">
        <is>
          <t>Covering note · returned forms · Appendix 5 · Log sheet tagged 1. Assessment and 5. Working with Others</t>
        </is>
      </c>
    </row>
    <row r="116" outlineLevel="2" ht="120" customHeight="1" s="128">
      <c r="A116" s="139" t="inlineStr">
        <is>
          <t>MICRO-SKILL</t>
        </is>
      </c>
      <c r="B116" s="139" t="inlineStr">
        <is>
          <t>1. Assessment</t>
        </is>
      </c>
      <c r="C116" s="139" t="inlineStr">
        <is>
          <t>Behavioural and emotional rating scales</t>
        </is>
      </c>
      <c r="D116" s="139" t="inlineStr">
        <is>
          <t>Block 2 · Administering and scoring</t>
        </is>
      </c>
      <c r="E116" s="223" t="inlineStr">
        <is>
          <t>Score and convert to standardised scores</t>
        </is>
      </c>
      <c r="F116" s="139" t="inlineStr">
        <is>
          <t>CORU SoP 5.6</t>
        </is>
      </c>
      <c r="G116" s="227" t="inlineStr">
        <is>
          <t>Most behaviour rating systems convert raw scores to T-scores (mean 50, SD 10) against a norm group chosen by age, sometimes sex, and sometimes a general or clinical sample. Choosing the wrong norm group, missing reverse-scored items, or mistyping into software all change the result without any sign on the page. Hand-scoring invites arithmetic errors; software moves the error to data entry. Either way, what makes the score trustworthy is the check.</t>
        </is>
      </c>
      <c r="H116" s="165" t="inlineStr">
        <is>
          <t>WATCH FOR — whether your supervisor hand-scores or uses software, which norm group they choose and why, and how they check the entry.
WRITE DOWN — the instrument, the norm group, how omitted items were handled, and any validity or response-style index reported.
ASK AFTERWARDS — 'when do you use combined-sex norms and when separate, and does it change what you conclude?'</t>
        </is>
      </c>
      <c r="I116" s="165" t="inlineStr">
        <is>
          <t>YOU TAKE — scoring the forms independently, including any validity indices, before seeing your supervisor's version.
THEY HOLD — the authoritative score and the choice of norm group.
WHY THAT SPLIT — double-scoring shows your systematic errors quickly. Norm-group choice changes the conclusion, so it is a judgement they keep until you can defend it.</t>
        </is>
      </c>
      <c r="J116" s="165" t="inlineStr">
        <is>
          <t>YOU RUN IT — score, choose norms, and present the scores in supervision with the norm group stated.
WHAT THEY ARE WATCHING FOR — reverse-scored items missed, the wrong age band, validity indices ignored, and scores typed into the report wrongly.
STEPPING IN LOOKS LIKE — picking one scale and asking you to re-score it by hand in front of them.</t>
        </is>
      </c>
      <c r="K116" s="207" t="inlineStr">
        <is>
          <t>YOU DO IT ALONE — score each form, check the scoring by a second method or on a second occasion, state the norm group in the report, and check validity indices before interpreting.
PASS TEST — Scoring is checked
EVIDENCE TO FILE — scored forms or software printout with your check marked, and the score table in the report. Log against 1. Assessment.
WHAT FAILURE LOOKS LIKE — a clinically significant score reported from a form whose validity index flagged an extreme response style.</t>
        </is>
      </c>
      <c r="L116" s="165" t="inlineStr">
        <is>
          <t>YOU CAN TEACH IT — you can explain T-scores, norm-group choice, reverse scoring and validity indices, and show a peer a quick way to check software output against the raw form.
WHEN IT GOES WRONG — you can say what to do when a validity index is flagged: do not interpret the clinical scales as if it were not, report the flag, and consider what the response style itself tells you.</t>
        </is>
      </c>
      <c r="M116" s="224" t="inlineStr">
        <is>
          <t>Interpreting clinical scales without first checking the form's validity or response-style indices.</t>
        </is>
      </c>
      <c r="N116" s="165" t="inlineStr">
        <is>
          <t>→ Feeds into 'Analyse informant agreement and discrepancy' and 'Distinguish elevated from clinically significant'.</t>
        </is>
      </c>
      <c r="O116" s="225" t="inlineStr">
        <is>
          <t>Not started</t>
        </is>
      </c>
      <c r="P116" s="165" t="inlineStr">
        <is>
          <t>WATCH FOR — whether your supervisor hand-scores or uses software, which norm group they choose and why, and how they check the entry.</t>
        </is>
      </c>
      <c r="Q116" s="139" t="inlineStr">
        <is>
          <t>Year 1</t>
        </is>
      </c>
      <c r="R116" s="226" t="inlineStr">
        <is>
          <t>26/10/2026</t>
        </is>
      </c>
      <c r="S116" s="226" t="inlineStr">
        <is>
          <t>16/11/2026</t>
        </is>
      </c>
      <c r="T116" s="226" t="inlineStr">
        <is>
          <t>14/12/2026</t>
        </is>
      </c>
      <c r="U116" s="139" t="inlineStr">
        <is>
          <t>Scored forms with check · Report — score table · Appendix 5 · Log sheet tagged 1. Assessment</t>
        </is>
      </c>
    </row>
    <row r="117" outlineLevel="2" ht="43.5" customHeight="1" s="128">
      <c r="A117" s="220" t="inlineStr">
        <is>
          <t>BLOCK</t>
        </is>
      </c>
      <c r="B117" s="220" t="inlineStr">
        <is>
          <t>1. Assessment</t>
        </is>
      </c>
      <c r="C117" s="220" t="inlineStr">
        <is>
          <t>Behavioural and emotional rating scales</t>
        </is>
      </c>
      <c r="D117" s="221" t="inlineStr">
        <is>
          <t>Block 3 · Reading discrepancy</t>
        </is>
      </c>
      <c r="E117" s="222" t="inlineStr">
        <is>
          <t>What it means when parent and teacher disagree, and why that is data rather than error.</t>
        </is>
      </c>
      <c r="F117" s="220" t="inlineStr">
        <is>
          <t>Ongoing · Weeks 7–12</t>
        </is>
      </c>
      <c r="G117" s="220" t="n"/>
      <c r="H117" s="220" t="n"/>
      <c r="I117" s="220" t="n"/>
      <c r="J117" s="220" t="n"/>
      <c r="K117" s="220" t="n"/>
      <c r="L117" s="220" t="n"/>
      <c r="M117" s="222" t="n"/>
      <c r="N117" s="220" t="n"/>
      <c r="O117" s="220" t="n"/>
      <c r="P117" s="220" t="inlineStr">
        <is>
          <t>How you build it: Bring one discrepant set to supervision and be talked through it.</t>
        </is>
      </c>
      <c r="Q117" s="220" t="n"/>
      <c r="R117" s="220" t="n"/>
      <c r="S117" s="220" t="n"/>
      <c r="T117" s="220" t="n"/>
      <c r="U117" s="220" t="n"/>
    </row>
    <row r="118" outlineLevel="2" ht="120" customHeight="1" s="128">
      <c r="A118" s="139" t="inlineStr">
        <is>
          <t>MICRO-SKILL</t>
        </is>
      </c>
      <c r="B118" s="139" t="inlineStr">
        <is>
          <t>1. Assessment</t>
        </is>
      </c>
      <c r="C118" s="139" t="inlineStr">
        <is>
          <t>Behavioural and emotional rating scales</t>
        </is>
      </c>
      <c r="D118" s="139" t="inlineStr">
        <is>
          <t>Block 3 · Reading discrepancy</t>
        </is>
      </c>
      <c r="E118" s="223" t="inlineStr">
        <is>
          <t>Analyse informant agreement and discrepancy</t>
        </is>
      </c>
      <c r="F118" s="139" t="inlineStr">
        <is>
          <t>CORU SoP 3.4 · 5.32</t>
        </is>
      </c>
      <c r="G118" s="227" t="inlineStr">
        <is>
          <t>Parent, teacher and child ratings routinely disagree. The Achenbach, McConaughy and Howell (1987) meta-analysis found cross-informant correlations were modest, and higher between similar informants than between different types — check the paper for the figures before quoting. Later work argues discrepancy often reflects real differences in how the child behaves across settings (De Los Reyes et al., Psychological Bulletin, 2015, on the Operations Triad Model). Treating discrepancy as someone being wrong throws away information about context.</t>
        </is>
      </c>
      <c r="H118" s="165" t="inlineStr">
        <is>
          <t>WATCH FOR — how your supervisor lays out scores from different informants: usually side by side by scale. Notice what they say about a scale where home and school differ sharply.
WRITE DOWN — each scale where informants differ by a meaningful amount (your manual may give a guide), and the explanation your supervisor offered.
ASK AFTERWARDS — 'when a parent rates much higher than the teacher, what are the possible explanations, and how do you choose?'</t>
        </is>
      </c>
      <c r="I118" s="165" t="inlineStr">
        <is>
          <t>YOU TAKE — building the side-by-side table and listing, for each discrepancy, explanations based on setting, task demands, relationship and informant threshold.
THEY HOLD — which explanation the report adopts, and how it is worded.
WHY THAT SPLIT — generating alternative explanations is safe practice. The wording can make a parent feel disbelieved or a teacher feel blamed.</t>
        </is>
      </c>
      <c r="J118" s="165" t="inlineStr">
        <is>
          <t>YOU RUN IT — present the discrepancies and your reading of them in supervision, then draft the paragraph.
WHAT THEY ARE WATCHING FOR — averaging across informants, or writing one informant off as biased without evidence.
STEPPING IN LOOKS LIKE — 'what's different about the two settings that could make both ratings accurate?'</t>
        </is>
      </c>
      <c r="K118" s="207" t="inlineStr">
        <is>
          <t>YOU DO IT ALONE — lay out informant scores side by side, treat each discrepancy as a question about context, and write the likeliest explanation with its evidence.
PASS TEST — Discrepancy treated as data about context
EVIDENCE TO FILE — the rating scale section of the report. Log against 1. Assessment and 5. Working with Others.
WHAT FAILURE LOOKS LIKE — 'the parent's ratings may reflect heightened anxiety', written with no evidence and read by the parent at the feedback meeting.</t>
        </is>
      </c>
      <c r="L118" s="165" t="inlineStr">
        <is>
          <t>YOU CAN TEACH IT — you can explain why informants disagree, cite the cross-informant literature, and show a peer how to turn a discrepancy into a hypothesis about context that feeds the formulation.
WHEN IT GOES WRONG — you can say what to do when an informant disputes your reading of their rating: listen, check your interpretation against what they say about the setting, and revise if they have told you something you did not know.</t>
        </is>
      </c>
      <c r="M118" s="224" t="inlineStr">
        <is>
          <t>Averaging parent and teacher scores into one number, losing the difference that was the finding.</t>
        </is>
      </c>
      <c r="N118" s="165" t="inlineStr">
        <is>
          <t>→ Feeds into 'Identify where sources diverge and say so', into Formulation — context and maintaining factors — and into Working with Others.</t>
        </is>
      </c>
      <c r="O118" s="225" t="inlineStr">
        <is>
          <t>Not started</t>
        </is>
      </c>
      <c r="P118" s="165" t="inlineStr">
        <is>
          <t>WATCH FOR — how your supervisor lays out scores from different informants: usually side by side by scale. Notice what they say about a scale where home and school differ sharply.</t>
        </is>
      </c>
      <c r="Q118" s="139" t="inlineStr">
        <is>
          <t>Year 1</t>
        </is>
      </c>
      <c r="R118" s="226" t="inlineStr">
        <is>
          <t>26/10/2026</t>
        </is>
      </c>
      <c r="S118" s="226" t="inlineStr">
        <is>
          <t>16/11/2026</t>
        </is>
      </c>
      <c r="T118" s="226" t="inlineStr">
        <is>
          <t>14/12/2026</t>
        </is>
      </c>
      <c r="U118" s="139" t="inlineStr">
        <is>
          <t>Report — rating scale findings · Appendix 5 · Log sheet tagged 1. Assessment and 5. Working with Others</t>
        </is>
      </c>
    </row>
    <row r="119" outlineLevel="2" ht="120" customHeight="1" s="128">
      <c r="A119" s="139" t="inlineStr">
        <is>
          <t>MICRO-SKILL</t>
        </is>
      </c>
      <c r="B119" s="139" t="inlineStr">
        <is>
          <t>1. Assessment</t>
        </is>
      </c>
      <c r="C119" s="139" t="inlineStr">
        <is>
          <t>Behavioural and emotional rating scales</t>
        </is>
      </c>
      <c r="D119" s="139" t="inlineStr">
        <is>
          <t>Block 3 · Reading discrepancy</t>
        </is>
      </c>
      <c r="E119" s="223" t="inlineStr">
        <is>
          <t>Distinguish elevated from clinically significant</t>
        </is>
      </c>
      <c r="F119" s="139" t="inlineStr">
        <is>
          <t>PSI Code 4.2.2</t>
        </is>
      </c>
      <c r="G119" s="227" t="inlineStr">
        <is>
          <t>Rating systems band T-scores, and the bands mean specific things. On the BASC-3, clinical scales at 60–69 are 'at-risk' and 70 and above 'clinically significant' (Reynolds &amp; Kamphaus, 2015). On the ASEBA syndrome scales, 65–69 is borderline and 70 and above clinical (Achenbach &amp; Rescorla, 2001). Other instruments use other cut-offs, so check each manual. 'Clinically significant' is a statistical statement about rarity against norms, not a diagnosis. Misusing either term misleads the reader about how concerned to be.</t>
        </is>
      </c>
      <c r="H119" s="165" t="inlineStr">
        <is>
          <t>WATCH FOR — the exact words your supervisor uses for each band, and whether they explain the band in plain language in the report.
WRITE DOWN — the instrument, its band labels and cut-offs as printed in the manual, and the sentence your supervisor used to report an elevated score.
ASK AFTERWARDS — 'how do you explain to a parent that a clinically significant score doesn't mean their child has a disorder?'</t>
        </is>
      </c>
      <c r="I119" s="165" t="inlineStr">
        <is>
          <t>YOU TAKE — writing the band label and plain-language meaning beside each score in the draft score table.
THEY HOLD — how the scores are summarised in the conclusion and discussed with the family.
WHY THAT SPLIT — attaching the right label is checkable against the manual. Deciding how much weight an elevated score carries in the conclusion is interpretation.</t>
        </is>
      </c>
      <c r="J119" s="165" t="inlineStr">
        <is>
          <t>YOU RUN IT — report the rating scale results in writing and in the feedback meeting, with your supervisor present.
WHAT THEY ARE WATCHING FOR — 'clinical' used to mean 'diagnosed', one instrument's cut-offs applied to another, and at-risk scores ignored because they are not clinical.
STEPPING IN LOOKS LIKE — your supervisor rephrasing: 'what that means is that fewer than about one in fifty children in the norm group scored this high.'</t>
        </is>
      </c>
      <c r="K119" s="207" t="inlineStr">
        <is>
          <t>YOU DO IT ALONE — report each score with the manual's band label, what the band means statistically, and a plain-language sentence, without implying diagnosis.
PASS TEST — You know what the cut-offs mean and say so
EVIDENCE TO FILE — the score table and narrative in the report. Log against 1. Assessment and 6. Ethical Practice.
WHAT FAILURE LOOKS LIKE — a school acting on 'clinically significant anxiety' as if a diagnosis had been made.</t>
        </is>
      </c>
      <c r="L119" s="165" t="inlineStr">
        <is>
          <t>YOU CAN TEACH IT — you can explain T-scores, percentiles and band cut-offs, why cut-offs differ between instruments, and why statistical rarity is not the same as disorder.
WHEN IT GOES WRONG — you can say what to do when a score sits just under a cut-off but everything else suggests serious concern: report the score honestly, and let the wider evidence carry the conclusion.</t>
        </is>
      </c>
      <c r="M119" s="224" t="inlineStr">
        <is>
          <t>Using 'clinically significant' as if it meant 'diagnosed'.</t>
        </is>
      </c>
      <c r="N119" s="165" t="inlineStr">
        <is>
          <t>→ Feeds into interpretation and limitations, into Formulation, and into onward referral decisions.</t>
        </is>
      </c>
      <c r="O119" s="225" t="inlineStr">
        <is>
          <t>Not started</t>
        </is>
      </c>
      <c r="P119" s="165" t="inlineStr">
        <is>
          <t>WATCH FOR — the exact words your supervisor uses for each band, and whether they explain the band in plain language in the report.</t>
        </is>
      </c>
      <c r="Q119" s="139" t="inlineStr">
        <is>
          <t>Year 1</t>
        </is>
      </c>
      <c r="R119" s="226" t="inlineStr">
        <is>
          <t>26/10/2026</t>
        </is>
      </c>
      <c r="S119" s="226" t="inlineStr">
        <is>
          <t>16/11/2026</t>
        </is>
      </c>
      <c r="T119" s="226" t="inlineStr">
        <is>
          <t>14/12/2026</t>
        </is>
      </c>
      <c r="U119" s="139" t="inlineStr">
        <is>
          <t>Report — score table and narrative · Appendix 5 · Log sheet tagged 1. Assessment and 6. Ethical Practice</t>
        </is>
      </c>
    </row>
    <row r="120" outlineLevel="2" ht="19.5" customHeight="1" s="128">
      <c r="A120" s="219" t="inlineStr">
        <is>
          <t>MACRO SKILL</t>
        </is>
      </c>
      <c r="B120" s="219" t="inlineStr">
        <is>
          <t>1. Assessment</t>
        </is>
      </c>
      <c r="C120" s="219" t="inlineStr">
        <is>
          <t>Adapt standardised procedure and record the adaptation</t>
        </is>
      </c>
      <c r="D120" s="219" t="n"/>
      <c r="E120" s="219" t="inlineStr">
        <is>
          <t>2 blocks · 5 micro-skills</t>
        </is>
      </c>
      <c r="F120" s="219" t="inlineStr">
        <is>
          <t>CORU 5.31 · 2.8</t>
        </is>
      </c>
      <c r="G120" s="219" t="n"/>
      <c r="H120" s="219" t="n"/>
      <c r="I120" s="219" t="n"/>
      <c r="J120" s="219" t="n"/>
      <c r="K120" s="219" t="n"/>
      <c r="L120" s="219" t="n"/>
      <c r="M120" s="219" t="n"/>
      <c r="N120" s="219" t="n"/>
      <c r="O120" s="219" t="n"/>
      <c r="P120" s="219" t="n"/>
      <c r="Q120" s="219" t="inlineStr">
        <is>
          <t>Year 1</t>
        </is>
      </c>
      <c r="R120" s="219" t="n"/>
      <c r="S120" s="219" t="n"/>
      <c r="T120" s="219" t="n"/>
      <c r="U120" s="219" t="n"/>
    </row>
    <row r="121" outlineLevel="2" ht="43.5" customHeight="1" s="128">
      <c r="A121" s="220" t="inlineStr">
        <is>
          <t>BLOCK</t>
        </is>
      </c>
      <c r="B121" s="220" t="inlineStr">
        <is>
          <t>1. Assessment</t>
        </is>
      </c>
      <c r="C121" s="220" t="inlineStr">
        <is>
          <t>Adapt standardised procedure and record the adaptation</t>
        </is>
      </c>
      <c r="D121" s="221" t="inlineStr">
        <is>
          <t>Block 1 · Knowing what adaptation costs</t>
        </is>
      </c>
      <c r="E121" s="222" t="inlineStr">
        <is>
          <t>Which adaptations preserve validity, which invalidate a score, and how the manual treats each.</t>
        </is>
      </c>
      <c r="F121" s="220" t="inlineStr">
        <is>
          <t>2–3 hours, once · Weeks 1–2</t>
        </is>
      </c>
      <c r="G121" s="220" t="n"/>
      <c r="H121" s="220" t="n"/>
      <c r="I121" s="220" t="n"/>
      <c r="J121" s="220" t="n"/>
      <c r="K121" s="220" t="n"/>
      <c r="L121" s="220" t="n"/>
      <c r="M121" s="222" t="n"/>
      <c r="N121" s="220" t="n"/>
      <c r="O121" s="220" t="n"/>
      <c r="P121" s="220" t="inlineStr">
        <is>
          <t>How you build it: Ask your supervisor for three examples and why. Read the manual's section on testing the limits.</t>
        </is>
      </c>
      <c r="Q121" s="220" t="n"/>
      <c r="R121" s="220" t="n"/>
      <c r="S121" s="220" t="n"/>
      <c r="T121" s="220" t="n"/>
      <c r="U121" s="220" t="n"/>
    </row>
    <row r="122" outlineLevel="2" ht="120" customHeight="1" s="128">
      <c r="A122" s="139" t="inlineStr">
        <is>
          <t>MICRO-SKILL</t>
        </is>
      </c>
      <c r="B122" s="139" t="inlineStr">
        <is>
          <t>1. Assessment</t>
        </is>
      </c>
      <c r="C122" s="139" t="inlineStr">
        <is>
          <t>Adapt standardised procedure and record the adaptation</t>
        </is>
      </c>
      <c r="D122" s="139" t="inlineStr">
        <is>
          <t>Block 1 · Knowing what adaptation costs</t>
        </is>
      </c>
      <c r="E122" s="223" t="inlineStr">
        <is>
          <t>Choose an adaptation proportionate to the need</t>
        </is>
      </c>
      <c r="F122" s="139" t="inlineStr">
        <is>
          <t>CORU SoP 5.31 · Equal Status Acts</t>
        </is>
      </c>
      <c r="G122" s="227" t="inlineStr">
        <is>
          <t>Some children cannot access a standardised procedure as written: sensory, motor, language, attention or anxiety needs get in the way. Refusing to adapt can breach the duty of reasonable accommodation (Equal Status Acts 2000–2018). Adapting too much means the score no longer means what the norms say. The Standards for Educational and Psychological Testing (AERA, APA &amp; NCME, 2014) separate accommodations, which leave the construct intact, from modifications, which change it. The skill is choosing the least adaptation that removes the barrier.</t>
        </is>
      </c>
      <c r="H122" s="165" t="inlineStr">
        <is>
          <t>WATCH FOR — which adaptations your supervisor uses, and when: breaks, a changed order, repeated instructions, a different seating arrangement, an interpreter, or stopping.
WRITE DOWN — each adaptation, the barrier it responded to, and whether your supervisor considered it an accommodation or a modification.
ASK AFTERWARDS — 'what's the smallest change you could have made there, and why did you choose that one?'</t>
        </is>
      </c>
      <c r="I122" s="165" t="inlineStr">
        <is>
          <t>YOU TAKE — planning adaptations before the session from what you know of the child, and writing down why each is needed.
THEY HOLD — decisions made in the room, and whether a proposed change would invalidate the norms.
WHY THAT SPLIT — planning ahead is reasoning you can check against the manual. In-the-moment decisions need experience of how each change affects the score.</t>
        </is>
      </c>
      <c r="J122" s="165" t="inlineStr">
        <is>
          <t>YOU RUN IT — administer with your planned adaptations and make in-session decisions yourself, with your supervisor present.
WHAT THEY ARE WATCHING FOR — over-adapting (rephrasing items, extra prompts) out of kindness, and under-adapting out of fear of breaking the rules.
STEPPING IN LOOKS LIKE — suggesting a break rather than a rephrase: 'shall we stop for a minute?'</t>
        </is>
      </c>
      <c r="K122" s="207" t="inlineStr">
        <is>
          <t>YOU DO IT ALONE — choose each adaptation deliberately from the least-change options (break, rephrase within the rules, reorder, discontinue), and know which ones change the construct.
PASS TEST — Break, rephrase, reorder or discontinue, chosen deliberately
EVIDENCE TO FILE — the protocol annotations and the report's administration notes. Log against 1. Assessment and 6. Ethical Practice.
WHAT FAILURE LOOKS LIKE — a child who was given extra time and rephrased items reported with standard scores and no comment.</t>
        </is>
      </c>
      <c r="L122" s="165" t="inlineStr">
        <is>
          <t>YOU CAN TEACH IT — you can explain accommodation versus modification with worked examples, the reasonable-accommodation duty, and what each common adaptation does to interpretability.
WHEN IT GOES WRONG — you can say what to do when an adaptation turns out to have changed the construct: report scores as descriptive rather than normative, and say why.</t>
        </is>
      </c>
      <c r="M122" s="224" t="inlineStr">
        <is>
          <t>Rephrasing items to help the child, then reporting standard scores as though nothing changed.</t>
        </is>
      </c>
      <c r="N122" s="165" t="inlineStr">
        <is>
          <t>→ Feeds into 'State the effect on validity in the report', 'Record the adaptation at the moment it happens', and Ethical Practice.</t>
        </is>
      </c>
      <c r="O122" s="225" t="inlineStr">
        <is>
          <t>Not started</t>
        </is>
      </c>
      <c r="P122" s="165" t="inlineStr">
        <is>
          <t>WATCH FOR — which adaptations your supervisor uses, and when: breaks, a changed order, repeated instructions, a different seating arrangement, an interpreter, or stopping.</t>
        </is>
      </c>
      <c r="Q122" s="139" t="inlineStr">
        <is>
          <t>Year 1</t>
        </is>
      </c>
      <c r="R122" s="226" t="inlineStr">
        <is>
          <t>26/10/2026</t>
        </is>
      </c>
      <c r="S122" s="226" t="inlineStr">
        <is>
          <t>16/11/2026</t>
        </is>
      </c>
      <c r="T122" s="226" t="inlineStr">
        <is>
          <t>14/12/2026</t>
        </is>
      </c>
      <c r="U122" s="139" t="inlineStr">
        <is>
          <t>Annotated protocol · Report — administration notes · Appendix 5 · Log sheet tagged 1. Assessment and 6. Ethical Practice</t>
        </is>
      </c>
    </row>
    <row r="123" outlineLevel="2" ht="120" customHeight="1" s="128">
      <c r="A123" s="139" t="inlineStr">
        <is>
          <t>MICRO-SKILL</t>
        </is>
      </c>
      <c r="B123" s="139" t="inlineStr">
        <is>
          <t>1. Assessment</t>
        </is>
      </c>
      <c r="C123" s="139" t="inlineStr">
        <is>
          <t>Adapt standardised procedure and record the adaptation</t>
        </is>
      </c>
      <c r="D123" s="139" t="inlineStr">
        <is>
          <t>Block 1 · Knowing what adaptation costs</t>
        </is>
      </c>
      <c r="E123" s="223" t="inlineStr">
        <is>
          <t>State the effect on validity in the report</t>
        </is>
      </c>
      <c r="F123" s="139" t="inlineStr">
        <is>
          <t>PSI Code 4.2.2</t>
        </is>
      </c>
      <c r="G123" s="227" t="inlineStr">
        <is>
          <t>Norms describe how children performed under standard conditions. Once conditions change, the reader needs to know whether the comparison still holds. Test publishers' guidance is that non-standard administration must be reported with its likely effect (AERA, APA &amp; NCME, 2014; PSI Code 4.2.2). A score reported without that note tells the reader it means the same as any other score. If it does not, the report has misled them.</t>
        </is>
      </c>
      <c r="H123" s="165" t="inlineStr">
        <is>
          <t>WATCH FOR — where your supervisor reports adaptations: usually a short 'administration and validity' or 'behaviour during assessment' paragraph. Notice whether they say which scores are affected.
WRITE DOWN — the adaptation, the subtests affected, and the sentence stating whether scores remain interpretable.
ASK AFTERWARDS — 'when do you decide a score can't be reported at all?'</t>
        </is>
      </c>
      <c r="I123" s="165" t="inlineStr">
        <is>
          <t>YOU TAKE — drafting the validity paragraph, naming each adaptation and the subtests it touched.
THEY HOLD — the judgement on whether the affected scores are interpretable, descriptive only, or should be withheld.
WHY THAT SPLIT — listing what changed is a record-keeping task. Whether a score still means something requires knowledge of the test's construct and norms.</t>
        </is>
      </c>
      <c r="J123" s="165" t="inlineStr">
        <is>
          <t>YOU RUN IT — write the validity paragraph with your own judgement on interpretability, and defend it in supervision.
WHAT THEY ARE WATCHING FOR — a validity statement that says 'results are a valid estimate' by default, and affected scores left in composites without comment.
STEPPING IN LOOKS LIKE — 'that subtest was timed and you gave extra time. Can it go into the index?'</t>
        </is>
      </c>
      <c r="K123" s="207" t="inlineStr">
        <is>
          <t>YOU DO IT ALONE — for every adapted administration, state in the report what changed, which scores it affects, and whether each remains interpretable against the norms.
PASS TEST — You said whether scores remain interpretable
EVIDENCE TO FILE — the administration and validity paragraph of the report. Log against 1. Assessment and 6. Ethical Practice.
WHAT FAILURE LOOKS LIKE — an index score built from a subtest you administered non-standardly, reported without comment and used to decide provision.</t>
        </is>
      </c>
      <c r="L123" s="165" t="inlineStr">
        <is>
          <t>YOU CAN TEACH IT — you can explain how to judge interpretability subtest by subtest, when to report scores as descriptive, and when to withhold a composite.
WHEN IT GOES WRONG — you can say what to do when you realise after sending the report that a score was compromised: tell your supervisor, issue a correction, and say whether the conclusions change.</t>
        </is>
      </c>
      <c r="M123" s="224" t="inlineStr">
        <is>
          <t>A validity statement that says the results are valid when the administration was adapted.</t>
        </is>
      </c>
      <c r="N123" s="165" t="inlineStr">
        <is>
          <t>→ Feeds into 'Record the adaptation at the moment it happens', into the limitations paragraph, and into Ethical Practice.</t>
        </is>
      </c>
      <c r="O123" s="225" t="inlineStr">
        <is>
          <t>Not started</t>
        </is>
      </c>
      <c r="P123" s="165" t="inlineStr">
        <is>
          <t>WATCH FOR — where your supervisor reports adaptations: usually a short 'administration and validity' or 'behaviour during assessment' paragraph. Notice whether they say which scores are affected.</t>
        </is>
      </c>
      <c r="Q123" s="139" t="inlineStr">
        <is>
          <t>Year 1</t>
        </is>
      </c>
      <c r="R123" s="226" t="inlineStr">
        <is>
          <t>26/10/2026</t>
        </is>
      </c>
      <c r="S123" s="226" t="inlineStr">
        <is>
          <t>16/11/2026</t>
        </is>
      </c>
      <c r="T123" s="226" t="inlineStr">
        <is>
          <t>14/12/2026</t>
        </is>
      </c>
      <c r="U123" s="139" t="inlineStr">
        <is>
          <t>Report — administration and validity · Appendix 5 · Log sheet tagged 1. Assessment and 6. Ethical Practice</t>
        </is>
      </c>
    </row>
    <row r="124" outlineLevel="2" ht="43.5" customHeight="1" s="128">
      <c r="A124" s="220" t="inlineStr">
        <is>
          <t>BLOCK</t>
        </is>
      </c>
      <c r="B124" s="220" t="inlineStr">
        <is>
          <t>1. Assessment</t>
        </is>
      </c>
      <c r="C124" s="220" t="inlineStr">
        <is>
          <t>Adapt standardised procedure and record the adaptation</t>
        </is>
      </c>
      <c r="D124" s="221" t="inlineStr">
        <is>
          <t>Block 2 · Noticing and deciding in the moment</t>
        </is>
      </c>
      <c r="E124" s="222" t="inlineStr">
        <is>
          <t>Recognising when standard procedure has stopped working, and being willing to stop entirely.</t>
        </is>
      </c>
      <c r="F124" s="220" t="inlineStr">
        <is>
          <t>Builds with practice · Weeks 7–12</t>
        </is>
      </c>
      <c r="G124" s="220" t="n"/>
      <c r="H124" s="220" t="n"/>
      <c r="I124" s="220" t="n"/>
      <c r="J124" s="220" t="n"/>
      <c r="K124" s="220" t="n"/>
      <c r="L124" s="220" t="n"/>
      <c r="M124" s="222" t="n"/>
      <c r="N124" s="220" t="n"/>
      <c r="O124" s="220" t="n"/>
      <c r="P124" s="220" t="inlineStr">
        <is>
          <t>How you build it: Write a note after every administration on what you noticed and when.</t>
        </is>
      </c>
      <c r="Q124" s="220" t="n"/>
      <c r="R124" s="220" t="n"/>
      <c r="S124" s="220" t="n"/>
      <c r="T124" s="220" t="n"/>
      <c r="U124" s="220" t="n"/>
    </row>
    <row r="125" outlineLevel="2" ht="120" customHeight="1" s="128">
      <c r="A125" s="139" t="inlineStr">
        <is>
          <t>MICRO-SKILL</t>
        </is>
      </c>
      <c r="B125" s="139" t="inlineStr">
        <is>
          <t>1. Assessment</t>
        </is>
      </c>
      <c r="C125" s="139" t="inlineStr">
        <is>
          <t>Adapt standardised procedure and record the adaptation</t>
        </is>
      </c>
      <c r="D125" s="139" t="inlineStr">
        <is>
          <t>Block 2 · Noticing and deciding in the moment</t>
        </is>
      </c>
      <c r="E125" s="223" t="inlineStr">
        <is>
          <t>Recognise when standard procedure is not working</t>
        </is>
      </c>
      <c r="F125" s="139" t="inlineStr">
        <is>
          <t>CORU SoP 5.31</t>
        </is>
      </c>
      <c r="G125" s="227" t="inlineStr">
        <is>
          <t>Standard procedure stops working in recognisable ways: the child disengages, becomes distressed, cannot understand the instructions, or answers from anxiety rather than ability. The later you notice, the more items are spoiled and the harder the session is to rescue. Early signs are often small — slowing responses, a change in posture, 'I don't know' before the item has been read. Noticing early is what makes a small adaptation enough.</t>
        </is>
      </c>
      <c r="H125" s="165" t="inlineStr">
        <is>
          <t>WATCH FOR — the moment your supervisor changes something, and what they noticed just before. Often it is a behaviour you did not register.
WRITE DOWN — the sign, the time, the subtest, and what your supervisor did.
ASK AFTERWARDS — 'what did you see just before you offered a break?'</t>
        </is>
      </c>
      <c r="I125" s="165" t="inlineStr">
        <is>
          <t>YOU TAKE — watching and noting signs of strain during your supervisor's administration, and comparing your notes with theirs afterwards.
THEY HOLD — deciding when to act.
WHY THAT SPLIT — when you are not administering, all your attention can go on the child, which is how you learn to see the signs. Deciding to act changes the assessment, so it stays with them.</t>
        </is>
      </c>
      <c r="J125" s="165" t="inlineStr">
        <is>
          <t>YOU RUN IT — administer, watch for signs, and act when you see them, with your supervisor present.
WHAT THEY ARE WATCHING FOR — pressing on to finish the subtest when the child is clearly struggling, because stopping feels like failure.
STEPPING IN LOOKS LIKE — a quiet 'how are you doing?' to the child, which gives you the cue.</t>
        </is>
      </c>
      <c r="K125" s="207" t="inlineStr">
        <is>
          <t>YOU DO IT ALONE — notice strain early and act in proportion, and record when and what you saw.
PASS TEST — You noticed early rather than at the end
EVIDENCE TO FILE — protocol annotations with time and behaviour, and the behavioural observations section of the report. Log against 1. Assessment.
WHAT FAILURE LOOKS LIKE — a child in tears by the final subtest, and a protocol with no note of when it started.</t>
        </is>
      </c>
      <c r="L125" s="165" t="inlineStr">
        <is>
          <t>YOU CAN TEACH IT — you can describe the early signs of disengagement, anxiety and confusion, and how to tell them apart, and explain why acting early protects both the child and the validity of the scores.
WHEN IT GOES WRONG — you can say what to do when you missed the signs and the session ended badly: tell your supervisor, check on the child, record it, and judge whether the later scores can be reported.</t>
        </is>
      </c>
      <c r="M125" s="224" t="inlineStr">
        <is>
          <t>Pushing through to the end of the subtest because stopping feels like losing the score.</t>
        </is>
      </c>
      <c r="N125" s="165" t="inlineStr">
        <is>
          <t>→ Feeds into 'Record the adaptation at the moment it happens', 'Re-evaluate whether to continue at all', and the behavioural observations section.</t>
        </is>
      </c>
      <c r="O125" s="225" t="inlineStr">
        <is>
          <t>Not started</t>
        </is>
      </c>
      <c r="P125" s="165" t="inlineStr">
        <is>
          <t>WATCH FOR — the moment your supervisor changes something, and what they noticed just before. Often it is a behaviour you did not register.</t>
        </is>
      </c>
      <c r="Q125" s="139" t="inlineStr">
        <is>
          <t>Year 1</t>
        </is>
      </c>
      <c r="R125" s="226" t="inlineStr">
        <is>
          <t>26/10/2026</t>
        </is>
      </c>
      <c r="S125" s="226" t="inlineStr">
        <is>
          <t>16/11/2026</t>
        </is>
      </c>
      <c r="T125" s="226" t="inlineStr">
        <is>
          <t>14/12/2026</t>
        </is>
      </c>
      <c r="U125" s="139" t="inlineStr">
        <is>
          <t>Annotated protocol · Report — behavioural observations · Appendix 5 · Log sheet tagged 1. Assessment</t>
        </is>
      </c>
    </row>
    <row r="126" outlineLevel="2" ht="120" customHeight="1" s="128">
      <c r="A126" s="139" t="inlineStr">
        <is>
          <t>MICRO-SKILL</t>
        </is>
      </c>
      <c r="B126" s="139" t="inlineStr">
        <is>
          <t>1. Assessment</t>
        </is>
      </c>
      <c r="C126" s="139" t="inlineStr">
        <is>
          <t>Adapt standardised procedure and record the adaptation</t>
        </is>
      </c>
      <c r="D126" s="139" t="inlineStr">
        <is>
          <t>Block 2 · Noticing and deciding in the moment</t>
        </is>
      </c>
      <c r="E126" s="223" t="inlineStr">
        <is>
          <t>Record the adaptation at the moment it happens</t>
        </is>
      </c>
      <c r="F126" s="139" t="inlineStr">
        <is>
          <t>CORU SoP 2.8</t>
        </is>
      </c>
      <c r="G126" s="227" t="inlineStr">
        <is>
          <t>A reconstructed record is not a record. By the time you write up, you will not remember which item you rephrased, how long the break was, or whether you repeated an instruction. CORU SoP 2.8 ties record-keeping to accuracy and timeliness. A protocol annotated in the moment is the only thing that lets you, your supervisor or a later reviewer judge which scores were affected. Without it you cannot write the validity statement honestly.</t>
        </is>
      </c>
      <c r="H126" s="165" t="inlineStr">
        <is>
          <t>WATCH FOR — how and when your supervisor annotates the protocol: margin notes, standard abbreviations, the time written beside a break.
WRITE DOWN — the abbreviations they use and what each means.
ASK AFTERWARDS — 'what's your shorthand for a repeated instruction, a prompt and a break?'</t>
        </is>
      </c>
      <c r="I126" s="165" t="inlineStr">
        <is>
          <t>YOU TAKE — annotating the protocol in real time while your supervisor administers.
THEY HOLD — the administration.
WHY THAT SPLIT — annotating at speed while watching the child is its own skill. Practising it without the load of administering builds the habit before you need both at once.</t>
        </is>
      </c>
      <c r="J126" s="165" t="inlineStr">
        <is>
          <t>YOU RUN IT — administer and annotate at the same time, with your supervisor present.
WHAT THEY ARE WATCHING FOR — adaptations made and not written down, and notes added afterwards from memory.
STEPPING IN LOOKS LIKE — at the end, 'show me where you wrote down the break.'</t>
        </is>
      </c>
      <c r="K126" s="207" t="inlineStr">
        <is>
          <t>YOU DO IT ALONE — annotate every adaptation on the protocol as it happens: what changed, which item, the time. Do not add to the record after the session except as a dated, clearly marked addition.
PASS TEST — Annotated on the protocol, not reconstructed
EVIDENCE TO FILE — the annotated protocol. Log against 1. Assessment and 6. Ethical Practice.
WHAT FAILURE LOOKS LIKE — a validity paragraph written from memory that does not match the protocol, found on audit.</t>
        </is>
      </c>
      <c r="L126" s="165" t="inlineStr">
        <is>
          <t>YOU CAN TEACH IT — you can teach a consistent annotation shorthand and explain why contemporaneous records carry weight that reconstructed ones do not.
WHEN IT GOES WRONG — you can say what to do when you realise you did not record something: add a dated, clearly marked note saying it was written afterwards, and weaken any claim that depends on it.</t>
        </is>
      </c>
      <c r="M126" s="224" t="inlineStr">
        <is>
          <t>Writing up adaptations from memory after the session and presenting them as the record.</t>
        </is>
      </c>
      <c r="N126" s="165" t="inlineStr">
        <is>
          <t>→ Feeds into 'State the effect on validity in the report', and into Ethical Practice — record-keeping.</t>
        </is>
      </c>
      <c r="O126" s="225" t="inlineStr">
        <is>
          <t>Not started</t>
        </is>
      </c>
      <c r="P126" s="165" t="inlineStr">
        <is>
          <t>WATCH FOR — how and when your supervisor annotates the protocol: margin notes, standard abbreviations, the time written beside a break.</t>
        </is>
      </c>
      <c r="Q126" s="139" t="inlineStr">
        <is>
          <t>Year 1</t>
        </is>
      </c>
      <c r="R126" s="226" t="inlineStr">
        <is>
          <t>26/10/2026</t>
        </is>
      </c>
      <c r="S126" s="226" t="inlineStr">
        <is>
          <t>16/11/2026</t>
        </is>
      </c>
      <c r="T126" s="226" t="inlineStr">
        <is>
          <t>14/12/2026</t>
        </is>
      </c>
      <c r="U126" s="139" t="inlineStr">
        <is>
          <t>Annotated protocol · Log sheet tagged 1. Assessment and 6. Ethical Practice</t>
        </is>
      </c>
    </row>
    <row r="127" outlineLevel="2" ht="120" customHeight="1" s="128">
      <c r="A127" s="139" t="inlineStr">
        <is>
          <t>MICRO-SKILL</t>
        </is>
      </c>
      <c r="B127" s="139" t="inlineStr">
        <is>
          <t>1. Assessment</t>
        </is>
      </c>
      <c r="C127" s="139" t="inlineStr">
        <is>
          <t>Adapt standardised procedure and record the adaptation</t>
        </is>
      </c>
      <c r="D127" s="139" t="inlineStr">
        <is>
          <t>Block 2 · Noticing and deciding in the moment</t>
        </is>
      </c>
      <c r="E127" s="223" t="inlineStr">
        <is>
          <t>Re-evaluate whether to continue at all</t>
        </is>
      </c>
      <c r="F127" s="139" t="inlineStr">
        <is>
          <t>PSI Code 2.3.3</t>
        </is>
      </c>
      <c r="G127" s="227" t="inlineStr">
        <is>
          <t>Sometimes the right adaptation is to stop. A child who is distressed, unwell, withdrawing assent, or unable to access the task at all is not giving you valid data, and continuing may harm them and their trust in adults who assess them. Assent is ongoing, not a form signed at the start. Trainees often find stopping hardest because it feels like failing the assessment. Stopping well is a professional decision, not a failure.</t>
        </is>
      </c>
      <c r="H127" s="165" t="inlineStr">
        <is>
          <t>WATCH FOR — whether your supervisor stops or reschedules a session, and how they explain it to the child, the parent and the school.
WRITE DOWN — the signs that led to stopping, what was said to the child, and what was planned instead.
ASK AFTERWARDS — 'what's the threshold where you stop rather than adapt?'</t>
        </is>
      </c>
      <c r="I127" s="165" t="inlineStr">
        <is>
          <t>YOU TAKE — watching for signs that assent has been withdrawn, and saying so to your supervisor, quietly or at a break.
THEY HOLD — the decision to stop, and the conversation with the family and school.
WHY THAT SPLIT — noticing withdrawn assent is something you can do from the first session. Stopping has consequences — rescheduling, waiting lists, school expectations — that your supervisor manages.</t>
        </is>
      </c>
      <c r="J127" s="165" t="inlineStr">
        <is>
          <t>YOU RUN IT — make the call to continue, adapt or stop in your own session, with your supervisor present to support.
WHAT THEY ARE WATCHING FOR — continuing because the school is waiting for the report, or because stopping feels like admitting something went wrong.
STEPPING IN LOOKS LIKE — 'do you want to check with them whether they'd like to keep going?'</t>
        </is>
      </c>
      <c r="K127" s="207" t="inlineStr">
        <is>
          <t>YOU DO IT ALONE — keep checking assent through the session, stop when the child cannot or will not continue validly, and record the reason.
PASS TEST — You were willing to stop
EVIDENCE TO FILE — the protocol note and a case note of the reason and the plan. Log against 1. Assessment and 6. Ethical Practice. Consider Appendix 8 if it raised a dilemma.
WHAT FAILURE LOOKS LIKE — a distressed child pushed through the battery, and scores reported as though the session were typical.</t>
        </is>
      </c>
      <c r="L127" s="165" t="inlineStr">
        <is>
          <t>YOU CAN TEACH IT — you can explain ongoing assent, the signs that it has been withdrawn, and why stopping protects both the child and the validity of the assessment.
WHEN IT GOES WRONG — you can say what to do when a school or parent pushes back on a stopped session: explain that invalid scores would harm the child more than a delay, and offer a plan for completing the assessment.</t>
        </is>
      </c>
      <c r="M127" s="224" t="inlineStr">
        <is>
          <t>Continuing a session the child has clearly withdrawn from because the report is due.</t>
        </is>
      </c>
      <c r="N127" s="165" t="inlineStr">
        <is>
          <t>→ Feeds into Ethical Practice — consent, assent and the child's welfare — and into 'State the effect on validity in the report'.</t>
        </is>
      </c>
      <c r="O127" s="225" t="inlineStr">
        <is>
          <t>Not started</t>
        </is>
      </c>
      <c r="P127" s="165" t="inlineStr">
        <is>
          <t>WATCH FOR — whether your supervisor stops or reschedules a session, and how they explain it to the child, the parent and the school.</t>
        </is>
      </c>
      <c r="Q127" s="139" t="inlineStr">
        <is>
          <t>Year 1</t>
        </is>
      </c>
      <c r="R127" s="226" t="inlineStr">
        <is>
          <t>26/10/2026</t>
        </is>
      </c>
      <c r="S127" s="226" t="inlineStr">
        <is>
          <t>16/11/2026</t>
        </is>
      </c>
      <c r="T127" s="226" t="inlineStr">
        <is>
          <t>14/12/2026</t>
        </is>
      </c>
      <c r="U127" s="139" t="inlineStr">
        <is>
          <t>Protocol note · case note · Appendix 8 if a dilemma arose · Log sheet tagged 1. Assessment and 6. Ethical Practice</t>
        </is>
      </c>
    </row>
    <row r="128" ht="21.75" customHeight="1" s="128">
      <c r="A128" s="173" t="inlineStr">
        <is>
          <t>COMPETENCY</t>
        </is>
      </c>
      <c r="B128" s="173" t="inlineStr">
        <is>
          <t>2. Formulation</t>
        </is>
      </c>
      <c r="C128" s="173" t="n"/>
      <c r="D128" s="173" t="n"/>
      <c r="E128" s="173" t="inlineStr">
        <is>
          <t>6 macro skills · 15 blocks · 29 micro-skills</t>
        </is>
      </c>
      <c r="F128" s="173" t="n"/>
      <c r="G128" s="173" t="n"/>
      <c r="H128" s="173" t="n"/>
      <c r="I128" s="173" t="n"/>
      <c r="J128" s="173" t="n"/>
      <c r="K128" s="173" t="n"/>
      <c r="L128" s="173" t="n"/>
      <c r="M128" s="173" t="n"/>
      <c r="N128" s="173" t="n"/>
      <c r="O128" s="173" t="n"/>
      <c r="P128" s="173" t="n"/>
      <c r="Q128" s="173" t="n"/>
      <c r="R128" s="173" t="n"/>
      <c r="S128" s="173" t="n"/>
      <c r="T128" s="173" t="n"/>
      <c r="U128" s="173" t="n"/>
    </row>
    <row r="129" ht="19.5" customHeight="1" s="128">
      <c r="A129" s="219" t="inlineStr">
        <is>
          <t>MACRO SKILL</t>
        </is>
      </c>
      <c r="B129" s="219" t="inlineStr">
        <is>
          <t>2. Formulation</t>
        </is>
      </c>
      <c r="C129" s="219" t="inlineStr">
        <is>
          <t>Learn the four frameworks for practice</t>
        </is>
      </c>
      <c r="D129" s="219" t="n"/>
      <c r="E129" s="219" t="inlineStr">
        <is>
          <t>2 blocks · 5 micro-skills</t>
        </is>
      </c>
      <c r="F129" s="219" t="inlineStr">
        <is>
          <t>CORU 5.29 · Handbook §2.1</t>
        </is>
      </c>
      <c r="G129" s="219" t="n"/>
      <c r="H129" s="219" t="n"/>
      <c r="I129" s="219" t="n"/>
      <c r="J129" s="219" t="n"/>
      <c r="K129" s="219" t="n"/>
      <c r="L129" s="219" t="n"/>
      <c r="M129" s="219" t="n"/>
      <c r="N129" s="219" t="n"/>
      <c r="O129" s="219" t="n"/>
      <c r="P129" s="219" t="n"/>
      <c r="Q129" s="219" t="inlineStr">
        <is>
          <t>Year 1</t>
        </is>
      </c>
      <c r="R129" s="219" t="n"/>
      <c r="S129" s="219" t="n"/>
      <c r="T129" s="219" t="n"/>
      <c r="U129" s="219" t="n"/>
    </row>
    <row r="130" outlineLevel="2" ht="43.5" customHeight="1" s="128">
      <c r="A130" s="220" t="inlineStr">
        <is>
          <t>BLOCK</t>
        </is>
      </c>
      <c r="B130" s="220" t="inlineStr">
        <is>
          <t>2. Formulation</t>
        </is>
      </c>
      <c r="C130" s="220" t="inlineStr">
        <is>
          <t>Learn the four frameworks for practice</t>
        </is>
      </c>
      <c r="D130" s="221" t="inlineStr">
        <is>
          <t>Block 1 · Reading them</t>
        </is>
      </c>
      <c r="E130" s="222" t="inlineStr">
        <is>
          <t>What each of Monsen's Problem-Analysis, the Constructionist Model, the Interactive Factors Framework and Carr's Framework foregrounds.</t>
        </is>
      </c>
      <c r="F130" s="220" t="inlineStr">
        <is>
          <t>5–6 hours, once · Before placement</t>
        </is>
      </c>
      <c r="G130" s="220" t="n"/>
      <c r="H130" s="220" t="n"/>
      <c r="I130" s="220" t="n"/>
      <c r="J130" s="220" t="n"/>
      <c r="K130" s="220" t="n"/>
      <c r="L130" s="220" t="n"/>
      <c r="M130" s="222" t="n"/>
      <c r="N130" s="220" t="n"/>
      <c r="O130" s="220" t="n"/>
      <c r="P130" s="220" t="inlineStr">
        <is>
          <t>How you build it: Read all four. One page of notes each — what it foregrounds, what it leaves out, what it suits.</t>
        </is>
      </c>
      <c r="Q130" s="220" t="n"/>
      <c r="R130" s="220" t="n"/>
      <c r="S130" s="220" t="n"/>
      <c r="T130" s="220" t="n"/>
      <c r="U130" s="220" t="n"/>
    </row>
    <row r="131" outlineLevel="2" ht="120" customHeight="1" s="128">
      <c r="A131" s="139" t="inlineStr">
        <is>
          <t>MICRO-SKILL</t>
        </is>
      </c>
      <c r="B131" s="139" t="inlineStr">
        <is>
          <t>2. Formulation</t>
        </is>
      </c>
      <c r="C131" s="139" t="inlineStr">
        <is>
          <t>Learn the four frameworks for practice</t>
        </is>
      </c>
      <c r="D131" s="139" t="inlineStr">
        <is>
          <t>Block 1 · Reading them</t>
        </is>
      </c>
      <c r="E131" s="223" t="inlineStr">
        <is>
          <t>Read all four frameworks named in the handbook</t>
        </is>
      </c>
      <c r="F131" s="139" t="inlineStr">
        <is>
          <t>Handbook §2.1</t>
        </is>
      </c>
      <c r="G131" s="227" t="inlineStr">
        <is>
          <t>Handbook §2.1 names four frameworks: Monsen's Problem-Analysis Framework (Monsen &amp; Frederickson, 2008), COMOIRA (Gameson &amp; Rhydderch, 2008), the Interactive Factors Framework (Frederickson &amp; Cline, 2009, after Morton &amp; Frith), and Carr's model (Carr, 2015). The first two are chapters in Kelly, Woolfson &amp; Boyle (Eds.), Frameworks for Practice in Educational Psychology (2008). A trainee who has not read them does not work without a framework. They work with an implicit one, usually a within-child deficit model picked up from report templates, and cannot defend it when asked.</t>
        </is>
      </c>
      <c r="H131" s="165" t="inlineStr">
        <is>
          <t>WATCH FOR — which framework your supervisor's reports reflect, even if unnamed: hypotheses with evidence for and against (Monsen), levels with arrows (IFF), competing accounts held side by side (COMOIRA), or predisposing/precipitating/perpetuating/protective factors (Carr).
WRITE DOWN — for each of three reports, which framework you think it reflects and the sentence that told you.
ASK AFTERWARDS — 'did you train in one of the four, or did you come to your approach another way?'</t>
        </is>
      </c>
      <c r="I131" s="165" t="inlineStr">
        <is>
          <t>YOU TAKE — reading all four in the original chapters, not summaries, and writing one page on each: what it foregrounds, its stages, what it leaves out, what referral it suits.
THEY HOLD — correcting your reading where it misrepresents a framework.
WHY THAT SPLIT — reading is yours and cannot be delegated. A supervisor's check catches the common misreadings, such as treating COMOIRA as 'just consultation'.</t>
        </is>
      </c>
      <c r="J131" s="165" t="inlineStr">
        <is>
          <t>YOU RUN IT — explain each framework in supervision in two minutes, without notes, and say what it foregrounds.
WHAT THEY ARE WATCHING FOR — descriptions that make the four sound interchangeable, and an account of Monsen with no competing hypotheses in it.
STEPPING IN LOOKS LIKE — 'what does COMOIRA put at the centre that Monsen doesn't?'</t>
        </is>
      </c>
      <c r="K131" s="207" t="inlineStr">
        <is>
          <t>YOU DO IT ALONE — name all four, their authors and sources, and state in a sentence what each foregrounds.
PASS TEST — You can name what each foregrounds
EVIDENCE TO FILE — your four one-page summaries, kept in your portfolio. Log against 2. Formulation.
WHAT FAILURE LOOKS LIKE — at a viva or examiner's question you can name the frameworks but not say how they differ.</t>
        </is>
      </c>
      <c r="L131" s="165" t="inlineStr">
        <is>
          <t>YOU CAN TEACH IT — you can teach a first-year trainee the four frameworks in one session, with a worked case run through each, citing the original chapters.
WHEN IT GOES WRONG — you can say what to do when you realise you have been working from an implicit within-child model: re-read one current case through a named framework and see what changes.</t>
        </is>
      </c>
      <c r="M131" s="224" t="inlineStr">
        <is>
          <t>Reading summaries of the frameworks instead of the chapters, so the stages are remembered but not the reasoning.</t>
        </is>
      </c>
      <c r="N131" s="165" t="inlineStr">
        <is>
          <t>→ Feeds into 'Identify what each framework is good for', 'Identify what each leaves out', and 'Choose a framework deliberately for this case'.</t>
        </is>
      </c>
      <c r="O131" s="225" t="inlineStr">
        <is>
          <t>Not started</t>
        </is>
      </c>
      <c r="P131" s="165" t="inlineStr">
        <is>
          <t>WATCH FOR — which framework your supervisor's reports reflect, even if unnamed: hypotheses with evidence for and against (Monsen), levels with arrows (IFF), competing accounts held side by side (COMOIRA), or predisposing/precipitating/perpetuating/protective factors (Carr).</t>
        </is>
      </c>
      <c r="Q131" s="139" t="inlineStr">
        <is>
          <t>Year 1</t>
        </is>
      </c>
      <c r="R131" s="226" t="inlineStr">
        <is>
          <t>26/10/2026</t>
        </is>
      </c>
      <c r="S131" s="226" t="inlineStr">
        <is>
          <t>16/11/2026</t>
        </is>
      </c>
      <c r="T131" s="226" t="inlineStr">
        <is>
          <t>14/12/2026</t>
        </is>
      </c>
      <c r="U131" s="139" t="inlineStr">
        <is>
          <t>Four one-page summaries · Log sheet tagged 2. Formulation</t>
        </is>
      </c>
    </row>
    <row r="132" outlineLevel="2" ht="120" customHeight="1" s="128">
      <c r="A132" s="139" t="inlineStr">
        <is>
          <t>MICRO-SKILL</t>
        </is>
      </c>
      <c r="B132" s="139" t="inlineStr">
        <is>
          <t>2. Formulation</t>
        </is>
      </c>
      <c r="C132" s="139" t="inlineStr">
        <is>
          <t>Learn the four frameworks for practice</t>
        </is>
      </c>
      <c r="D132" s="139" t="inlineStr">
        <is>
          <t>Block 1 · Reading them</t>
        </is>
      </c>
      <c r="E132" s="223" t="inlineStr">
        <is>
          <t>Identify what each framework is good for</t>
        </is>
      </c>
      <c r="F132" s="139" t="inlineStr">
        <is>
          <t>CORU SoP 5.29</t>
        </is>
      </c>
      <c r="G132" s="227" t="inlineStr">
        <is>
          <t>Each framework suits different referrals. The Reference sheet (Part C) sets it out: Monsen for contested questions and disagreeing informants; the IFF for multi-level developmental and learning presentations; COMOIRA where the adults hold incompatible views and consultation leads; Carr where onset and maintenance matter, such as school avoidance or emerging low mood. If you cannot match framework to referral, you cannot choose, and you will default.</t>
        </is>
      </c>
      <c r="H132" s="165" t="inlineStr">
        <is>
          <t>WATCH FOR — the referral types your supervisor gets, and how they approach each: which ones they treat as hypothesis-testing, which as consultation, which as developmental.
WRITE DOWN — for each case you see, the referral type and the framework you think would have suited it best.
ASK AFTERWARDS — 'which kind of referral do you find hardest to formulate, and why?'</t>
        </is>
      </c>
      <c r="I132" s="165" t="inlineStr">
        <is>
          <t>YOU TAKE — building a table: referral types down the side, the four frameworks across, with a note on fit for each.
THEY HOLD — correcting fit from their experience of real cases.
WHY THAT SPLIT — the table is reasoning you can do from reading. Experience is what shows where a framework looks right on paper and fails in practice.</t>
        </is>
      </c>
      <c r="J132" s="165" t="inlineStr">
        <is>
          <t>YOU RUN IT — for each new referral, say in supervision which framework you think fits and why, before any data is gathered.
WHAT THEY ARE WATCHING FOR — the same answer for every referral, or a choice justified by preference rather than by the referral.
STEPPING IN LOOKS LIKE — 'the parents and school disagree completely here. Does that change your choice?'</t>
        </is>
      </c>
      <c r="K132" s="207" t="inlineStr">
        <is>
          <t>YOU DO IT ALONE — match each referral to a framework on the basis of what the referral is: contested, multi-level, a disagreement among adults, or about onset and maintenance.
PASS TEST — You can say which referral type suits which
EVIDENCE TO FILE — the fit table in your portfolio, and a line in each case record naming the choice. Log against 2. Formulation.
WHAT FAILURE LOOKS LIKE — Carr's model applied to a whole-class behaviour consultation, producing an individual formulation of a systemic problem.</t>
        </is>
      </c>
      <c r="L132" s="165" t="inlineStr">
        <is>
          <t>YOU CAN TEACH IT — you can give a worked referral for each framework and explain why it fits better than the other three.
WHEN IT GOES WRONG — you can say what to do when a case changes character midway, such as a learning referral that becomes a disagreement among adults: say so, and switch framework openly rather than bending the first one.</t>
        </is>
      </c>
      <c r="M132" s="224" t="inlineStr">
        <is>
          <t>Choosing a framework because you like it rather than because the referral calls for it.</t>
        </is>
      </c>
      <c r="N132" s="165" t="inlineStr">
        <is>
          <t>→ Feeds into 'Choose a framework deliberately for this case' and 'Identify what each leaves out'.</t>
        </is>
      </c>
      <c r="O132" s="225" t="inlineStr">
        <is>
          <t>Not started</t>
        </is>
      </c>
      <c r="P132" s="165" t="inlineStr">
        <is>
          <t>WATCH FOR — the referral types your supervisor gets, and how they approach each: which ones they treat as hypothesis-testing, which as consultation, which as developmental.</t>
        </is>
      </c>
      <c r="Q132" s="139" t="inlineStr">
        <is>
          <t>Year 1</t>
        </is>
      </c>
      <c r="R132" s="226" t="inlineStr">
        <is>
          <t>26/10/2026</t>
        </is>
      </c>
      <c r="S132" s="226" t="inlineStr">
        <is>
          <t>16/11/2026</t>
        </is>
      </c>
      <c r="T132" s="226" t="inlineStr">
        <is>
          <t>14/12/2026</t>
        </is>
      </c>
      <c r="U132" s="139" t="inlineStr">
        <is>
          <t>Fit table · case records · Log sheet tagged 2. Formulation</t>
        </is>
      </c>
    </row>
    <row r="133" outlineLevel="2" ht="120" customHeight="1" s="128">
      <c r="A133" s="139" t="inlineStr">
        <is>
          <t>MICRO-SKILL</t>
        </is>
      </c>
      <c r="B133" s="139" t="inlineStr">
        <is>
          <t>2. Formulation</t>
        </is>
      </c>
      <c r="C133" s="139" t="inlineStr">
        <is>
          <t>Learn the four frameworks for practice</t>
        </is>
      </c>
      <c r="D133" s="139" t="inlineStr">
        <is>
          <t>Block 1 · Reading them</t>
        </is>
      </c>
      <c r="E133" s="223" t="inlineStr">
        <is>
          <t>Identify what each leaves out</t>
        </is>
      </c>
      <c r="F133" s="139" t="inlineStr">
        <is>
          <t>PSI Code 4.2.6</t>
        </is>
      </c>
      <c r="G133" s="227" t="inlineStr">
        <is>
          <t>Every framework has a blind spot, and knowing yours is what PSI Code 4.2.6 asks of you here. The Reference sheet names them: Monsen can tidy a messy situation by dropping hypotheses that did not resolve; the IFF's arrows are easy to draw and hard to justify, since each is a causal claim; COMOIRA can drift away from the data; Carr's model centres the individual and can under-weight the classroom. If you cannot say what your preferred framework misses, you will miss it too, every time.</t>
        </is>
      </c>
      <c r="H133" s="165" t="inlineStr">
        <is>
          <t>WATCH FOR — moments where your supervisor's formulation seems to leave something out: the classroom in an individual formulation, or the child's view in a hypothesis-testing one.
WRITE DOWN — what was left out, and which framework feature made it easy to leave out.
ASK AFTERWARDS — 'what does your usual approach tend to miss?'</t>
        </is>
      </c>
      <c r="I133" s="165" t="inlineStr">
        <is>
          <t>YOU TAKE — writing, for each framework, one sentence on what it leaves out and one example of a case where that would matter.
THEY HOLD — correcting your examples.
WHY THAT SPLIT — critique of frameworks is part of your reading. Examples from real cases are where supervisor experience adds most.</t>
        </is>
      </c>
      <c r="J133" s="165" t="inlineStr">
        <is>
          <t>YOU RUN IT — for your own formulation, state in supervision what the chosen framework is likely to have missed in this case, and what you did about it.
WHAT THEY ARE WATCHING FOR — a framework treated as complete, and a limitation stated in general terms but not checked against this case.
STEPPING IN LOOKS LIKE — 'you used Carr. Where's the classroom in this?'</t>
        </is>
      </c>
      <c r="K133" s="207" t="inlineStr">
        <is>
          <t>YOU DO IT ALONE — name the limitation of the framework you used, check whether it affected this case, and say so in the limitations paragraph.
PASS TEST — You can name a limitation of your preferred one
EVIDENCE TO FILE — the limitations paragraph of the report. Log against 2. Formulation.
WHAT FAILURE LOOKS LIKE — an IFF diagram with arrows nobody can justify, and no sentence acknowledging that they are hypotheses.</t>
        </is>
      </c>
      <c r="L133" s="165" t="inlineStr">
        <is>
          <t>YOU CAN TEACH IT — you can explain each framework's blind spot, give a case where it matters, and show how to compensate for it.
WHEN IT GOES WRONG — you can say what to do when the blind spot has shaped a finished formulation: revisit it using a second framework as a check, and revise if the second view shows something the first missed.</t>
        </is>
      </c>
      <c r="M133" s="224" t="inlineStr">
        <is>
          <t>Treating your preferred framework as if it had no blind spot.</t>
        </is>
      </c>
      <c r="N133" s="165" t="inlineStr">
        <is>
          <t>→ Feeds into 'Make your preferred framework explicit in supervision' and into the limitations paragraph.</t>
        </is>
      </c>
      <c r="O133" s="225" t="inlineStr">
        <is>
          <t>Not started</t>
        </is>
      </c>
      <c r="P133" s="165" t="inlineStr">
        <is>
          <t>WATCH FOR — moments where your supervisor's formulation seems to leave something out: the classroom in an individual formulation, or the child's view in a hypothesis-testing one.</t>
        </is>
      </c>
      <c r="Q133" s="139" t="inlineStr">
        <is>
          <t>Year 1</t>
        </is>
      </c>
      <c r="R133" s="226" t="inlineStr">
        <is>
          <t>26/10/2026</t>
        </is>
      </c>
      <c r="S133" s="226" t="inlineStr">
        <is>
          <t>16/11/2026</t>
        </is>
      </c>
      <c r="T133" s="226" t="inlineStr">
        <is>
          <t>14/12/2026</t>
        </is>
      </c>
      <c r="U133" s="139" t="inlineStr">
        <is>
          <t>Report — limitations · Log sheet tagged 2. Formulation</t>
        </is>
      </c>
    </row>
    <row r="134" outlineLevel="2" ht="43.5" customHeight="1" s="128">
      <c r="A134" s="220" t="inlineStr">
        <is>
          <t>BLOCK</t>
        </is>
      </c>
      <c r="B134" s="220" t="inlineStr">
        <is>
          <t>2. Formulation</t>
        </is>
      </c>
      <c r="C134" s="220" t="inlineStr">
        <is>
          <t>Learn the four frameworks for practice</t>
        </is>
      </c>
      <c r="D134" s="221" t="inlineStr">
        <is>
          <t>Block 2 · Making your default explicit</t>
        </is>
      </c>
      <c r="E134" s="222" t="inlineStr">
        <is>
          <t>Knowing which you reach for without thinking, and saying so out loud.</t>
        </is>
      </c>
      <c r="F134" s="220" t="inlineStr">
        <is>
          <t>1 hour, once · Weeks 1–2</t>
        </is>
      </c>
      <c r="G134" s="220" t="n"/>
      <c r="H134" s="220" t="n"/>
      <c r="I134" s="220" t="n"/>
      <c r="J134" s="220" t="n"/>
      <c r="K134" s="220" t="n"/>
      <c r="L134" s="220" t="n"/>
      <c r="M134" s="222" t="n"/>
      <c r="N134" s="220" t="n"/>
      <c r="O134" s="220" t="n"/>
      <c r="P134" s="220" t="inlineStr">
        <is>
          <t>How you build it: Tell your supervisor which you default to and ask which they use.</t>
        </is>
      </c>
      <c r="Q134" s="220" t="n"/>
      <c r="R134" s="220" t="n"/>
      <c r="S134" s="220" t="n"/>
      <c r="T134" s="220" t="n"/>
      <c r="U134" s="220" t="n"/>
    </row>
    <row r="135" outlineLevel="2" ht="120" customHeight="1" s="128">
      <c r="A135" s="139" t="inlineStr">
        <is>
          <t>MICRO-SKILL</t>
        </is>
      </c>
      <c r="B135" s="139" t="inlineStr">
        <is>
          <t>2. Formulation</t>
        </is>
      </c>
      <c r="C135" s="139" t="inlineStr">
        <is>
          <t>Learn the four frameworks for practice</t>
        </is>
      </c>
      <c r="D135" s="139" t="inlineStr">
        <is>
          <t>Block 2 · Making your default explicit</t>
        </is>
      </c>
      <c r="E135" s="223" t="inlineStr">
        <is>
          <t>Make your preferred framework explicit in supervision</t>
        </is>
      </c>
      <c r="F135" s="139" t="inlineStr">
        <is>
          <t>Handbook §6 · CORU SoP 5.44</t>
        </is>
      </c>
      <c r="G135" s="227" t="inlineStr">
        <is>
          <t>Everyone has a default. Stating yours in supervision lets your supervisor watch for the blind spot that comes with it, and challenge you when the default does not fit the case. Handbook §6 and CORU SoP 5.44 are the references mapped here — read §6 for the programme's expectation of supervision. An unstated default is invisible to both of you, so neither can correct it.</t>
        </is>
      </c>
      <c r="H135" s="165" t="inlineStr">
        <is>
          <t>WATCH FOR — how your supervisor talks about their own theoretical orientation, and whether they do.
WRITE DOWN — the framework you notice yourself reaching for first when you read a new referral.
ASK AFTERWARDS — 'what's my default, from what you've seen of my work so far?'</t>
        </is>
      </c>
      <c r="I135" s="165" t="inlineStr">
        <is>
          <t>YOU TAKE — naming your default framework in supervision, with an honest reason why it is your default: training, comfort, or genuine fit.
THEY HOLD — watching for when the default is being applied where it does not fit.
WHY THAT SPLIT — only you can name your default. Spotting its misuse needs an outside eye.</t>
        </is>
      </c>
      <c r="J135" s="165" t="inlineStr">
        <is>
          <t>YOU RUN IT — state your default at the start of placement, and each time you choose a framework, say whether this is the default or a deliberate departure.
WHAT THEY ARE WATCHING FOR — naming a default and then never departing from it.
STEPPING IN LOOKS LIKE — 'that's your default again. Did you consider the others?'</t>
        </is>
      </c>
      <c r="K135" s="207" t="inlineStr">
        <is>
          <t>YOU DO IT ALONE — your supervisor knows your default without asking, and you flag every case where you use it.
PASS TEST — Your supervisor knows what you default to
EVIDENCE TO FILE — supervision record. Log against 2. Formulation and 7. Supervision.
WHAT FAILURE LOOKS LIKE — at your mid-placement review, your supervisor notes that every formulation used the same framework, and you had not noticed.</t>
        </is>
      </c>
      <c r="L135" s="165" t="inlineStr">
        <is>
          <t>YOU CAN TEACH IT — you can explain why defaults are inevitable, and how stating them in supervision turns them from a blind spot into something checkable.
WHEN IT GOES WRONG — you can say what to do when you find you have defaulted on every case: take the last three cases and re-formulate one with a different framework, in supervision.</t>
        </is>
      </c>
      <c r="M135" s="224" t="inlineStr">
        <is>
          <t>Never naming your default, so no one can spot where it misleads you.</t>
        </is>
      </c>
      <c r="N135" s="165" t="inlineStr">
        <is>
          <t>→ Feeds into 'Ask your supervisor which they use and why' and into Supervision.</t>
        </is>
      </c>
      <c r="O135" s="225" t="inlineStr">
        <is>
          <t>Not started</t>
        </is>
      </c>
      <c r="P135" s="165" t="inlineStr">
        <is>
          <t>WATCH FOR — how your supervisor talks about their own theoretical orientation, and whether they do.</t>
        </is>
      </c>
      <c r="Q135" s="139" t="inlineStr">
        <is>
          <t>Year 1</t>
        </is>
      </c>
      <c r="R135" s="226" t="inlineStr">
        <is>
          <t>26/10/2026</t>
        </is>
      </c>
      <c r="S135" s="226" t="inlineStr">
        <is>
          <t>16/11/2026</t>
        </is>
      </c>
      <c r="T135" s="226" t="inlineStr">
        <is>
          <t>14/12/2026</t>
        </is>
      </c>
      <c r="U135" s="139" t="inlineStr">
        <is>
          <t>Supervision record · Log sheet tagged 2. Formulation and 7. Supervision</t>
        </is>
      </c>
    </row>
    <row r="136" outlineLevel="2" ht="120" customHeight="1" s="128">
      <c r="A136" s="139" t="inlineStr">
        <is>
          <t>MICRO-SKILL</t>
        </is>
      </c>
      <c r="B136" s="139" t="inlineStr">
        <is>
          <t>2. Formulation</t>
        </is>
      </c>
      <c r="C136" s="139" t="inlineStr">
        <is>
          <t>Learn the four frameworks for practice</t>
        </is>
      </c>
      <c r="D136" s="139" t="inlineStr">
        <is>
          <t>Block 2 · Making your default explicit</t>
        </is>
      </c>
      <c r="E136" s="223" t="inlineStr">
        <is>
          <t>Ask your supervisor which they use and why</t>
        </is>
      </c>
      <c r="F136" s="139" t="inlineStr">
        <is>
          <t>CORU SoP 4.5</t>
        </is>
      </c>
      <c r="G136" s="227" t="inlineStr">
        <is>
          <t>Supervisors have defaults too, and yours shapes how your reports will be read and corrected. Knowing whether your supervisor was trained in a framework, or came to their approach through experience, tells you what they will look for and where they are likely to push back. CORU SoP 4.5 is the standard mapped here. It is a legitimate question, and most supervisors welcome it.</t>
        </is>
      </c>
      <c r="H136" s="165" t="inlineStr">
        <is>
          <t>WATCH FOR — the framework your supervisor's reports and case discussions reflect.
WRITE DOWN — your guess at their default, before you ask.
ASK AFTERWARDS — 'which framework do you use most, and were you trained in it, or did you come to it another way?'</t>
        </is>
      </c>
      <c r="I136" s="165" t="inlineStr">
        <is>
          <t>YOU TAKE — asking the question in an early supervision session, and noting the answer.
THEY HOLD — their answer, and how much they want to discuss it.
WHY THAT SPLIT — asking is yours, and it signals that you are thinking about frameworks rather than just filling in a report. How far to take the conversation is theirs.</t>
        </is>
      </c>
      <c r="J136" s="165" t="inlineStr">
        <is>
          <t>YOU RUN IT — use what you know of your supervisor's framework to anticipate their feedback, and say so: 'I know you'd usually look at this through X; I've used Y because…'
WHAT THEY ARE WATCHING FOR — adopting their framework to please them rather than because it fits.
STEPPING IN LOOKS LIKE — 'don't use mine because it's mine.'</t>
        </is>
      </c>
      <c r="K136" s="207" t="inlineStr">
        <is>
          <t>YOU DO IT ALONE — know your supervisor's framework, whether they trained in it, and how it shapes their reading of your work.
PASS TEST — You know whether they were trained in it
EVIDENCE TO FILE — supervision record. Log against 2. Formulation and 7. Supervision.
WHAT FAILURE LOOKS LIKE — repeated feedback you do not understand, because you and your supervisor are working from different frameworks without knowing it.</t>
        </is>
      </c>
      <c r="L136" s="165" t="inlineStr">
        <is>
          <t>YOU CAN TEACH IT — you can explain why knowing a supervisor's framework matters, and how to raise it without it sounding like a challenge.
WHEN IT GOES WRONG — you can say what to do when your frameworks conflict on a case: name the difference in supervision and agree which fits this referral, with reasons.</t>
        </is>
      </c>
      <c r="M136" s="224" t="inlineStr">
        <is>
          <t>Taking on your supervisor's framework by imitation, without knowing that is what you are doing.</t>
        </is>
      </c>
      <c r="N136" s="165" t="inlineStr">
        <is>
          <t>→ Feeds into Supervision and into 'Choose a framework deliberately for this case'.</t>
        </is>
      </c>
      <c r="O136" s="225" t="inlineStr">
        <is>
          <t>Not started</t>
        </is>
      </c>
      <c r="P136" s="165" t="inlineStr">
        <is>
          <t>WATCH FOR — the framework your supervisor's reports and case discussions reflect.</t>
        </is>
      </c>
      <c r="Q136" s="139" t="inlineStr">
        <is>
          <t>Year 1</t>
        </is>
      </c>
      <c r="R136" s="226" t="inlineStr">
        <is>
          <t>26/10/2026</t>
        </is>
      </c>
      <c r="S136" s="226" t="inlineStr">
        <is>
          <t>16/11/2026</t>
        </is>
      </c>
      <c r="T136" s="226" t="inlineStr">
        <is>
          <t>14/12/2026</t>
        </is>
      </c>
      <c r="U136" s="139" t="inlineStr">
        <is>
          <t>Supervision record · Log sheet tagged 2. Formulation and 7. Supervision</t>
        </is>
      </c>
    </row>
    <row r="137" outlineLevel="2" ht="19.5" customHeight="1" s="128">
      <c r="A137" s="219" t="inlineStr">
        <is>
          <t>MACRO SKILL</t>
        </is>
      </c>
      <c r="B137" s="219" t="inlineStr">
        <is>
          <t>2. Formulation</t>
        </is>
      </c>
      <c r="C137" s="219" t="inlineStr">
        <is>
          <t>Name and apply one framework to each substantial case</t>
        </is>
      </c>
      <c r="D137" s="219" t="n"/>
      <c r="E137" s="219" t="inlineStr">
        <is>
          <t>2 blocks · 5 micro-skills</t>
        </is>
      </c>
      <c r="F137" s="219" t="inlineStr">
        <is>
          <t>CORU 5.29 · 5.32 · 3.5</t>
        </is>
      </c>
      <c r="G137" s="219" t="n"/>
      <c r="H137" s="219" t="n"/>
      <c r="I137" s="219" t="n"/>
      <c r="J137" s="219" t="n"/>
      <c r="K137" s="219" t="n"/>
      <c r="L137" s="219" t="n"/>
      <c r="M137" s="219" t="n"/>
      <c r="N137" s="219" t="n"/>
      <c r="O137" s="219" t="n"/>
      <c r="P137" s="219" t="n"/>
      <c r="Q137" s="219" t="inlineStr">
        <is>
          <t>Year 1</t>
        </is>
      </c>
      <c r="R137" s="219" t="n"/>
      <c r="S137" s="219" t="n"/>
      <c r="T137" s="219" t="n"/>
      <c r="U137" s="219" t="n"/>
    </row>
    <row r="138" outlineLevel="2" ht="43.5" customHeight="1" s="128">
      <c r="A138" s="220" t="inlineStr">
        <is>
          <t>BLOCK</t>
        </is>
      </c>
      <c r="B138" s="220" t="inlineStr">
        <is>
          <t>2. Formulation</t>
        </is>
      </c>
      <c r="C138" s="220" t="inlineStr">
        <is>
          <t>Name and apply one framework to each substantial case</t>
        </is>
      </c>
      <c r="D138" s="221" t="inlineStr">
        <is>
          <t>Block 1 · Applying the structure</t>
        </is>
      </c>
      <c r="E138" s="222" t="inlineStr">
        <is>
          <t>Using the framework's own stages rather than writing prose and labelling it afterwards.</t>
        </is>
      </c>
      <c r="F138" s="220" t="inlineStr">
        <is>
          <t>Ongoing · 1 hour per case initially · Weeks 3–6</t>
        </is>
      </c>
      <c r="G138" s="220" t="n"/>
      <c r="H138" s="220" t="n"/>
      <c r="I138" s="220" t="n"/>
      <c r="J138" s="220" t="n"/>
      <c r="K138" s="220" t="n"/>
      <c r="L138" s="220" t="n"/>
      <c r="M138" s="222" t="n"/>
      <c r="N138" s="220" t="n"/>
      <c r="O138" s="220" t="n"/>
      <c r="P138" s="220" t="inlineStr">
        <is>
          <t>How you build it: Use the stages as literal sub-headings for your first five cases. Remove them later.</t>
        </is>
      </c>
      <c r="Q138" s="220" t="n"/>
      <c r="R138" s="220" t="n"/>
      <c r="S138" s="220" t="n"/>
      <c r="T138" s="220" t="n"/>
      <c r="U138" s="220" t="n"/>
    </row>
    <row r="139" outlineLevel="2" ht="120" customHeight="1" s="128">
      <c r="A139" s="139" t="inlineStr">
        <is>
          <t>MICRO-SKILL</t>
        </is>
      </c>
      <c r="B139" s="139" t="inlineStr">
        <is>
          <t>2. Formulation</t>
        </is>
      </c>
      <c r="C139" s="139" t="inlineStr">
        <is>
          <t>Name and apply one framework to each substantial case</t>
        </is>
      </c>
      <c r="D139" s="139" t="inlineStr">
        <is>
          <t>Block 1 · Applying the structure</t>
        </is>
      </c>
      <c r="E139" s="223" t="inlineStr">
        <is>
          <t>Choose a framework deliberately for this case</t>
        </is>
      </c>
      <c r="F139" s="139" t="inlineStr">
        <is>
          <t>CORU SoP 5.29</t>
        </is>
      </c>
      <c r="G139" s="227" t="inlineStr">
        <is>
          <t>The referral question should choose the framework, not habit. The Reference sheet gives the test: is the difficulty contested (Monsen), multi-level and developmental (IFF), a disagreement between adults (COMOIRA), or about onset and maintenance (Carr)? Choose before collecting data, because the framework decides what data you need. A framework chosen after the data is in is retrospective justification. An examiner will see that immediately.</t>
        </is>
      </c>
      <c r="H139" s="165" t="inlineStr">
        <is>
          <t>WATCH FOR — when in the process your supervisor settles on an approach: at referral, after the first meeting, or only at write-up.
WRITE DOWN — the referral, the framework, and the point at which it was chosen.
ASK AFTERWARDS — 'what in this referral told you which framework to use?'</t>
        </is>
      </c>
      <c r="I139" s="165" t="inlineStr">
        <is>
          <t>YOU TAKE — proposing the framework for a case at referral, in writing, with one line of reasoning.
THEY HOLD — agreeing or redirecting the choice.
WHY THAT SPLIT — making the choice explicit is yours. Their agreement protects the case while your judgement is calibrating.</t>
        </is>
      </c>
      <c r="J139" s="165" t="inlineStr">
        <is>
          <t>YOU RUN IT — choose the framework at referral, plan the data collection from it, and defend the choice in supervision.
WHAT THEY ARE WATCHING FOR — a choice made after the data, and a data plan that does not follow from the framework.
STEPPING IN LOOKS LIKE — 'if you're using Monsen, what are your competing hypotheses before you go in?'</t>
        </is>
      </c>
      <c r="K139" s="207" t="inlineStr">
        <is>
          <t>YOU DO IT ALONE — choose the framework at referral, write the reason down, and plan data collection from it.
PASS TEST — You can say why this one and not another
EVIDENCE TO FILE — case record noting framework and reason, and the report. Log against 2. Formulation.
WHAT FAILURE LOOKS LIKE — a report that names Monsen but was clearly written first and framed afterwards.</t>
        </is>
      </c>
      <c r="L139" s="165" t="inlineStr">
        <is>
          <t>YOU CAN TEACH IT — you can explain how the referral chooses the framework, with worked examples of each choice.
WHEN IT GOES WRONG — you can say what to do when new information shows the framework was wrong: say so, change it, and record why, rather than forcing the data into the original choice.</t>
        </is>
      </c>
      <c r="M139" s="224" t="inlineStr">
        <is>
          <t>Choosing the framework after writing the report, to fit what you found.</t>
        </is>
      </c>
      <c r="N139" s="165" t="inlineStr">
        <is>
          <t>→ Feeds into 'Name and cite it in the report' and 'Use the framework's own structure'.</t>
        </is>
      </c>
      <c r="O139" s="225" t="inlineStr">
        <is>
          <t>Not started</t>
        </is>
      </c>
      <c r="P139" s="165" t="inlineStr">
        <is>
          <t>WATCH FOR — when in the process your supervisor settles on an approach: at referral, after the first meeting, or only at write-up.</t>
        </is>
      </c>
      <c r="Q139" s="139" t="inlineStr">
        <is>
          <t>Year 1</t>
        </is>
      </c>
      <c r="R139" s="226" t="inlineStr">
        <is>
          <t>26/10/2026</t>
        </is>
      </c>
      <c r="S139" s="226" t="inlineStr">
        <is>
          <t>16/11/2026</t>
        </is>
      </c>
      <c r="T139" s="226" t="inlineStr">
        <is>
          <t>14/12/2026</t>
        </is>
      </c>
      <c r="U139" s="139" t="inlineStr">
        <is>
          <t>Case record · report · Log sheet tagged 2. Formulation</t>
        </is>
      </c>
    </row>
    <row r="140" outlineLevel="2" ht="120" customHeight="1" s="128">
      <c r="A140" s="139" t="inlineStr">
        <is>
          <t>MICRO-SKILL</t>
        </is>
      </c>
      <c r="B140" s="139" t="inlineStr">
        <is>
          <t>2. Formulation</t>
        </is>
      </c>
      <c r="C140" s="139" t="inlineStr">
        <is>
          <t>Name and apply one framework to each substantial case</t>
        </is>
      </c>
      <c r="D140" s="139" t="inlineStr">
        <is>
          <t>Block 1 · Applying the structure</t>
        </is>
      </c>
      <c r="E140" s="223" t="inlineStr">
        <is>
          <t>Name and cite it in the report</t>
        </is>
      </c>
      <c r="F140" s="139" t="inlineStr">
        <is>
          <t>CORU SoP 5.29 · 5.27</t>
        </is>
      </c>
      <c r="G140" s="227" t="inlineStr">
        <is>
          <t>Naming and citing the framework tells the reader how to read your formulation, and lets them check it against the source. The Reference sheet calls naming the framework in the report 'the marker' for Year 1 formulation. It also shows your reasoning rests on a published model rather than personal judgement alone. A report that uses a framework without naming it hides its structure. One that names a framework without using it is worse.</t>
        </is>
      </c>
      <c r="H140" s="165" t="inlineStr">
        <is>
          <t>WATCH FOR — whether your supervisor names a framework in their reports, and where: the method section, the formulation heading, or not at all.
WRITE DOWN — how it is cited, and whether the citation is APA 7th.
ASK AFTERWARDS — 'do schools and parents find the framework name helpful, or is it for other psychologists?'</t>
        </is>
      </c>
      <c r="I140" s="165" t="inlineStr">
        <is>
          <t>YOU TAKE — adding the framework name and a full APA 7th citation to the draft, in the method and formulation sections.
THEY HOLD — deciding how much explanation of the framework the audience needs.
WHY THAT SPLIT — naming and citing is mechanical. Pitching it for a parent or teacher readership is judgement.</t>
        </is>
      </c>
      <c r="J140" s="165" t="inlineStr">
        <is>
          <t>YOU RUN IT — name, cite, and briefly explain the framework in plain language in each report.
WHAT THEY ARE WATCHING FOR — a name dropped in the introduction with no sign of the framework anywhere else.
STEPPING IN LOOKS LIKE — 'you cite IFF. Where are the levels?'</t>
        </is>
      </c>
      <c r="K140" s="207" t="inlineStr">
        <is>
          <t>YOU DO IT ALONE — name the framework, cite it in APA 7th, and explain it in one plain sentence for the reader.
PASS TEST — It appears by name with a citation
EVIDENCE TO FILE — the report. Log against 2. Formulation.
WHAT FAILURE LOOKS LIKE — a formulation an examiner cannot place in any framework, or one that names a framework it does not follow.</t>
        </is>
      </c>
      <c r="L140" s="165" t="inlineStr">
        <is>
          <t>YOU CAN TEACH IT — you can explain why naming the framework matters to different readers, and how to explain each in one plain sentence.
WHEN IT GOES WRONG — you can say what to do when a parent asks what the framework means: explain it simply in terms of what you looked at and why.</t>
        </is>
      </c>
      <c r="M140" s="224" t="inlineStr">
        <is>
          <t>Citing a framework decoratively, with nothing in the report that uses it.</t>
        </is>
      </c>
      <c r="N140" s="165" t="inlineStr">
        <is>
          <t>→ Feeds into 'Use the framework's own structure'.</t>
        </is>
      </c>
      <c r="O140" s="225" t="inlineStr">
        <is>
          <t>Not started</t>
        </is>
      </c>
      <c r="P140" s="165" t="inlineStr">
        <is>
          <t>WATCH FOR — whether your supervisor names a framework in their reports, and where: the method section, the formulation heading, or not at all.</t>
        </is>
      </c>
      <c r="Q140" s="139" t="inlineStr">
        <is>
          <t>Year 1</t>
        </is>
      </c>
      <c r="R140" s="226" t="inlineStr">
        <is>
          <t>26/10/2026</t>
        </is>
      </c>
      <c r="S140" s="226" t="inlineStr">
        <is>
          <t>16/11/2026</t>
        </is>
      </c>
      <c r="T140" s="226" t="inlineStr">
        <is>
          <t>14/12/2026</t>
        </is>
      </c>
      <c r="U140" s="139" t="inlineStr">
        <is>
          <t>Report — method and formulation · Log sheet tagged 2. Formulation</t>
        </is>
      </c>
    </row>
    <row r="141" outlineLevel="2" ht="120" customHeight="1" s="128">
      <c r="A141" s="139" t="inlineStr">
        <is>
          <t>MICRO-SKILL</t>
        </is>
      </c>
      <c r="B141" s="139" t="inlineStr">
        <is>
          <t>2. Formulation</t>
        </is>
      </c>
      <c r="C141" s="139" t="inlineStr">
        <is>
          <t>Name and apply one framework to each substantial case</t>
        </is>
      </c>
      <c r="D141" s="139" t="inlineStr">
        <is>
          <t>Block 1 · Applying the structure</t>
        </is>
      </c>
      <c r="E141" s="223" t="inlineStr">
        <is>
          <t>Use the framework's own structure</t>
        </is>
      </c>
      <c r="F141" s="139" t="inlineStr">
        <is>
          <t>CORU SoP 5.32</t>
        </is>
      </c>
      <c r="G141" s="227" t="inlineStr">
        <is>
          <t>A framework you name should shape the report. The Reference sheet's test: delete the framework's name from your report — could a reader still tell which one you used? If you chose Monsen, there is a hypotheses section with evidence for and against. If IFF, there are levels and stated interactions. If Carr, there are predisposing, precipitating, perpetuating and protective factors. If COMOIRA, the different accounts are held side by side with a focus on change.</t>
        </is>
      </c>
      <c r="H141" s="165" t="inlineStr">
        <is>
          <t>WATCH FOR — how the structure of your supervisor's reports follows, or does not follow, a framework.
WRITE DOWN — the headings of the formulation section, and which framework stage each corresponds to.
ASK AFTERWARDS — 'do you adapt the framework's structure for school readers, and how?'</t>
        </is>
      </c>
      <c r="I141" s="165" t="inlineStr">
        <is>
          <t>YOU TAKE — drafting the formulation section using the framework's stages as headings or clear signposts.
THEY HOLD — how much of the structure is visible in the version sent to the family.
WHY THAT SPLIT — using the structure is the discipline you need to build. How visible to make it for a lay reader is a judgement about audience.</t>
        </is>
      </c>
      <c r="J141" s="165" t="inlineStr">
        <is>
          <t>YOU RUN IT — write the formulation following the framework's stages, and walk your supervisor through it stage by stage.
WHAT THEY ARE WATCHING FOR — a standard report with a framework sentence bolted on.
STEPPING IN LOOKS LIKE — 'take the name out. Which framework is this?'</t>
        </is>
      </c>
      <c r="K141" s="207" t="inlineStr">
        <is>
          <t>YOU DO IT ALONE — write every formulation so that the framework's stages are visible to a reader who knows the framework.
PASS TEST — The stages are visible rather than implied
EVIDENCE TO FILE — the report. Log against 2. Formulation.
WHAT FAILURE LOOKS LIKE — a formulation that could have been written with any framework, or none.</t>
        </is>
      </c>
      <c r="L141" s="165" t="inlineStr">
        <is>
          <t>YOU CAN TEACH IT — you can show how each framework's structure appears in a report, with an example for each.
WHEN IT GOES WRONG — you can say what to do when the structure makes the report hard for a parent to follow: keep the structure in the formulation section, and write a plain summary for the family.</t>
        </is>
      </c>
      <c r="M141" s="224" t="inlineStr">
        <is>
          <t>Writing a standard report and adding a framework sentence to the introduction.</t>
        </is>
      </c>
      <c r="N141" s="165" t="inlineStr">
        <is>
          <t>→ Feeds into 'Show the reasoning step by step'.</t>
        </is>
      </c>
      <c r="O141" s="225" t="inlineStr">
        <is>
          <t>Not started</t>
        </is>
      </c>
      <c r="P141" s="165" t="inlineStr">
        <is>
          <t>WATCH FOR — how the structure of your supervisor's reports follows, or does not follow, a framework.</t>
        </is>
      </c>
      <c r="Q141" s="139" t="inlineStr">
        <is>
          <t>Year 1</t>
        </is>
      </c>
      <c r="R141" s="226" t="inlineStr">
        <is>
          <t>26/10/2026</t>
        </is>
      </c>
      <c r="S141" s="226" t="inlineStr">
        <is>
          <t>16/11/2026</t>
        </is>
      </c>
      <c r="T141" s="226" t="inlineStr">
        <is>
          <t>14/12/2026</t>
        </is>
      </c>
      <c r="U141" s="139" t="inlineStr">
        <is>
          <t>Report — formulation · Log sheet tagged 2. Formulation</t>
        </is>
      </c>
    </row>
    <row r="142" outlineLevel="2" ht="43.5" customHeight="1" s="128">
      <c r="A142" s="220" t="inlineStr">
        <is>
          <t>BLOCK</t>
        </is>
      </c>
      <c r="B142" s="220" t="inlineStr">
        <is>
          <t>2. Formulation</t>
        </is>
      </c>
      <c r="C142" s="220" t="inlineStr">
        <is>
          <t>Name and apply one framework to each substantial case</t>
        </is>
      </c>
      <c r="D142" s="221" t="inlineStr">
        <is>
          <t>Block 2 · Making reasoning inspectable</t>
        </is>
      </c>
      <c r="E142" s="222" t="inlineStr">
        <is>
          <t>Writing so a reader could disagree with one specific step rather than the whole thing.</t>
        </is>
      </c>
      <c r="F142" s="220" t="inlineStr">
        <is>
          <t>Ongoing · Weeks 7–12</t>
        </is>
      </c>
      <c r="G142" s="220" t="n"/>
      <c r="H142" s="220" t="n"/>
      <c r="I142" s="220" t="n"/>
      <c r="J142" s="220" t="n"/>
      <c r="K142" s="220" t="n"/>
      <c r="L142" s="220" t="n"/>
      <c r="M142" s="222" t="n"/>
      <c r="N142" s="220" t="n"/>
      <c r="O142" s="220" t="n"/>
      <c r="P142" s="220" t="inlineStr">
        <is>
          <t>How you build it: Ask your supervisor to mark the point where they would part company with you.</t>
        </is>
      </c>
      <c r="Q142" s="220" t="n"/>
      <c r="R142" s="220" t="n"/>
      <c r="S142" s="220" t="n"/>
      <c r="T142" s="220" t="n"/>
      <c r="U142" s="220" t="n"/>
    </row>
    <row r="143" outlineLevel="2" ht="120" customHeight="1" s="128">
      <c r="A143" s="139" t="inlineStr">
        <is>
          <t>MICRO-SKILL</t>
        </is>
      </c>
      <c r="B143" s="139" t="inlineStr">
        <is>
          <t>2. Formulation</t>
        </is>
      </c>
      <c r="C143" s="139" t="inlineStr">
        <is>
          <t>Name and apply one framework to each substantial case</t>
        </is>
      </c>
      <c r="D143" s="139" t="inlineStr">
        <is>
          <t>Block 2 · Making reasoning inspectable</t>
        </is>
      </c>
      <c r="E143" s="223" t="inlineStr">
        <is>
          <t>Show the reasoning step by step</t>
        </is>
      </c>
      <c r="F143" s="139" t="inlineStr">
        <is>
          <t>CORU SoP 3.5 · PSI Code 4.2.5</t>
        </is>
      </c>
      <c r="G143" s="227" t="inlineStr">
        <is>
          <t>A conclusion without visible reasoning cannot be checked or challenged. It can only be accepted or rejected whole. CORU SoP 3.5 and PSI Code 4.2.5 (distinguish facts, opinions, theories and hypotheses) are the standards mapped here. The Reference sheet's worked example: not 'John has a specific learning difficulty' but his percentile scores, what rules out instruction and attendance, and the most parsimonious remaining explanation. The second version can be argued with — that is the point.</t>
        </is>
      </c>
      <c r="H143" s="165" t="inlineStr">
        <is>
          <t>WATCH FOR — how your supervisor moves from data to conclusion in writing: whether each inference is stated or left to the reader.
WRITE DOWN — one paragraph where the reasoning is visible, and one where it is not.
ASK AFTERWARDS — 'when a parent challenges a conclusion, what do you point them to?'</t>
        </is>
      </c>
      <c r="I143" s="165" t="inlineStr">
        <is>
          <t>YOU TAKE — drafting a formulation paragraph as a chain: finding → what it rules out → what remains → conclusion.
THEY HOLD — testing each link.
WHY THAT SPLIT — writing the chain exposes your reasoning. Testing it needs someone who can spot the weak link.</t>
        </is>
      </c>
      <c r="J143" s="165" t="inlineStr">
        <is>
          <t>YOU RUN IT — write the full formulation as visible reasoning and present it in supervision.
WHAT THEY ARE WATCHING FOR — conclusions stated as fact, and inference steps skipped because they felt obvious.
STEPPING IN LOOKS LIKE — 'how did you get from that score to that conclusion?'</t>
        </is>
      </c>
      <c r="K143" s="207" t="inlineStr">
        <is>
          <t>YOU DO IT ALONE — write each conclusion with its evidence, what it rules out, and why the conclusion is the best remaining explanation.
PASS TEST — Someone could point at where they disagree
EVIDENCE TO FILE — the formulation section. Log against 2. Formulation.
WHAT FAILURE LOOKS LIKE — a parent disputes a conclusion, and the report gives you nothing to point to except the conclusion itself.</t>
        </is>
      </c>
      <c r="L143" s="165" t="inlineStr">
        <is>
          <t>YOU CAN TEACH IT — you can show a peer how to turn a conclusion into a chain of reasoning, and explain why that protects both the child and the psychologist.
WHEN IT GOES WRONG — you can say what to do when someone points at a link and disagrees: consider it on its merits, and revise if they are right.</t>
        </is>
      </c>
      <c r="M143" s="224" t="inlineStr">
        <is>
          <t>Stating conclusions as fact without the inference that led to them.</t>
        </is>
      </c>
      <c r="N143" s="165" t="inlineStr">
        <is>
          <t>→ Feeds into 'Generate more than one hypothesis' and 'Test each hypothesis against the data'.</t>
        </is>
      </c>
      <c r="O143" s="225" t="inlineStr">
        <is>
          <t>Not started</t>
        </is>
      </c>
      <c r="P143" s="165" t="inlineStr">
        <is>
          <t>WATCH FOR — how your supervisor moves from data to conclusion in writing: whether each inference is stated or left to the reader.</t>
        </is>
      </c>
      <c r="Q143" s="139" t="inlineStr">
        <is>
          <t>Year 1</t>
        </is>
      </c>
      <c r="R143" s="226" t="inlineStr">
        <is>
          <t>26/10/2026</t>
        </is>
      </c>
      <c r="S143" s="226" t="inlineStr">
        <is>
          <t>16/11/2026</t>
        </is>
      </c>
      <c r="T143" s="226" t="inlineStr">
        <is>
          <t>14/12/2026</t>
        </is>
      </c>
      <c r="U143" s="139" t="inlineStr">
        <is>
          <t>Report — formulation · Log sheet tagged 2. Formulation</t>
        </is>
      </c>
    </row>
    <row r="144" outlineLevel="2" ht="120" customHeight="1" s="128">
      <c r="A144" s="139" t="inlineStr">
        <is>
          <t>MICRO-SKILL</t>
        </is>
      </c>
      <c r="B144" s="139" t="inlineStr">
        <is>
          <t>2. Formulation</t>
        </is>
      </c>
      <c r="C144" s="139" t="inlineStr">
        <is>
          <t>Name and apply one framework to each substantial case</t>
        </is>
      </c>
      <c r="D144" s="139" t="inlineStr">
        <is>
          <t>Block 2 · Making reasoning inspectable</t>
        </is>
      </c>
      <c r="E144" s="223" t="inlineStr">
        <is>
          <t>Include the child's construction of the problem</t>
        </is>
      </c>
      <c r="F144" s="139" t="inlineStr">
        <is>
          <t>CORU SoP 5.11 · UNCRC Art. 12</t>
        </is>
      </c>
      <c r="G144" s="227" t="inlineStr">
        <is>
          <t>Every framework in the handbook has a place for the child's own account, and the Reference sheet notes it is the element most often left out of trainee reports. UNCRC Article 12 and CORU SoP 5.11 are the standards mapped here. The child's construction — what they think is hard, what helps, what they would change — should shape the formulation, not decorate it in a quote box. If it contradicts the adults' view, that contradiction is a finding.</t>
        </is>
      </c>
      <c r="H144" s="165" t="inlineStr">
        <is>
          <t>WATCH FOR — how your supervisor asks the child for their view: the questions, the tools (drawing, scaling, sorting), and where the answer ends up in the report.
WRITE DOWN — the questions, and one example of the child's view changing the formulation.
ASK AFTERWARDS — 'when has a child's view changed your formulation?'</t>
        </is>
      </c>
      <c r="I144" s="165" t="inlineStr">
        <is>
          <t>YOU TAKE — gathering the child's view directly, using age-appropriate methods, and recording it in their words.
THEY HOLD — how the child's view is weighed in the formulation.
WHY THAT SPLIT — gathering the view is direct work you can do with support. Weighing it against adult accounts is formulation judgement.</t>
        </is>
      </c>
      <c r="J144" s="165" t="inlineStr">
        <is>
          <t>YOU RUN IT — gather the child's view and write it into the formulation, showing what it changed.
WHAT THEY ARE WATCHING FOR — the child's view in a box at the start, disconnected from the formulation.
STEPPING IN LOOKS LIKE — 'if you took the child's words out, would the formulation change? It should.'</t>
        </is>
      </c>
      <c r="K144" s="207" t="inlineStr">
        <is>
          <t>YOU DO IT ALONE — ask the child directly, record their construction in their words, and show in the formulation how it shaped your conclusions.
PASS TEST — The child's view shapes it, not just decorates it
EVIDENCE TO FILE — the formulation section. Log against 2. Formulation and 6. Ethical Practice.
WHAT FAILURE LOOKS LIKE — a formulation built entirely from adult accounts, with a child quote added for colour.</t>
        </is>
      </c>
      <c r="L144" s="165" t="inlineStr">
        <is>
          <t>YOU CAN TEACH IT — you can explain Article 12, the methods for eliciting a child's view at different ages, and how to integrate it into each of the four frameworks.
WHEN IT GOES WRONG — you can say what to do when the child's view contradicts everyone else's: treat it as data about how the difficulty is experienced, and let it shape the recommendations.</t>
        </is>
      </c>
      <c r="M144" s="224" t="inlineStr">
        <is>
          <t>Quoting the child for colour while building the formulation entirely from adult accounts.</t>
        </is>
      </c>
      <c r="N144" s="165" t="inlineStr">
        <is>
          <t>→ Feeds into 'Identify where sources diverge and say so', into Intervention planning, and into Ethical Practice — the child's voice.</t>
        </is>
      </c>
      <c r="O144" s="225" t="inlineStr">
        <is>
          <t>Not started</t>
        </is>
      </c>
      <c r="P144" s="165" t="inlineStr">
        <is>
          <t>WATCH FOR — how your supervisor asks the child for their view: the questions, the tools (drawing, scaling, sorting), and where the answer ends up in the report.</t>
        </is>
      </c>
      <c r="Q144" s="139" t="inlineStr">
        <is>
          <t>Year 1</t>
        </is>
      </c>
      <c r="R144" s="226" t="inlineStr">
        <is>
          <t>26/10/2026</t>
        </is>
      </c>
      <c r="S144" s="226" t="inlineStr">
        <is>
          <t>16/11/2026</t>
        </is>
      </c>
      <c r="T144" s="226" t="inlineStr">
        <is>
          <t>14/12/2026</t>
        </is>
      </c>
      <c r="U144" s="139" t="inlineStr">
        <is>
          <t>Report — formulation · Log sheet tagged 2. Formulation and 6. Ethical Practice</t>
        </is>
      </c>
    </row>
    <row r="145" outlineLevel="2" ht="19.5" customHeight="1" s="128">
      <c r="A145" s="219" t="inlineStr">
        <is>
          <t>MACRO SKILL</t>
        </is>
      </c>
      <c r="B145" s="219" t="inlineStr">
        <is>
          <t>2. Formulation</t>
        </is>
      </c>
      <c r="C145" s="219" t="inlineStr">
        <is>
          <t>Distinguish primary from secondary needs</t>
        </is>
      </c>
      <c r="D145" s="219" t="n"/>
      <c r="E145" s="219" t="inlineStr">
        <is>
          <t>3 blocks · 5 micro-skills</t>
        </is>
      </c>
      <c r="F145" s="219" t="inlineStr">
        <is>
          <t>CORU 3.5 · 3.6</t>
        </is>
      </c>
      <c r="G145" s="219" t="n"/>
      <c r="H145" s="219" t="n"/>
      <c r="I145" s="219" t="n"/>
      <c r="J145" s="219" t="n"/>
      <c r="K145" s="219" t="n"/>
      <c r="L145" s="219" t="n"/>
      <c r="M145" s="219" t="n"/>
      <c r="N145" s="219" t="n"/>
      <c r="O145" s="219" t="n"/>
      <c r="P145" s="219" t="n"/>
      <c r="Q145" s="219" t="inlineStr">
        <is>
          <t>Year 1</t>
        </is>
      </c>
      <c r="R145" s="219" t="n"/>
      <c r="S145" s="219" t="n"/>
      <c r="T145" s="219" t="n"/>
      <c r="U145" s="219" t="n"/>
    </row>
    <row r="146" outlineLevel="2" ht="43.5" customHeight="1" s="128">
      <c r="A146" s="220" t="inlineStr">
        <is>
          <t>BLOCK</t>
        </is>
      </c>
      <c r="B146" s="220" t="inlineStr">
        <is>
          <t>2. Formulation</t>
        </is>
      </c>
      <c r="C146" s="220" t="inlineStr">
        <is>
          <t>Distinguish primary from secondary needs</t>
        </is>
      </c>
      <c r="D146" s="221" t="inlineStr">
        <is>
          <t>Block 1 · Generating alternatives</t>
        </is>
      </c>
      <c r="E146" s="222" t="inlineStr">
        <is>
          <t>Producing more than one explanation before settling on any.</t>
        </is>
      </c>
      <c r="F146" s="220" t="inlineStr">
        <is>
          <t>Habit — 20 minutes per case · Weeks 3–6</t>
        </is>
      </c>
      <c r="G146" s="220" t="n"/>
      <c r="H146" s="220" t="n"/>
      <c r="I146" s="220" t="n"/>
      <c r="J146" s="220" t="n"/>
      <c r="K146" s="220" t="n"/>
      <c r="L146" s="220" t="n"/>
      <c r="M146" s="222" t="n"/>
      <c r="N146" s="220" t="n"/>
      <c r="O146" s="220" t="n"/>
      <c r="P146" s="220" t="inlineStr">
        <is>
          <t>How you build it: Write three hypotheses for every case for one month. It becomes automatic.</t>
        </is>
      </c>
      <c r="Q146" s="220" t="n"/>
      <c r="R146" s="220" t="n"/>
      <c r="S146" s="220" t="n"/>
      <c r="T146" s="220" t="n"/>
      <c r="U146" s="220" t="n"/>
    </row>
    <row r="147" outlineLevel="2" ht="120" customHeight="1" s="128">
      <c r="A147" s="139" t="inlineStr">
        <is>
          <t>MICRO-SKILL</t>
        </is>
      </c>
      <c r="B147" s="139" t="inlineStr">
        <is>
          <t>2. Formulation</t>
        </is>
      </c>
      <c r="C147" s="139" t="inlineStr">
        <is>
          <t>Distinguish primary from secondary needs</t>
        </is>
      </c>
      <c r="D147" s="139" t="inlineStr">
        <is>
          <t>Block 1 · Generating alternatives</t>
        </is>
      </c>
      <c r="E147" s="223" t="inlineStr">
        <is>
          <t>Generate more than one hypothesis</t>
        </is>
      </c>
      <c r="F147" s="139" t="inlineStr">
        <is>
          <t>PSI Code 4.2.6 · CORU SoP 3.5</t>
        </is>
      </c>
      <c r="G147" s="227" t="inlineStr">
        <is>
          <t>Almost every referral arrives with the secondary need on the form: the school refers for behaviour, and the behaviour is downstream of an unidentified reading difficulty. The hypothesis-testing stance in Monsen et al.'s problem analysis framework (Educational Psychology in Practice, 1998) and the Reference sheet both set two genuinely competing hypotheses as the minimum. PSI Code 4.2.6 and CORU SoP 3.5 are mapped here. One hypothesis, tested only for confirming evidence, produces an intervention for a symptom that will not work.</t>
        </is>
      </c>
      <c r="H147" s="165" t="inlineStr">
        <is>
          <t>WATCH FOR — the moment your supervisor first voices an explanation for a referral, and whether a second one follows before any data is gathered. Notice whether the alternatives genuinely compete (escape from literacy demand v. attention-seeking v. a class-wide demand problem) or are the same idea in two phrasings.
WRITE DOWN — every hypothesis named, and for each, the one piece of data that would distinguish it from the others.
ASK AFTERWARDS — 'which of those did you think was most likely before you went in, and what would have changed your mind?'</t>
        </is>
      </c>
      <c r="I147" s="165" t="inlineStr">
        <is>
          <t>YOU TAKE — writing two or three competing hypotheses for a live referral before the planning meeting, each with the observation, interview question or test result that would support it and the one that would undermine it.
THEY HOLD — deciding which hypotheses are worth the data collection time on a busy caseload, and adding the one you did not think of.
WHY THAT SPLIT — generating alternatives is thinking you can practise safely on paper. Knowing which ones a school's time can afford comes from years of seeing which turn out to matter.</t>
        </is>
      </c>
      <c r="J147" s="165" t="inlineStr">
        <is>
          <t>YOU RUN IT — for each new case, bring your hypotheses to supervision in writing before the first school visit, and plan the observation and interviews so each hypothesis gets a fair test.
WHAT THEY ARE WATCHING FOR — a 'second' hypothesis that is a relabelling of the first ('dyslexia' and 'a specific reading difficulty'), and a data plan that could only ever confirm the favoured one.
STEPPING IN LOOKS LIKE — 'both of those predict the same thing in the classroom. What would you see if you were wrong?'</t>
        </is>
      </c>
      <c r="K147" s="207" t="inlineStr">
        <is>
          <t>YOU DO IT ALONE — at referral, write at least two hypotheses that predict different data, plan a comparison observation or history question that separates them, and record them on the case file before you collect anything.
PASS TEST — An alternative was genuinely considered
EVIDENCE TO FILE — the dated hypothesis note on the case file and the formulation section of the report. Log against 2. Formulation.
WHAT FAILURE LOOKS LIKE — a report for a child referred for behaviour that never asks whether the behaviour clusters around reading tasks, because 'behaviour' was the only hypothesis on the table.</t>
        </is>
      </c>
      <c r="L147" s="165" t="inlineStr">
        <is>
          <t>YOU CAN TEACH IT — you can show a peer how to test whether two hypotheses genuinely compete (do they predict different observations?), and walk through the Reference sheet's three-way example for a behaviour referral, naming the data each predicts.
WHEN IT GOES WRONG — you can say what to do when data arrives that fits none of your hypotheses: stop, write a new one that does fit, say in supervision that your first set was too narrow, and replan rather than squeezing the data into the nearest fit.</t>
        </is>
      </c>
      <c r="M147" s="224" t="inlineStr">
        <is>
          <t>Offering two hypotheses that are the same explanation in different words, so nothing was actually tested.</t>
        </is>
      </c>
      <c r="N147" s="165" t="inlineStr">
        <is>
          <t>→ Feeds into 'Test each hypothesis against the data' and 'Record the hypothesis you rejected and why'.</t>
        </is>
      </c>
      <c r="O147" s="225" t="inlineStr">
        <is>
          <t>Not started</t>
        </is>
      </c>
      <c r="P147" s="165" t="inlineStr">
        <is>
          <t>WATCH FOR — the moment your supervisor first voices an explanation for a referral, and whether a second one follows before any data is gathered. Notice whether the alternatives genuinely compete (escape from literacy demand v. attention-seeking v. a class-wide demand problem) or are the same idea in two phrasings.</t>
        </is>
      </c>
      <c r="Q147" s="139" t="inlineStr">
        <is>
          <t>Year 1</t>
        </is>
      </c>
      <c r="R147" s="226" t="inlineStr">
        <is>
          <t>26/10/2026</t>
        </is>
      </c>
      <c r="S147" s="226" t="inlineStr">
        <is>
          <t>16/11/2026</t>
        </is>
      </c>
      <c r="T147" s="226" t="inlineStr">
        <is>
          <t>14/12/2026</t>
        </is>
      </c>
      <c r="U147" s="139" t="inlineStr">
        <is>
          <t>Case file hypothesis note · Report — formulation · Log sheet tagged 2. Formulation</t>
        </is>
      </c>
    </row>
    <row r="148" outlineLevel="2" ht="120" customHeight="1" s="128">
      <c r="A148" s="139" t="inlineStr">
        <is>
          <t>MICRO-SKILL</t>
        </is>
      </c>
      <c r="B148" s="139" t="inlineStr">
        <is>
          <t>2. Formulation</t>
        </is>
      </c>
      <c r="C148" s="139" t="inlineStr">
        <is>
          <t>Distinguish primary from secondary needs</t>
        </is>
      </c>
      <c r="D148" s="139" t="inlineStr">
        <is>
          <t>Block 1 · Generating alternatives</t>
        </is>
      </c>
      <c r="E148" s="223" t="inlineStr">
        <is>
          <t>Record the hypothesis you rejected and why</t>
        </is>
      </c>
      <c r="F148" s="139" t="inlineStr">
        <is>
          <t>PSI Code 4.2.6</t>
        </is>
      </c>
      <c r="G148" s="227" t="inlineStr">
        <is>
          <t>The Reference sheet identifies the rejected-hypothesis sentence as the single line that most distinguishes a grade 5 report from a grade 3: it shows you tested rather than assumed. PSI Code 4.2.6 is mapped here. A report that reads as if only one explanation was ever entertained cannot be checked, and a later psychologist, CAMHS clinician or parent has no way to see what was ruled out and on what evidence. They may then re-run the same enquiry, or wrongly assume it was never considered.</t>
        </is>
      </c>
      <c r="H148" s="165" t="inlineStr">
        <is>
          <t>WATCH FOR — whether your supervisor's reports name the explanation they did not accept, where it sits (formulation or discussion), and how neutrally it is worded when the rejected hypothesis was the school's or parent's own view.
WRITE DOWN — the exact sentence they use, and the piece of data it cites as the reason for rejecting.
ASK AFTERWARDS — 'how do you write a rejected hypothesis when it was the referrer's explanation, without the school feeling told they were wrong?'</t>
        </is>
      </c>
      <c r="I148" s="165" t="inlineStr">
        <is>
          <t>YOU TAKE — drafting the rejected-hypothesis sentence for a joint case, in the Reference sheet's form: 'An attention-maintained explanation was considered and is less consistent with the pattern, because the behaviour did not occur during whole-class oral work.'
THEY HOLD — the wording decision where the rejected hypothesis belongs to someone who will read the report.
WHY THAT SPLIT — the logic of the sentence is yours to build. Its relational effect on a teacher or parent needs judgement you are still developing.</t>
        </is>
      </c>
      <c r="J148" s="165" t="inlineStr">
        <is>
          <t>YOU RUN IT — include a rejected-hypothesis sentence in every formulation you draft, naming the hypothesis, the data that undermined it, and how strongly.
WHAT THEY ARE WATCHING FOR — a straw man: an alternative that was never plausible, written in to tick the box, or a rejection with no evidence attached.
STEPPING IN LOOKS LIKE — 'nobody thought it was hearing. Which explanation did the class teacher actually hold, and why did you set it aside?'</t>
        </is>
      </c>
      <c r="K148" s="207" t="inlineStr">
        <is>
          <t>YOU DO IT ALONE — write the rejected hypothesis into every substantial formulation, with the specific observation, history or score that made it less likely, worded so the person who held it can read it without feeling dismissed.
PASS TEST — The rejected one appears somewhere
EVIDENCE TO FILE — the formulation section of the report, flagged in your Appendix 5 reflection for that week. Log against 2. Formulation.
WHAT FAILURE LOOKS LIKE — the case file shows you considered attention-seeking and discarded it, but the report is silent, so the school keeps running a reward chart for attention.</t>
        </is>
      </c>
      <c r="L148" s="165" t="inlineStr">
        <is>
          <t>YOU CAN TEACH IT — you can explain why a rejected hypothesis strengthens a report rather than weakening it (it shows the conclusion survived a test), and show how to word it for a school or family reader.
WHEN IT GOES WRONG — you can say what to do when a parent reads the rejection as blame ('you're saying it isn't ADHD?'): explain it was considered on the evidence available, say what evidence would reopen it, and offer the route to reopen it.</t>
        </is>
      </c>
      <c r="M148" s="224" t="inlineStr">
        <is>
          <t>Silently discarding the alternative, so the report reads as if only one explanation was ever entertained.</t>
        </is>
      </c>
      <c r="N148" s="165" t="inlineStr">
        <is>
          <t>→ Feeds into 'State explicitly which need is primary' and into Assessment — honest reporting in the integration section.</t>
        </is>
      </c>
      <c r="O148" s="225" t="inlineStr">
        <is>
          <t>Not started</t>
        </is>
      </c>
      <c r="P148" s="165" t="inlineStr">
        <is>
          <t>WATCH FOR — whether your supervisor's reports name the explanation they did not accept, where it sits (formulation or discussion), and how neutrally it is worded when the rejected hypothesis was the school's or parent's own view.</t>
        </is>
      </c>
      <c r="Q148" s="139" t="inlineStr">
        <is>
          <t>Year 1</t>
        </is>
      </c>
      <c r="R148" s="226" t="inlineStr">
        <is>
          <t>26/10/2026</t>
        </is>
      </c>
      <c r="S148" s="226" t="inlineStr">
        <is>
          <t>16/11/2026</t>
        </is>
      </c>
      <c r="T148" s="226" t="inlineStr">
        <is>
          <t>14/12/2026</t>
        </is>
      </c>
      <c r="U148" s="139" t="inlineStr">
        <is>
          <t>Report — formulation · Appendix 5 · Log sheet tagged 2. Formulation</t>
        </is>
      </c>
    </row>
    <row r="149" outlineLevel="2" ht="43.5" customHeight="1" s="128">
      <c r="A149" s="220" t="inlineStr">
        <is>
          <t>BLOCK</t>
        </is>
      </c>
      <c r="B149" s="220" t="inlineStr">
        <is>
          <t>2. Formulation</t>
        </is>
      </c>
      <c r="C149" s="220" t="inlineStr">
        <is>
          <t>Distinguish primary from secondary needs</t>
        </is>
      </c>
      <c r="D149" s="221" t="inlineStr">
        <is>
          <t>Block 2 · Testing against evidence</t>
        </is>
      </c>
      <c r="E149" s="222" t="inlineStr">
        <is>
          <t>Judging which data supports and which undermines each.</t>
        </is>
      </c>
      <c r="F149" s="220" t="inlineStr">
        <is>
          <t>Ongoing · one case a fortnight · Weeks 7–12</t>
        </is>
      </c>
      <c r="G149" s="220" t="n"/>
      <c r="H149" s="220" t="n"/>
      <c r="I149" s="220" t="n"/>
      <c r="J149" s="220" t="n"/>
      <c r="K149" s="220" t="n"/>
      <c r="L149" s="220" t="n"/>
      <c r="M149" s="222" t="n"/>
      <c r="N149" s="220" t="n"/>
      <c r="O149" s="220" t="n"/>
      <c r="P149" s="220" t="inlineStr">
        <is>
          <t>How you build it: Bring one case with your hypotheses and let your supervisor test them.</t>
        </is>
      </c>
      <c r="Q149" s="220" t="n"/>
      <c r="R149" s="220" t="n"/>
      <c r="S149" s="220" t="n"/>
      <c r="T149" s="220" t="n"/>
      <c r="U149" s="220" t="n"/>
    </row>
    <row r="150" outlineLevel="2" ht="120" customHeight="1" s="128">
      <c r="A150" s="139" t="inlineStr">
        <is>
          <t>MICRO-SKILL</t>
        </is>
      </c>
      <c r="B150" s="139" t="inlineStr">
        <is>
          <t>2. Formulation</t>
        </is>
      </c>
      <c r="C150" s="139" t="inlineStr">
        <is>
          <t>Distinguish primary from secondary needs</t>
        </is>
      </c>
      <c r="D150" s="139" t="inlineStr">
        <is>
          <t>Block 2 · Testing against evidence</t>
        </is>
      </c>
      <c r="E150" s="223" t="inlineStr">
        <is>
          <t>Test each hypothesis against the data</t>
        </is>
      </c>
      <c r="F150" s="139" t="inlineStr">
        <is>
          <t>CORU SoP 3.6</t>
        </is>
      </c>
      <c r="G150" s="227" t="inlineStr">
        <is>
          <t>A hypothesis is only as good as the test it faced. The Reference sheet names two tests for primary v. secondary: timing (what came first, from more than one source) and situational spread (a primary difficulty shows up wherever its demand is present; a secondary one is tied to the context that provokes it). CORU SoP 3.6 is mapped here. Testing only for confirming evidence is the classic error. Treating co-occurrence as causation is the other: anxiety and a reading difficulty together do not tell you the direction.</t>
        </is>
      </c>
      <c r="H150" s="165" t="inlineStr">
        <is>
          <t>WATCH FOR — how your supervisor uses the developmental history and the comparison observation. Notice whether they ask when the behaviour began, and whether they observe the child in a lesson without the suspected demand (oral maths, PE, art) as well as with it.
WRITE DOWN — for each hypothesis: the evidence for it, the evidence against it, and the source of each.
ASK AFTERWARDS — 'which single piece of data moved you most, and how sure were you of its source?'</t>
        </is>
      </c>
      <c r="I150" s="165" t="inlineStr">
        <is>
          <t>YOU TAKE — building a for-and-against table per hypothesis from the file, interviews and observation, including onset dates from more than one informant and a note of which settings the difficulty appears in.
THEY HOLD — weighing evidence of unequal quality: a vague parent recollection against a dated school record, one observation against a term of teacher report.
WHY THAT SPLIT — assembling the evidence is disciplined work you can do well now. Weighting it needs calibration you get from seeing many cases.</t>
        </is>
      </c>
      <c r="J150" s="165" t="inlineStr">
        <is>
          <t>YOU RUN IT — present each hypothesis with its supporting and undermining evidence in supervision, and state which it survives and which it does not.
WHAT THEY ARE WATCHING FOR — evidence counted only on one side, onset taken from a single informant, and a comparison observation skipped because the first one 'showed enough'.
STEPPING IN LOOKS LIKE — 'you've told me what supports escape from reading. What did you see that doesn't fit it?'</t>
        </is>
      </c>
      <c r="K150" s="207" t="inlineStr">
        <is>
          <t>YOU DO IT ALONE — for every hypothesis, state the timing evidence, the situational spread and the test results that bear on it, on both sides, before concluding.
PASS TEST — You can say what supports and undermines each
EVIDENCE TO FILE — the for-and-against working table on the case file and the formulation section of the report. Log against 2. Formulation.
WHAT FAILURE LOOKS LIKE — a formulation that lists five supporting points for the chosen hypothesis and none against, when the observation notes show the behaviour also happened in the yard.</t>
        </is>
      </c>
      <c r="L150" s="165" t="inlineStr">
        <is>
          <t>YOU CAN TEACH IT — you can explain timing and situational spread as tests, show how the comparison observation separates task-driven from context-free behaviour, and name confirmation bias as the default failure.
WHEN IT GOES WRONG — you can say what to do when the evidence for two hypotheses is evenly balanced: say so, name the missing data that would separate them, and move to 'Recognise where the sequence is genuinely unclear' rather than choosing one.</t>
        </is>
      </c>
      <c r="M150" s="224" t="inlineStr">
        <is>
          <t>Listing only the evidence that supports the favoured hypothesis.</t>
        </is>
      </c>
      <c r="N150" s="165" t="inlineStr">
        <is>
          <t>→ Feeds into 'State explicitly which need is primary' and 'Recognise where the sequence is genuinely unclear'.</t>
        </is>
      </c>
      <c r="O150" s="225" t="inlineStr">
        <is>
          <t>Not started</t>
        </is>
      </c>
      <c r="P150" s="165" t="inlineStr">
        <is>
          <t>WATCH FOR — how your supervisor uses the developmental history and the comparison observation. Notice whether they ask when the behaviour began, and whether they observe the child in a lesson without the suspected demand (oral maths, PE, art) as well as with it.</t>
        </is>
      </c>
      <c r="Q150" s="139" t="inlineStr">
        <is>
          <t>Year 1</t>
        </is>
      </c>
      <c r="R150" s="226" t="inlineStr">
        <is>
          <t>26/10/2026</t>
        </is>
      </c>
      <c r="S150" s="226" t="inlineStr">
        <is>
          <t>16/11/2026</t>
        </is>
      </c>
      <c r="T150" s="226" t="inlineStr">
        <is>
          <t>14/12/2026</t>
        </is>
      </c>
      <c r="U150" s="139" t="inlineStr">
        <is>
          <t>Case file working table · Report — formulation · Log sheet tagged 2. Formulation</t>
        </is>
      </c>
    </row>
    <row r="151" outlineLevel="2" ht="120" customHeight="1" s="128">
      <c r="A151" s="139" t="inlineStr">
        <is>
          <t>MICRO-SKILL</t>
        </is>
      </c>
      <c r="B151" s="139" t="inlineStr">
        <is>
          <t>2. Formulation</t>
        </is>
      </c>
      <c r="C151" s="139" t="inlineStr">
        <is>
          <t>Distinguish primary from secondary needs</t>
        </is>
      </c>
      <c r="D151" s="139" t="inlineStr">
        <is>
          <t>Block 2 · Testing against evidence</t>
        </is>
      </c>
      <c r="E151" s="223" t="inlineStr">
        <is>
          <t>State explicitly which need is primary</t>
        </is>
      </c>
      <c r="F151" s="139" t="inlineStr">
        <is>
          <t>CORU SoP 3.5</t>
        </is>
      </c>
      <c r="G151" s="227" t="inlineStr">
        <is>
          <t>The Reference sheet calls distinguishing primary from secondary 'the single highest-value move' in formulation: formulate the presenting problem and you recommend for a symptom, and the school concludes psychology does not help. Listing 'literacy difficulty' and 'behavioural difficulty' side by side leaves the reader to guess which to work on first. CORU SoP 3.5 is mapped here. Carr's (2015) predisposing, precipitating and perpetuating factors give one structure for saying which drives which.</t>
        </is>
      </c>
      <c r="H151" s="165" t="inlineStr">
        <is>
          <t>WATCH FOR — the sentence in your supervisor's report where the primary need is named, and whether the recommendations follow its order: primary need addressed first, secondary need addressed as expected to ease, or supported in parallel.
WRITE DOWN — the sentence, and how the recommendations map onto primary and secondary.
ASK AFTERWARDS — 'if the school only does one thing from this report, which one, and does the report make that obvious?'</t>
        </is>
      </c>
      <c r="I151" s="165" t="inlineStr">
        <is>
          <t>YOU TAKE — drafting the primary/secondary statement for a joint case, with the evidence that supports the direction, and ordering the recommendations to match.
THEY HOLD — the final call where evidence is strong on direction but the secondary need carries the immediate risk (for example, behaviour that is leading towards a reduced timetable).
WHY THAT SPLIT — naming the primary need follows from your testing. Deciding what must be managed now, even if it is secondary, needs knowledge of the school and the risk.</t>
        </is>
      </c>
      <c r="J151" s="165" t="inlineStr">
        <is>
          <t>YOU RUN IT — write the primary need in one explicit sentence in every formulation, and explain in supervision why the recommendations are sequenced as they are.
WHAT THEY ARE WATCHING FOR — hedged lists ('difficulties were noted in literacy and behaviour') that avoid committing, and recommendations that target the secondary need only.
STEPPING IN LOOKS LIKE — 'read me the sentence that tells the teacher which need is driving the other.'</t>
        </is>
      </c>
      <c r="K151" s="207" t="inlineStr">
        <is>
          <t>YOU DO IT ALONE — state which need is primary and why, in one sentence a teacher can act on, and order the recommendations so the primary need is targeted at the right point on the NEPS Continuum of Support.
PASS TEST — The report says which, not just lists both
EVIDENCE TO FILE — the formulation and recommendations sections of the report. Log against 2. Formulation and 3. Intervention.
WHAT FAILURE LOOKS LIKE — a behaviour plan is put in place, the reading difficulty is never targeted, and the same child is referred back a year later.</t>
        </is>
      </c>
      <c r="L151" s="165" t="inlineStr">
        <is>
          <t>YOU CAN TEACH IT — you can explain how a primary/secondary statement follows from timing and situational spread, and why the recommendations must follow its order, using the literacy-to-behaviour pathway (Snowling &amp; Hulme, 2012) as a worked example.
WHEN IT GOES WRONG — you can say what to do when the review shows the primary need improved and the secondary did not: revisit the formulation, consider that the secondary need has become self-maintaining, and target it directly.</t>
        </is>
      </c>
      <c r="M151" s="224" t="inlineStr">
        <is>
          <t>Listing the needs side by side and leaving the reader to decide which one drives the other.</t>
        </is>
      </c>
      <c r="N151" s="165" t="inlineStr">
        <is>
          <t>→ Feeds into Intervention — 'State the Continuum level for each recommendation' and 'Limit the number so they can be acted on'.</t>
        </is>
      </c>
      <c r="O151" s="225" t="inlineStr">
        <is>
          <t>Not started</t>
        </is>
      </c>
      <c r="P151" s="165" t="inlineStr">
        <is>
          <t>WATCH FOR — the sentence in your supervisor's report where the primary need is named, and whether the recommendations follow its order: primary need addressed first, secondary need addressed as expected to ease, or supported in parallel.</t>
        </is>
      </c>
      <c r="Q151" s="139" t="inlineStr">
        <is>
          <t>Year 1</t>
        </is>
      </c>
      <c r="R151" s="226" t="inlineStr">
        <is>
          <t>26/10/2026</t>
        </is>
      </c>
      <c r="S151" s="226" t="inlineStr">
        <is>
          <t>16/11/2026</t>
        </is>
      </c>
      <c r="T151" s="226" t="inlineStr">
        <is>
          <t>14/12/2026</t>
        </is>
      </c>
      <c r="U151" s="139" t="inlineStr">
        <is>
          <t>Report — formulation and recommendations · Log sheet tagged 2. Formulation and 3. Intervention</t>
        </is>
      </c>
    </row>
    <row r="152" outlineLevel="2" ht="43.5" customHeight="1" s="128">
      <c r="A152" s="220" t="inlineStr">
        <is>
          <t>BLOCK</t>
        </is>
      </c>
      <c r="B152" s="220" t="inlineStr">
        <is>
          <t>2. Formulation</t>
        </is>
      </c>
      <c r="C152" s="220" t="inlineStr">
        <is>
          <t>Distinguish primary from secondary needs</t>
        </is>
      </c>
      <c r="D152" s="221" t="inlineStr">
        <is>
          <t>Block 3 · Holding uncertainty</t>
        </is>
      </c>
      <c r="E152" s="222" t="inlineStr">
        <is>
          <t>Being able to say the sequence is unclear rather than choosing for tidiness.</t>
        </is>
      </c>
      <c r="F152" s="220" t="inlineStr">
        <is>
          <t>Habit, not hours · Ongoing all year</t>
        </is>
      </c>
      <c r="G152" s="220" t="n"/>
      <c r="H152" s="220" t="n"/>
      <c r="I152" s="220" t="n"/>
      <c r="J152" s="220" t="n"/>
      <c r="K152" s="220" t="n"/>
      <c r="L152" s="220" t="n"/>
      <c r="M152" s="222" t="n"/>
      <c r="N152" s="220" t="n"/>
      <c r="O152" s="220" t="n"/>
      <c r="P152" s="220" t="inlineStr">
        <is>
          <t>How you build it: Practise the sentence. Use it when it is true.</t>
        </is>
      </c>
      <c r="Q152" s="220" t="n"/>
      <c r="R152" s="220" t="n"/>
      <c r="S152" s="220" t="n"/>
      <c r="T152" s="220" t="n"/>
      <c r="U152" s="220" t="n"/>
    </row>
    <row r="153" outlineLevel="2" ht="120" customHeight="1" s="128">
      <c r="A153" s="139" t="inlineStr">
        <is>
          <t>MICRO-SKILL</t>
        </is>
      </c>
      <c r="B153" s="139" t="inlineStr">
        <is>
          <t>2. Formulation</t>
        </is>
      </c>
      <c r="C153" s="139" t="inlineStr">
        <is>
          <t>Distinguish primary from secondary needs</t>
        </is>
      </c>
      <c r="D153" s="139" t="inlineStr">
        <is>
          <t>Block 3 · Holding uncertainty</t>
        </is>
      </c>
      <c r="E153" s="223" t="inlineStr">
        <is>
          <t>Recognise where the sequence is genuinely unclear</t>
        </is>
      </c>
      <c r="F153" s="139" t="inlineStr">
        <is>
          <t>PSI Code 2.3.1 · 4.2.5</t>
        </is>
      </c>
      <c r="G153" s="227" t="inlineStr">
        <is>
          <t>Sometimes the order cannot be established: records are missing, the child moved schools, or informants disagree and neither is more reliable. The Reference sheet lists forcing a primary/secondary distinction for the sake of a neater report as a named error. PSI Code 2.3.1 and 4.2.5 (distinguishing facts, opinions and hypotheses) are mapped here. A confident guess recommends the wrong thing first and cannot be revised. An honest 'cannot be established, and here is how we will find out' can be.</t>
        </is>
      </c>
      <c r="H153" s="165" t="inlineStr">
        <is>
          <t>WATCH FOR — how your supervisor words uncertainty in a report without making it sound as though nothing was found, and whether the report goes on to name what would resolve it.
WRITE DOWN — the wording, and the resolving step proposed (a review after a term of targeted support, a request for previous school records, a hearing check).
ASK AFTERWARDS — 'how do you decide the evidence is genuinely unclear, rather than that you have not looked hard enough yet?'</t>
        </is>
      </c>
      <c r="I153" s="165" t="inlineStr">
        <is>
          <t>YOU TAKE — noting, for a joint case, where onset or direction cannot be established, what is missing, and what would supply it.
THEY HOLD — the judgement that enough enquiry has been done to call it unclear, and how the uncertainty is explained to the family.
WHY THAT SPLIT — spotting a gap is part of your testing. Deciding the gap cannot reasonably be filled, and saying so to a parent who wants an answer, needs experience.</t>
        </is>
      </c>
      <c r="J153" s="165" t="inlineStr">
        <is>
          <t>YOU RUN IT — where the sequence is unclear, draft the uncertainty statement and the resolving step yourself, and bring both to supervision.
WHAT THEY ARE WATCHING FOR — two opposite errors: forcing a direction the evidence does not carry, and using 'unclear' to avoid a judgement the evidence does support.
STEPPING IN LOOKS LIKE — 'have you asked the previous school for their records? Then it's not unclear yet — it's unchecked.'</t>
        </is>
      </c>
      <c r="K153" s="207" t="inlineStr">
        <is>
          <t>YOU DO IT ALONE — write, in the Reference sheet's form, 'The direction of the relationship between X and Y cannot be established from the available information. A review after one term of targeted support would clarify it', and set the review date.
PASS TEST — You said so rather than picking one
EVIDENCE TO FILE — the formulation section and the review date on the case file. Log against 2. Formulation.
WHAT FAILURE LOOKS LIKE — a report that confidently calls anxiety primary on one parent's recollection, when the school records that would have settled it were never requested.</t>
        </is>
      </c>
      <c r="L153" s="165" t="inlineStr">
        <is>
          <t>YOU CAN TEACH IT — you can explain the difference between 'unclear' and 'unchecked', why an honest uncertainty statement is stronger than a guess, and how to turn uncertainty into a planned review that tests the direction.
WHEN IT GOES WRONG — you can say what to do when a school pushes for a definite answer to secure resources: explain what the evidence does and does not show, and describe the need in functional terms that do not depend on the direction.</t>
        </is>
      </c>
      <c r="M153" s="224" t="inlineStr">
        <is>
          <t>Picking a direction to make the report neater when the evidence does not establish one.</t>
        </is>
      </c>
      <c r="N153" s="165" t="inlineStr">
        <is>
          <t>→ Feeds into Intervention — 'Set a review date' and 'State how progress will be measured', and into Ethical Practice — honest reporting of uncertainty.</t>
        </is>
      </c>
      <c r="O153" s="225" t="inlineStr">
        <is>
          <t>Not started</t>
        </is>
      </c>
      <c r="P153" s="165" t="inlineStr">
        <is>
          <t>WATCH FOR — how your supervisor words uncertainty in a report without making it sound as though nothing was found, and whether the report goes on to name what would resolve it.</t>
        </is>
      </c>
      <c r="Q153" s="139" t="inlineStr">
        <is>
          <t>Year 1</t>
        </is>
      </c>
      <c r="R153" s="226" t="inlineStr">
        <is>
          <t>26/10/2026</t>
        </is>
      </c>
      <c r="S153" s="226" t="inlineStr">
        <is>
          <t>16/11/2026</t>
        </is>
      </c>
      <c r="T153" s="226" t="inlineStr">
        <is>
          <t>14/12/2026</t>
        </is>
      </c>
      <c r="U153" s="139" t="inlineStr">
        <is>
          <t>Report — formulation · case file review date · Log sheet tagged 2. Formulation</t>
        </is>
      </c>
    </row>
    <row r="154" outlineLevel="2" ht="19.5" customHeight="1" s="128">
      <c r="A154" s="219" t="inlineStr">
        <is>
          <t>MACRO SKILL</t>
        </is>
      </c>
      <c r="B154" s="219" t="inlineStr">
        <is>
          <t>2. Formulation</t>
        </is>
      </c>
      <c r="C154" s="219" t="inlineStr">
        <is>
          <t>Consider the likelihood of co-occurring conditions</t>
        </is>
      </c>
      <c r="D154" s="219" t="n"/>
      <c r="E154" s="219" t="inlineStr">
        <is>
          <t>2 blocks · 5 micro-skills</t>
        </is>
      </c>
      <c r="F154" s="219" t="inlineStr">
        <is>
          <t>CORU 5.15 · 5.17 · 3.4</t>
        </is>
      </c>
      <c r="G154" s="219" t="n"/>
      <c r="H154" s="219" t="n"/>
      <c r="I154" s="219" t="n"/>
      <c r="J154" s="219" t="n"/>
      <c r="K154" s="219" t="n"/>
      <c r="L154" s="219" t="n"/>
      <c r="M154" s="219" t="n"/>
      <c r="N154" s="219" t="n"/>
      <c r="O154" s="219" t="n"/>
      <c r="P154" s="219" t="n"/>
      <c r="Q154" s="219" t="inlineStr">
        <is>
          <t>Year 1</t>
        </is>
      </c>
      <c r="R154" s="219" t="n"/>
      <c r="S154" s="219" t="n"/>
      <c r="T154" s="219" t="n"/>
      <c r="U154" s="219" t="n"/>
    </row>
    <row r="155" outlineLevel="2" ht="43.5" customHeight="1" s="128">
      <c r="A155" s="220" t="inlineStr">
        <is>
          <t>BLOCK</t>
        </is>
      </c>
      <c r="B155" s="220" t="inlineStr">
        <is>
          <t>2. Formulation</t>
        </is>
      </c>
      <c r="C155" s="220" t="inlineStr">
        <is>
          <t>Consider the likelihood of co-occurring conditions</t>
        </is>
      </c>
      <c r="D155" s="221" t="inlineStr">
        <is>
          <t>Block 1 · Knowing the common pairings</t>
        </is>
      </c>
      <c r="E155" s="222" t="inlineStr">
        <is>
          <t>Which conditions commonly co-occur in this age band, and roughly how often.</t>
        </is>
      </c>
      <c r="F155" s="220" t="inlineStr">
        <is>
          <t>3–4 hours, once · Weeks 1–2</t>
        </is>
      </c>
      <c r="G155" s="220" t="n"/>
      <c r="H155" s="220" t="n"/>
      <c r="I155" s="220" t="n"/>
      <c r="J155" s="220" t="n"/>
      <c r="K155" s="220" t="n"/>
      <c r="L155" s="220" t="n"/>
      <c r="M155" s="222" t="n"/>
      <c r="N155" s="220" t="n"/>
      <c r="O155" s="220" t="n"/>
      <c r="P155" s="220" t="inlineStr">
        <is>
          <t>How you build it: One page listing the eight commonest pairings and their approximate base rates.</t>
        </is>
      </c>
      <c r="Q155" s="220" t="n"/>
      <c r="R155" s="220" t="n"/>
      <c r="S155" s="220" t="n"/>
      <c r="T155" s="220" t="n"/>
      <c r="U155" s="220" t="n"/>
    </row>
    <row r="156" outlineLevel="2" ht="120" customHeight="1" s="128">
      <c r="A156" s="139" t="inlineStr">
        <is>
          <t>MICRO-SKILL</t>
        </is>
      </c>
      <c r="B156" s="139" t="inlineStr">
        <is>
          <t>2. Formulation</t>
        </is>
      </c>
      <c r="C156" s="139" t="inlineStr">
        <is>
          <t>Consider the likelihood of co-occurring conditions</t>
        </is>
      </c>
      <c r="D156" s="139" t="inlineStr">
        <is>
          <t>Block 1 · Knowing the common pairings</t>
        </is>
      </c>
      <c r="E156" s="223" t="inlineStr">
        <is>
          <t>Know the common co-occurrences in this age band</t>
        </is>
      </c>
      <c r="F156" s="139" t="inlineStr">
        <is>
          <t>CORU SoP 5.15 · 5.17</t>
        </is>
      </c>
      <c r="G156" s="227" t="inlineStr">
        <is>
          <t>Co-occurrence is the norm, not the exception (Kaplan et al., Journal of Learning Disabilities, 2001; Pennington, Cognition, 2006, on multiple-deficit models). The Reference sheet lists the pairings to expect: ADHD with specific learning difficulty, DLD with literacy difficulty, DCD with ADHD and DLD, autism with ADHD, anxiety and intellectual disability. Which pairings surface also shifts by UCD Table 3 age band. Rates vary widely between studies: check a current source before citing any figure.</t>
        </is>
      </c>
      <c r="H156" s="165" t="inlineStr">
        <is>
          <t>WATCH FOR — which second presentations your supervisor asks about automatically for a given referral and age: a junior infant referred for language, a fourth-class child referred for reading, a Transition Year student referred for anxiety.
WRITE DOWN — for each case, the referral, the age band, and the co-occurrences your supervisor screened for.
ASK AFTERWARDS — 'which co-occurrence do you see missed most often in schools here, and at what age does it usually surface?'</t>
        </is>
      </c>
      <c r="I156" s="165" t="inlineStr">
        <is>
          <t>YOU TAKE — building your own one-page table of the common pairings by UCD Table 3 age band, each with a source you have read, and bringing it to supervision.
THEY HOLD — local knowledge of what is actually seen and missed in the Cavan schools and how the CDNT and CAMHS thresholds shape what reaches the EP.
WHY THAT SPLIT — the literature is yours to read and summarise. How it plays out in this caseload is your supervisor's experience.</t>
        </is>
      </c>
      <c r="J156" s="165" t="inlineStr">
        <is>
          <t>YOU RUN IT — at referral, name the two or three likeliest co-occurrences for this child's profile and age, and plan a screening question or measure for each.
WHAT THEY ARE WATCHING FOR — rates quoted from memory, and pairings recited without a plan to screen for them.
STEPPING IN LOOKS LIKE — 'you've said DLD often travels with literacy difficulty. Where is the source, and what will you check in this child?'</t>
        </is>
      </c>
      <c r="K156" s="207" t="inlineStr">
        <is>
          <t>YOU DO IT ALONE — for every referral, write down the likely co-occurrences for the age band, screen for them, and cite any rate only from a source you have checked.
PASS TEST — SLD with ADHD, anxiety masking autism, and so on
EVIDENCE TO FILE — the pairings table as a working paper, and the screening noted on the case file. Log against 2. Formulation.
WHAT FAILURE LOOKS LIKE — an examiner asks where your co-occurrence figure comes from and you cannot say.</t>
        </is>
      </c>
      <c r="L156" s="165" t="inlineStr">
        <is>
          <t>YOU CAN TEACH IT — you can explain why developmental conditions co-occur (shared risk factors and overlapping deficits, per Pennington, 2006) rather than just listing pairings, and why the term 'comorbidity' is questioned (Kaplan et al., 2001).
WHEN IT GOES WRONG — you can say what to do when you find you quoted a rate you cannot source: remove or correct it, and replace it with a sourced statement or with 'commonly co-occur' without a figure.</t>
        </is>
      </c>
      <c r="M156" s="224" t="inlineStr">
        <is>
          <t>Quoting a co-occurrence rate from memory without a source you have checked.</t>
        </is>
      </c>
      <c r="N156" s="165" t="inlineStr">
        <is>
          <t>→ Feeds into 'Consider a second presentation as routine' and into the Conditions sheet — co-occurring column.</t>
        </is>
      </c>
      <c r="O156" s="225" t="inlineStr">
        <is>
          <t>Not started</t>
        </is>
      </c>
      <c r="P156" s="165" t="inlineStr">
        <is>
          <t>WATCH FOR — which second presentations your supervisor asks about automatically for a given referral and age: a junior infant referred for language, a fourth-class child referred for reading, a Transition Year student referred for anxiety.</t>
        </is>
      </c>
      <c r="Q156" s="139" t="inlineStr">
        <is>
          <t>Year 1</t>
        </is>
      </c>
      <c r="R156" s="226" t="inlineStr">
        <is>
          <t>26/10/2026</t>
        </is>
      </c>
      <c r="S156" s="226" t="inlineStr">
        <is>
          <t>16/11/2026</t>
        </is>
      </c>
      <c r="T156" s="226" t="inlineStr">
        <is>
          <t>14/12/2026</t>
        </is>
      </c>
      <c r="U156" s="139" t="inlineStr">
        <is>
          <t>Pairings table · case file · Log sheet tagged 2. Formulation</t>
        </is>
      </c>
    </row>
    <row r="157" outlineLevel="2" ht="120" customHeight="1" s="128">
      <c r="A157" s="139" t="inlineStr">
        <is>
          <t>MICRO-SKILL</t>
        </is>
      </c>
      <c r="B157" s="139" t="inlineStr">
        <is>
          <t>2. Formulation</t>
        </is>
      </c>
      <c r="C157" s="139" t="inlineStr">
        <is>
          <t>Consider the likelihood of co-occurring conditions</t>
        </is>
      </c>
      <c r="D157" s="139" t="inlineStr">
        <is>
          <t>Block 1 · Knowing the common pairings</t>
        </is>
      </c>
      <c r="E157" s="223" t="inlineStr">
        <is>
          <t>Consider twice-exceptionality</t>
        </is>
      </c>
      <c r="F157" s="139" t="inlineStr">
        <is>
          <t>CORU SoP 5.17</t>
        </is>
      </c>
      <c r="G157" s="227" t="inlineStr">
        <is>
          <t>High ability plus a specific difficulty can produce average attainment and a child who looks unremarkable while working much harder than peers. The Reference sheet notes it is missed constantly because school screening is attainment-based. CORU SoP 5.17 is mapped here, and the NCSE has published on twice-exceptional learners (read the current document before citing it). The signal is scatter within the cognitive profile, not the composite. Miss it and the child gets neither challenge nor support.</t>
        </is>
      </c>
      <c r="H157" s="165" t="inlineStr">
        <is>
          <t>WATCH FOR — how your supervisor reads a cognitive profile: whether they look at index-level scatter (strong verbal reasoning, weak processing speed or working memory) before the composite, and whether they compare attainment with the strongest index as well as the average.
WRITE DOWN — the pattern that prompted them to consider twice-exceptionality, and what else they checked (teacher report of oral contributions, work samples, effort and fatigue).
ASK AFTERWARDS — 'when do you trust a big index discrepancy, and when is it just measurement noise?'</t>
        </is>
      </c>
      <c r="I157" s="165" t="inlineStr">
        <is>
          <t>YOU TAKE — scoring and describing the index profile, marking discrepancies, and noting attainment against both the highest and the average index.
THEY HOLD — interpreting whether a discrepancy is meaningful (using the test manual's own guidance) and how to present high ability to a school that sees an average pupil.
WHY THAT SPLIT — the description is mechanical and you should do it every time. Interpretation of discrepancy depends on the manual and on experience of how often such splits occur.</t>
        </is>
      </c>
      <c r="J157" s="165" t="inlineStr">
        <is>
          <t>YOU RUN IT — for every cognitive assessment, look at index scatter before the composite and state in supervision whether twice-exceptionality is plausible and why.
WHAT THEY ARE WATCHING FOR — reporting only the full-scale score, and treating average attainment as 'no need'.
STEPPING IN LOOKS LIKE — 'the verbal index is well above the processing speed index. What is her attainment being compared with?'</t>
        </is>
      </c>
      <c r="K157" s="207" t="inlineStr">
        <is>
          <t>YOU DO IT ALONE — consider twice-exceptionality whenever there is marked index scatter, using the manual's criteria for meaningful discrepancy, and say in the report what the pattern suggests.
PASS TEST — High ability masking difficulty was considered
EVIDENCE TO FILE — the cognitive profile section and the formulation. Log against 2. Formulation and 1. Assessment.
WHAT FAILURE LOOKS LIKE — a child with superior verbal reasoning and a decoding difficulty is written up as 'average, no concerns' because her reading age matches her class.</t>
        </is>
      </c>
      <c r="L157" s="165" t="inlineStr">
        <is>
          <t>YOU CAN TEACH IT — you can explain how high ability masks a specific difficulty, why composite scores hide it, and what the NCSE material says about identification — quoting only what you have read.
WHEN IT GOES WRONG — you can say what to do when a school resists ('she's doing fine'): show them the gap between her reasoning and her output, and frame the recommendation around unlocking the stronger ability.</t>
        </is>
      </c>
      <c r="M157" s="224" t="inlineStr">
        <is>
          <t>Reporting only the full-scale score, so a large index discrepancy is never seen.</t>
        </is>
      </c>
      <c r="N157" s="165" t="inlineStr">
        <is>
          <t>→ Feeds into 'Weigh the evidence for each separately' and into Intervention — 'Build at least one on a strength'.</t>
        </is>
      </c>
      <c r="O157" s="225" t="inlineStr">
        <is>
          <t>Not started</t>
        </is>
      </c>
      <c r="P157" s="165" t="inlineStr">
        <is>
          <t>WATCH FOR — how your supervisor reads a cognitive profile: whether they look at index-level scatter (strong verbal reasoning, weak processing speed or working memory) before the composite, and whether they compare attainment with the strongest index as well as the average.</t>
        </is>
      </c>
      <c r="Q157" s="139" t="inlineStr">
        <is>
          <t>Year 1</t>
        </is>
      </c>
      <c r="R157" s="226" t="inlineStr">
        <is>
          <t>26/10/2026</t>
        </is>
      </c>
      <c r="S157" s="226" t="inlineStr">
        <is>
          <t>16/11/2026</t>
        </is>
      </c>
      <c r="T157" s="226" t="inlineStr">
        <is>
          <t>14/12/2026</t>
        </is>
      </c>
      <c r="U157" s="139" t="inlineStr">
        <is>
          <t>Report — cognitive profile and formulation · Log sheet tagged 2. Formulation and 1. Assessment</t>
        </is>
      </c>
    </row>
    <row r="158" outlineLevel="2" ht="43.5" customHeight="1" s="128">
      <c r="A158" s="220" t="inlineStr">
        <is>
          <t>BLOCK</t>
        </is>
      </c>
      <c r="B158" s="220" t="inlineStr">
        <is>
          <t>2. Formulation</t>
        </is>
      </c>
      <c r="C158" s="220" t="inlineStr">
        <is>
          <t>Consider the likelihood of co-occurring conditions</t>
        </is>
      </c>
      <c r="D158" s="221" t="inlineStr">
        <is>
          <t>Block 2 · Weighing separately</t>
        </is>
      </c>
      <c r="E158" s="222" t="inlineStr">
        <is>
          <t>Not letting one explanation absorb everything.</t>
        </is>
      </c>
      <c r="F158" s="220" t="inlineStr">
        <is>
          <t>Habit per case · Weeks 7–12</t>
        </is>
      </c>
      <c r="G158" s="220" t="n"/>
      <c r="H158" s="220" t="n"/>
      <c r="I158" s="220" t="n"/>
      <c r="J158" s="220" t="n"/>
      <c r="K158" s="220" t="n"/>
      <c r="L158" s="220" t="n"/>
      <c r="M158" s="222" t="n"/>
      <c r="N158" s="220" t="n"/>
      <c r="O158" s="220" t="n"/>
      <c r="P158" s="220" t="inlineStr">
        <is>
          <t>How you build it: For each case, ask what this formulation does not explain.</t>
        </is>
      </c>
      <c r="Q158" s="220" t="n"/>
      <c r="R158" s="220" t="n"/>
      <c r="S158" s="220" t="n"/>
      <c r="T158" s="220" t="n"/>
      <c r="U158" s="220" t="n"/>
    </row>
    <row r="159" outlineLevel="2" ht="120" customHeight="1" s="128">
      <c r="A159" s="139" t="inlineStr">
        <is>
          <t>MICRO-SKILL</t>
        </is>
      </c>
      <c r="B159" s="139" t="inlineStr">
        <is>
          <t>2. Formulation</t>
        </is>
      </c>
      <c r="C159" s="139" t="inlineStr">
        <is>
          <t>Consider the likelihood of co-occurring conditions</t>
        </is>
      </c>
      <c r="D159" s="139" t="inlineStr">
        <is>
          <t>Block 2 · Weighing separately</t>
        </is>
      </c>
      <c r="E159" s="223" t="inlineStr">
        <is>
          <t>Consider a second presentation as routine</t>
        </is>
      </c>
      <c r="F159" s="139" t="inlineStr">
        <is>
          <t>CORU SoP 5.15</t>
        </is>
      </c>
      <c r="G159" s="227" t="inlineStr">
        <is>
          <t>Diagnostic overshadowing is the most common way children get missed: once a child has an autism diagnosis, a reading difficulty gets attributed to autism and never assessed. The term was introduced for intellectual disability and mental illness (Reiss, Levitan &amp; Szyszko, 1982). The Reference sheet's discipline is procedural, not attitudinal: write down what the existing diagnosis does not explain before you start. CORU SoP 5.15 is mapped here.</t>
        </is>
      </c>
      <c r="H159" s="165" t="inlineStr">
        <is>
          <t>WATCH FOR — what your supervisor does with an existing diagnosis on the referral form. Notice whether they accept it as the frame for everything, or ask 'what here would still need explaining if the diagnosis were not there?'
WRITE DOWN — the existing diagnosis, the presenting difficulties, and which of them the diagnosis does not account for.
ASK AFTERWARDS — 'when a child comes with a CDNT diagnosis, how do you stop it doing all the explaining?'</t>
        </is>
      </c>
      <c r="I159" s="165" t="inlineStr">
        <is>
          <t>YOU TAKE — writing, before the first visit, the list of difficulties the existing diagnosis does not explain, and a screening step for each.
THEY HOLD — sensitivity with the family, who may have fought hard for the diagnosis and hear 'something else' as a threat to it.
WHY THAT SPLIT — the list is a procedure you can own. Raising a second possibility with a family who waited years on a CDNT list needs a practised touch.</t>
        </is>
      </c>
      <c r="J159" s="165" t="inlineStr">
        <is>
          <t>YOU RUN IT — for every case, including those without a diagnosis, record at intake what else could be present and how you will check it.
WHAT THEY ARE WATCHING FOR — considering a second presentation only when it is glaring, and every difficulty being attributed to the known condition.
STEPPING IN LOOKS LIKE — 'autism doesn't explain why he can't decode. Did you assess it, or assume it?'</t>
        </is>
      </c>
      <c r="K159" s="207" t="inlineStr">
        <is>
          <t>YOU DO IT ALONE — at intake on every case, write down what the existing diagnosis or leading hypothesis does not explain, and screen for at least one second presentation.
PASS TEST — Considered, not only when obvious
EVIDENCE TO FILE — the intake note on the case file and the formulation. Log against 2. Formulation.
WHAT FAILURE LOOKS LIKE — a child with a general learning disability whose anxiety is treated as part of the picture, so nobody offers the anxiety support that would have helped.</t>
        </is>
      </c>
      <c r="L159" s="165" t="inlineStr">
        <is>
          <t>YOU CAN TEACH IT — you can explain diagnostic overshadowing, why the fix is procedural (a list written before you start), and give a worked example from each UCD Table 3 age band.
WHEN IT GOES WRONG — you can say what to do when you realise late that you attributed a difficulty to the known diagnosis without checking: assess it now, amend the report, and tell the school and family plainly.</t>
        </is>
      </c>
      <c r="M159" s="224" t="inlineStr">
        <is>
          <t>Attributing every difficulty to the existing diagnosis without checking what it does not explain.</t>
        </is>
      </c>
      <c r="N159" s="165" t="inlineStr">
        <is>
          <t>→ Feeds into 'Weigh the evidence for each separately' and 'State what would establish the second'.</t>
        </is>
      </c>
      <c r="O159" s="225" t="inlineStr">
        <is>
          <t>Not started</t>
        </is>
      </c>
      <c r="P159" s="165" t="inlineStr">
        <is>
          <t>WATCH FOR — what your supervisor does with an existing diagnosis on the referral form. Notice whether they accept it as the frame for everything, or ask 'what here would still need explaining if the diagnosis were not there?'</t>
        </is>
      </c>
      <c r="Q159" s="139" t="inlineStr">
        <is>
          <t>Year 1</t>
        </is>
      </c>
      <c r="R159" s="226" t="inlineStr">
        <is>
          <t>26/10/2026</t>
        </is>
      </c>
      <c r="S159" s="226" t="inlineStr">
        <is>
          <t>16/11/2026</t>
        </is>
      </c>
      <c r="T159" s="226" t="inlineStr">
        <is>
          <t>14/12/2026</t>
        </is>
      </c>
      <c r="U159" s="139" t="inlineStr">
        <is>
          <t>Case file intake note · Report — formulation · Log sheet tagged 2. Formulation</t>
        </is>
      </c>
    </row>
    <row r="160" outlineLevel="2" ht="120" customHeight="1" s="128">
      <c r="A160" s="139" t="inlineStr">
        <is>
          <t>MICRO-SKILL</t>
        </is>
      </c>
      <c r="B160" s="139" t="inlineStr">
        <is>
          <t>2. Formulation</t>
        </is>
      </c>
      <c r="C160" s="139" t="inlineStr">
        <is>
          <t>Consider the likelihood of co-occurring conditions</t>
        </is>
      </c>
      <c r="D160" s="139" t="inlineStr">
        <is>
          <t>Block 2 · Weighing separately</t>
        </is>
      </c>
      <c r="E160" s="223" t="inlineStr">
        <is>
          <t>Weigh the evidence for each separately</t>
        </is>
      </c>
      <c r="F160" s="139" t="inlineStr">
        <is>
          <t>CORU SoP 3.4</t>
        </is>
      </c>
      <c r="G160" s="227" t="inlineStr">
        <is>
          <t>Evidence for one condition must not carry the other. The Reference sheet's method: build the case for each presentation independently — what would establish it, what is present, what is absent. CORU SoP 3.4 is mapped here. When one diagnosis is allowed to explain everything, the second presentation is never supported; when evidence for one is borrowed to prop up the other (inattention counted for both ADHD and anxiety), you over-identify. Either error changes the recommendations.</t>
        </is>
      </c>
      <c r="H160" s="165" t="inlineStr">
        <is>
          <t>WATCH FOR — how your supervisor separates overlapping evidence. Inattention can reflect ADHD, anxiety, a language difficulty or tiredness. Notice how they decide which the evidence speaks to, and whether any item is counted twice.
WRITE DOWN — for two presentations in one case: the evidence for each, the evidence against each, and the items that could belong to either.
ASK AFTERWARDS — 'when a symptom fits both, how do you decide where it belongs, or do you leave it unassigned?'</t>
        </is>
      </c>
      <c r="I160" s="165" t="inlineStr">
        <is>
          <t>YOU TAKE — building a separate evidence column for each possible presentation, flagging shared items rather than assigning them.
THEY HOLD — the judgement on shared evidence and on how far the pattern supports each presentation.
WHY THAT SPLIT — separating the columns forces the discipline. Deciding what an ambiguous item means needs experience of how the presentations differ in a school setting.</t>
        </is>
      </c>
      <c r="J160" s="165" t="inlineStr">
        <is>
          <t>YOU RUN IT — present each presentation's case separately in supervision, with shared items named as shared, and state how strongly each is supported.
WHAT THEY ARE WATCHING FOR — a single narrative in which one condition absorbs every finding, and double-counting of the same observation.
STEPPING IN LOOKS LIKE — 'you've used the same restlessness as evidence for ADHD and for anxiety. Which one does it support better, and why?'</t>
        </is>
      </c>
      <c r="K160" s="207" t="inlineStr">
        <is>
          <t>YOU DO IT ALONE — write the formulation with a separate evidence statement for each presentation considered, naming shared items as shared, so a reader can see that one diagnosis was not allowed to explain everything.
PASS TEST — One diagnosis did not explain everything
EVIDENCE TO FILE — the working evidence columns on the case file and the formulation. Log against 2. Formulation.
WHAT FAILURE LOOKS LIKE — a formulation where 'autism' accounts for social difficulty, reading failure, sleep problems and school refusal, and none of the last three is assessed.</t>
        </is>
      </c>
      <c r="L160" s="165" t="inlineStr">
        <is>
          <t>YOU CAN TEACH IT — you can explain why co-occurring presentations need separate evidential cases, how to handle symptoms that overlap, and how the multiple-deficit view (Pennington, 2006) makes shared evidence expected rather than surprising.
WHEN IT GOES WRONG — you can say what to do when a second presentation looks likely but the evidence is thin: describe what you found, do not conclude, and move to 'State what would establish the second'.</t>
        </is>
      </c>
      <c r="M160" s="224" t="inlineStr">
        <is>
          <t>Letting evidence for one condition carry the other, so a single diagnosis explains everything.</t>
        </is>
      </c>
      <c r="N160" s="165" t="inlineStr">
        <is>
          <t>→ Feeds into 'State what would establish the second' and into 'Test each hypothesis against the data'.</t>
        </is>
      </c>
      <c r="O160" s="225" t="inlineStr">
        <is>
          <t>Not started</t>
        </is>
      </c>
      <c r="P160" s="165" t="inlineStr">
        <is>
          <t>WATCH FOR — how your supervisor separates overlapping evidence. Inattention can reflect ADHD, anxiety, a language difficulty or tiredness. Notice how they decide which the evidence speaks to, and whether any item is counted twice.</t>
        </is>
      </c>
      <c r="Q160" s="139" t="inlineStr">
        <is>
          <t>Year 1</t>
        </is>
      </c>
      <c r="R160" s="226" t="inlineStr">
        <is>
          <t>26/10/2026</t>
        </is>
      </c>
      <c r="S160" s="226" t="inlineStr">
        <is>
          <t>16/11/2026</t>
        </is>
      </c>
      <c r="T160" s="226" t="inlineStr">
        <is>
          <t>14/12/2026</t>
        </is>
      </c>
      <c r="U160" s="139" t="inlineStr">
        <is>
          <t>Case file evidence columns · Report — formulation · Log sheet tagged 2. Formulation</t>
        </is>
      </c>
    </row>
    <row r="161" outlineLevel="2" ht="120" customHeight="1" s="128">
      <c r="A161" s="139" t="inlineStr">
        <is>
          <t>MICRO-SKILL</t>
        </is>
      </c>
      <c r="B161" s="139" t="inlineStr">
        <is>
          <t>2. Formulation</t>
        </is>
      </c>
      <c r="C161" s="139" t="inlineStr">
        <is>
          <t>Consider the likelihood of co-occurring conditions</t>
        </is>
      </c>
      <c r="D161" s="139" t="inlineStr">
        <is>
          <t>Block 2 · Weighing separately</t>
        </is>
      </c>
      <c r="E161" s="223" t="inlineStr">
        <is>
          <t>State what would establish the second</t>
        </is>
      </c>
      <c r="F161" s="139" t="inlineStr">
        <is>
          <t>CORU SoP 1.2</t>
        </is>
      </c>
      <c r="G161" s="227" t="inlineStr">
        <is>
          <t>Naming a possible second presentation without naming the next step leaves the family with a worry and no route. The Reference sheet's grade 5 marker is stating what would be needed to establish it, and naming the boundary between description and diagnosis. CORU SoP 1.2 is mapped here, and the Reference sheet cites PSI 2.2.2 and 2.2.3 on competence boundaries. As a trainee you do not diagnose ADHD, autism or any medical condition: you describe the profile, say what it is consistent with, and refer.</t>
        </is>
      </c>
      <c r="H161" s="165" t="inlineStr">
        <is>
          <t>WATCH FOR — how your supervisor words a possible second presentation: 'consistent with' rather than 'has', and which service is named (HSE CDNT, CAMHS, the GP, audiology) with what the referral should ask.
WRITE DOWN — the wording, the service, who makes the referral (school, parent, GP, NEPS) and what the family is told to expect.
ASK AFTERWARDS — 'how do you tell a parent that something else might be going on without it sounding like a diagnosis?'</t>
        </is>
      </c>
      <c r="I161" s="165" t="inlineStr">
        <is>
          <t>YOU TAKE — drafting the next-step sentence for a joint case: what was observed, what it is consistent with, what would establish it, and which service would do that.
THEY HOLD — the referral decision and the conversation with the family.
WHY THAT SPLIT — the wording is where you practise the description/diagnosis boundary. The referral itself carries consequences for a waiting list and a family that your supervisor is accountable for.</t>
        </is>
      </c>
      <c r="J161" s="165" t="inlineStr">
        <is>
          <t>YOU RUN IT — in every formulation where a second presentation is possible, write the next step yourself and explain it to your supervisor, including who refers and what the referral should contain.
WHAT THEY ARE WATCHING FOR — diagnostic language ('John has ADHD'), and a vague 'further assessment recommended' with no service and no question.
STEPPING IN LOOKS LIKE — 'further assessment by whom, for what, and who is sending the referral?'</t>
        </is>
      </c>
      <c r="K161" s="207" t="inlineStr">
        <is>
          <t>YOU DO IT ALONE — write, in the Reference sheet's form, 'this profile is consistent with an attentional difficulty, and referral to [named service] is recommended for diagnostic assessment', naming who refers and what question the referral asks.
PASS TEST — You named the next step
EVIDENCE TO FILE — the formulation and recommendations sections. Log against 2. Formulation and 6. Ethical Practice.
WHAT FAILURE LOOKS LIKE — the report says 'features of autism noted', the parent does not know what to do next, and nobody makes a referral.</t>
        </is>
      </c>
      <c r="L161" s="165" t="inlineStr">
        <is>
          <t>YOU CAN TEACH IT — you can explain the difference between describing a profile and diagnosing, why it matters for a trainee under PSI 2.2.2 and 2.2.3 (read the clauses themselves), and the local referral routes for each common second presentation.
WHEN IT GOES WRONG — you can say what to do when a school or parent treats 'consistent with' as a diagnosis: correct it in writing, explain the difference, and point them to the service that can assess.</t>
        </is>
      </c>
      <c r="M161" s="224" t="inlineStr">
        <is>
          <t>Writing a diagnosis ('has ADHD') or a vague 'further assessment' instead of a described profile with a named next step.</t>
        </is>
      </c>
      <c r="N161" s="165" t="inlineStr">
        <is>
          <t>→ Feeds into Ethical Practice — 'Refer on and maintain responsibility until contact is made', and into Working with Others.</t>
        </is>
      </c>
      <c r="O161" s="225" t="inlineStr">
        <is>
          <t>Not started</t>
        </is>
      </c>
      <c r="P161" s="165" t="inlineStr">
        <is>
          <t>WATCH FOR — how your supervisor words a possible second presentation: 'consistent with' rather than 'has', and which service is named (HSE CDNT, CAMHS, the GP, audiology) with what the referral should ask.</t>
        </is>
      </c>
      <c r="Q161" s="139" t="inlineStr">
        <is>
          <t>Year 1</t>
        </is>
      </c>
      <c r="R161" s="226" t="inlineStr">
        <is>
          <t>26/10/2026</t>
        </is>
      </c>
      <c r="S161" s="226" t="inlineStr">
        <is>
          <t>16/11/2026</t>
        </is>
      </c>
      <c r="T161" s="226" t="inlineStr">
        <is>
          <t>14/12/2026</t>
        </is>
      </c>
      <c r="U161" s="139" t="inlineStr">
        <is>
          <t>Report — formulation and recommendations · Log sheet tagged 2. Formulation and 6. Ethical Practice</t>
        </is>
      </c>
    </row>
    <row r="162" outlineLevel="2" ht="19.5" customHeight="1" s="128">
      <c r="A162" s="219" t="inlineStr">
        <is>
          <t>MACRO SKILL</t>
        </is>
      </c>
      <c r="B162" s="219" t="inlineStr">
        <is>
          <t>2. Formulation</t>
        </is>
      </c>
      <c r="C162" s="219" t="inlineStr">
        <is>
          <t>Analyse risk and resilience</t>
        </is>
      </c>
      <c r="D162" s="219" t="n"/>
      <c r="E162" s="219" t="inlineStr">
        <is>
          <t>3 blocks · 4 micro-skills</t>
        </is>
      </c>
      <c r="F162" s="219" t="inlineStr">
        <is>
          <t>CORU 5.17 · 1.3 · 1.12</t>
        </is>
      </c>
      <c r="G162" s="219" t="n"/>
      <c r="H162" s="219" t="n"/>
      <c r="I162" s="219" t="n"/>
      <c r="J162" s="219" t="n"/>
      <c r="K162" s="219" t="n"/>
      <c r="L162" s="219" t="n"/>
      <c r="M162" s="219" t="n"/>
      <c r="N162" s="219" t="n"/>
      <c r="O162" s="219" t="n"/>
      <c r="P162" s="219" t="n"/>
      <c r="Q162" s="219" t="inlineStr">
        <is>
          <t>Year 1</t>
        </is>
      </c>
      <c r="R162" s="219" t="n"/>
      <c r="S162" s="219" t="n"/>
      <c r="T162" s="219" t="n"/>
      <c r="U162" s="219" t="n"/>
    </row>
    <row r="163" outlineLevel="2" ht="43.5" customHeight="1" s="128">
      <c r="A163" s="220" t="inlineStr">
        <is>
          <t>BLOCK</t>
        </is>
      </c>
      <c r="B163" s="220" t="inlineStr">
        <is>
          <t>2. Formulation</t>
        </is>
      </c>
      <c r="C163" s="220" t="inlineStr">
        <is>
          <t>Analyse risk and resilience</t>
        </is>
      </c>
      <c r="D163" s="221" t="inlineStr">
        <is>
          <t>Block 1 · Knowing the factors</t>
        </is>
      </c>
      <c r="E163" s="222" t="inlineStr">
        <is>
          <t>The established risk and protective factors at individual, family and school level.</t>
        </is>
      </c>
      <c r="F163" s="220" t="inlineStr">
        <is>
          <t>3 hours, once · Weeks 1–2</t>
        </is>
      </c>
      <c r="G163" s="220" t="n"/>
      <c r="H163" s="220" t="n"/>
      <c r="I163" s="220" t="n"/>
      <c r="J163" s="220" t="n"/>
      <c r="K163" s="220" t="n"/>
      <c r="L163" s="220" t="n"/>
      <c r="M163" s="222" t="n"/>
      <c r="N163" s="220" t="n"/>
      <c r="O163" s="220" t="n"/>
      <c r="P163" s="220" t="inlineStr">
        <is>
          <t>How you build it: One page each for risk and protective factors. Use it until you know it.</t>
        </is>
      </c>
      <c r="Q163" s="220" t="n"/>
      <c r="R163" s="220" t="n"/>
      <c r="S163" s="220" t="n"/>
      <c r="T163" s="220" t="n"/>
      <c r="U163" s="220" t="n"/>
    </row>
    <row r="164" outlineLevel="2" ht="120" customHeight="1" s="128">
      <c r="A164" s="139" t="inlineStr">
        <is>
          <t>MICRO-SKILL</t>
        </is>
      </c>
      <c r="B164" s="139" t="inlineStr">
        <is>
          <t>2. Formulation</t>
        </is>
      </c>
      <c r="C164" s="139" t="inlineStr">
        <is>
          <t>Analyse risk and resilience</t>
        </is>
      </c>
      <c r="D164" s="139" t="inlineStr">
        <is>
          <t>Block 1 · Knowing the factors</t>
        </is>
      </c>
      <c r="E164" s="223" t="inlineStr">
        <is>
          <t>Identify risk factors across all three levels</t>
        </is>
      </c>
      <c r="F164" s="139" t="inlineStr">
        <is>
          <t>CORU SoP 5.17</t>
        </is>
      </c>
      <c r="G164" s="227" t="inlineStr">
        <is>
          <t>The Reference sheet sets three levels: child (developmental difficulty, chronic illness, early adversity), family (ill health, bereavement, separation, housing instability, caring responsibilities) and school or community (unstable placement, teacher changes, discrimination, low expectations, distance from services). Gather at only one level and you produce a within-child formulation by omission. CORU SoP 5.17 is mapped here. Carr (2015) frames risk as predisposing, precipitating and perpetuating factors, which is what makes risk usable.</t>
        </is>
      </c>
      <c r="H164" s="165" t="inlineStr">
        <is>
          <t>WATCH FOR — which questions your supervisor asks in the parent and teacher interviews that bring out family and school risk (moves, bereavements, housing, how many teachers this year), and how gently they ask them.
WRITE DOWN — the risk factors identified at each of the three levels, and which level had the least information.
ASK AFTERWARDS — 'how do you ask a parent about housing or money without it feeling like an inspection?'</t>
        </is>
      </c>
      <c r="I164" s="165" t="inlineStr">
        <is>
          <t>YOU TAKE — sorting everything on file and from interview into child, family and school or community risk, and noting which level is thin.
THEY HOLD — the sensitive family questions in interview until you have seen them asked well, and the judgement on what goes in the written report.
WHY THAT SPLIT — sorting is analysis you can own. Asking about family adversity, and deciding what a family would be comfortable seeing written, carries relational risk.</t>
        </is>
      </c>
      <c r="J164" s="165" t="inlineStr">
        <is>
          <t>YOU RUN IT — gather across all three levels in your own interviews, and present the risk picture in supervision, naming which risks are predisposing, precipitating and perpetuating.
WHAT THEY ARE WATCHING FOR — risk tucked into a 'background' paragraph and never used, and a picture that is all child-level.
STEPPING IN LOOKS LIKE — 'you've written that he's had three teachers this year as background. Is that a risk factor? Then name it as one.'</t>
        </is>
      </c>
      <c r="K164" s="207" t="inlineStr">
        <is>
          <t>YOU DO IT ALONE — gather risk at child, family and school levels on every substantial case, name each as a risk in the formulation, and say what role it plays in the difficulty.
PASS TEST — Risk is named as risk, not as background
EVIDENCE TO FILE — the formulation section. Log against 2. Formulation. Keep identifiable family detail out of your personal Log.
WHAT FAILURE LOOKS LIKE — a report that mentions a parent's recent illness in the history and never connects it to the child's change in presentation that term.</t>
        </is>
      </c>
      <c r="L164" s="165" t="inlineStr">
        <is>
          <t>YOU CAN TEACH IT — you can explain the three levels, why omitting one produces a within-child formulation, and how Carr's (2015) four Ps turn a list of risks into an account of onset and maintenance.
WHEN IT GOES WRONG — you can say what to do when a family does not want a risk factor in the report: discuss what is necessary for the formulation, agree wording, and record the decision, while never omitting anything that engages child protection.</t>
        </is>
      </c>
      <c r="M164" s="224" t="inlineStr">
        <is>
          <t>Recording risk as background history and never naming it as a risk that shapes the formulation.</t>
        </is>
      </c>
      <c r="N164" s="165" t="inlineStr">
        <is>
          <t>→ Feeds into 'Recognise when risk crosses a safeguarding threshold' and 'Show the levels interacting rather than listed'.</t>
        </is>
      </c>
      <c r="O164" s="225" t="inlineStr">
        <is>
          <t>Not started</t>
        </is>
      </c>
      <c r="P164" s="165" t="inlineStr">
        <is>
          <t>WATCH FOR — which questions your supervisor asks in the parent and teacher interviews that bring out family and school risk (moves, bereavements, housing, how many teachers this year), and how gently they ask them.</t>
        </is>
      </c>
      <c r="Q164" s="139" t="inlineStr">
        <is>
          <t>Year 1</t>
        </is>
      </c>
      <c r="R164" s="226" t="inlineStr">
        <is>
          <t>26/10/2026</t>
        </is>
      </c>
      <c r="S164" s="226" t="inlineStr">
        <is>
          <t>16/11/2026</t>
        </is>
      </c>
      <c r="T164" s="226" t="inlineStr">
        <is>
          <t>14/12/2026</t>
        </is>
      </c>
      <c r="U164" s="139" t="inlineStr">
        <is>
          <t>Report — formulation · Log sheet tagged 2. Formulation</t>
        </is>
      </c>
    </row>
    <row r="165" outlineLevel="2" ht="120" customHeight="1" s="128">
      <c r="A165" s="139" t="inlineStr">
        <is>
          <t>MICRO-SKILL</t>
        </is>
      </c>
      <c r="B165" s="139" t="inlineStr">
        <is>
          <t>2. Formulation</t>
        </is>
      </c>
      <c r="C165" s="139" t="inlineStr">
        <is>
          <t>Analyse risk and resilience</t>
        </is>
      </c>
      <c r="D165" s="139" t="inlineStr">
        <is>
          <t>Block 1 · Knowing the factors</t>
        </is>
      </c>
      <c r="E165" s="223" t="inlineStr">
        <is>
          <t>Identify protective factors genuinely present</t>
        </is>
      </c>
      <c r="F165" s="139" t="inlineStr">
        <is>
          <t>CORU SoP 1.3</t>
        </is>
      </c>
      <c r="G165" s="227" t="inlineStr">
        <is>
          <t>The Reference sheet's test is evidence, not optimism: 'supportive family' is not a protective factor unless you can say what the family does. Masten (Child Development, 2014) describes resilience as largely 'ordinary' processes — relationships, competence, belonging — and Rutter (Development and Psychopathology, 2012) as dynamic, not a fixed trait. CORU SoP 1.3 is mapped here. Generic strengths cannot be built on, so the recommendations end up resting only on deficits.</t>
        </is>
      </c>
      <c r="H165" s="165" t="inlineStr">
        <is>
          <t>WATCH FOR — how your supervisor gathers strengths: asking the child who helps and where they like to be, observing which adult the child goes to, asking the teacher what the child is good at and when they last saw it.
WRITE DOWN — each protective factor and its evidence (observed, named by the child, reported with an example).
ASK AFTERWARDS — 'how do you get a strength from a teacher who only has concerns to report?'</t>
        </is>
      </c>
      <c r="I165" s="165" t="inlineStr">
        <is>
          <t>YOU TAKE — asking the child directly who helps, what they are good at and where they choose to go, and recording the answers in their words.
THEY HOLD — checking that each strength you list is evidenced, not aspirational.
WHY THAT SPLIT — eliciting strengths from a child is direct work you can do well now. Telling a real protective factor from a hopeful one needs a second, sceptical view.</t>
        </is>
      </c>
      <c r="J165" s="165" t="inlineStr">
        <is>
          <t>YOU RUN IT — list protective factors with evidence for each, and bring them to supervision alongside the risks.
WHAT THEY ARE WATCHING FOR — generic strengths ('kind', 'supportive home', 'good attender') with no example, and strengths drawn only from adults.
STEPPING IN LOOKS LIKE — 'what does the family actually do that's supportive? If you can't say, it's not a protective factor yet.'</t>
        </is>
      </c>
      <c r="K165" s="207" t="inlineStr">
        <is>
          <t>YOU DO IT ALONE — name at least one reliable adult, one area of competence or one chosen place, with the evidence for each, specifically enough to build a recommendation on.
PASS TEST — Strengths are specific, not generic
EVIDENCE TO FILE — the formulation section, with the child's words where used. Log against 2. Formulation.
WHAT FAILURE LOOKS LIKE — 'X is a kind and friendly boy with a supportive family' as the whole strengths section, and no recommendation that uses any of it.</t>
        </is>
      </c>
      <c r="L165" s="165" t="inlineStr">
        <is>
          <t>YOU CAN TEACH IT — you can explain the difference between an evidenced and an aspirational protective factor, Masten's (2014) 'ordinary' processes, and how to elicit strengths from a child at each UCD Table 3 age band.
WHEN IT GOES WRONG — you can say what to do when you genuinely cannot find a protective factor: say so in the formulation, because the absence is itself a finding, and make building one an explicit target.</t>
        </is>
      </c>
      <c r="M165" s="224" t="inlineStr">
        <is>
          <t>Listing aspirational strengths ('supportive family') with no evidence of what they actually do.</t>
        </is>
      </c>
      <c r="N165" s="165" t="inlineStr">
        <is>
          <t>→ Feeds into 'Build recommendations on a protective factor' and into Intervention — 'Build at least one on a strength'.</t>
        </is>
      </c>
      <c r="O165" s="225" t="inlineStr">
        <is>
          <t>Not started</t>
        </is>
      </c>
      <c r="P165" s="165" t="inlineStr">
        <is>
          <t>WATCH FOR — how your supervisor gathers strengths: asking the child who helps and where they like to be, observing which adult the child goes to, asking the teacher what the child is good at and when they last saw it.</t>
        </is>
      </c>
      <c r="Q165" s="139" t="inlineStr">
        <is>
          <t>Year 1</t>
        </is>
      </c>
      <c r="R165" s="226" t="inlineStr">
        <is>
          <t>26/10/2026</t>
        </is>
      </c>
      <c r="S165" s="226" t="inlineStr">
        <is>
          <t>16/11/2026</t>
        </is>
      </c>
      <c r="T165" s="226" t="inlineStr">
        <is>
          <t>14/12/2026</t>
        </is>
      </c>
      <c r="U165" s="139" t="inlineStr">
        <is>
          <t>Report — formulation · Log sheet tagged 2. Formulation</t>
        </is>
      </c>
    </row>
    <row r="166" outlineLevel="2" ht="43.5" customHeight="1" s="128">
      <c r="A166" s="220" t="inlineStr">
        <is>
          <t>BLOCK</t>
        </is>
      </c>
      <c r="B166" s="220" t="inlineStr">
        <is>
          <t>2. Formulation</t>
        </is>
      </c>
      <c r="C166" s="220" t="inlineStr">
        <is>
          <t>Analyse risk and resilience</t>
        </is>
      </c>
      <c r="D166" s="221" t="inlineStr">
        <is>
          <t>Block 2 · Knowing the threshold</t>
        </is>
      </c>
      <c r="E166" s="222" t="inlineStr">
        <is>
          <t>When risk stops being a formulation matter and becomes a safeguarding one.</t>
        </is>
      </c>
      <c r="F166" s="220" t="inlineStr">
        <is>
          <t>2–3 hours, once · Before placement</t>
        </is>
      </c>
      <c r="G166" s="220" t="n"/>
      <c r="H166" s="220" t="n"/>
      <c r="I166" s="220" t="n"/>
      <c r="J166" s="220" t="n"/>
      <c r="K166" s="220" t="n"/>
      <c r="L166" s="220" t="n"/>
      <c r="M166" s="222" t="n"/>
      <c r="N166" s="220" t="n"/>
      <c r="O166" s="220" t="n"/>
      <c r="P166" s="220" t="inlineStr">
        <is>
          <t>How you build it: Read Children First National Guidance thresholds. Know them before you need them.</t>
        </is>
      </c>
      <c r="Q166" s="220" t="n"/>
      <c r="R166" s="220" t="n"/>
      <c r="S166" s="220" t="n"/>
      <c r="T166" s="220" t="n"/>
      <c r="U166" s="220" t="n"/>
    </row>
    <row r="167" outlineLevel="2" ht="120" customHeight="1" s="128">
      <c r="A167" s="139" t="inlineStr">
        <is>
          <t>MICRO-SKILL</t>
        </is>
      </c>
      <c r="B167" s="139" t="inlineStr">
        <is>
          <t>2. Formulation</t>
        </is>
      </c>
      <c r="C167" s="139" t="inlineStr">
        <is>
          <t>Analyse risk and resilience</t>
        </is>
      </c>
      <c r="D167" s="139" t="inlineStr">
        <is>
          <t>Block 2 · Knowing the threshold</t>
        </is>
      </c>
      <c r="E167" s="223" t="inlineStr">
        <is>
          <t>Recognise when risk crosses a safeguarding threshold</t>
        </is>
      </c>
      <c r="F167" s="139" t="inlineStr">
        <is>
          <t>Children First Act 2015 · CORU SoP 1.12</t>
        </is>
      </c>
      <c r="G167" s="227" t="inlineStr">
        <is>
          <t>This is where risk stops being a formulation matter. Under the Children First Act 2015 and Children First National Guidance (2017), a mandated person must report harm at threshold to Tusla as soon as practicable, and telling the school DLP does not discharge that duty. CORU SoP 1.12 (limits of confidentiality) and PSI Code 3.3.4 are mapped here. Your 4 August review (as the Reference sheet records it) named risk management protocols as a development area. Continuing an assessment after a disclosure, or describing a concern in a report, is the failure.</t>
        </is>
      </c>
      <c r="H167" s="165" t="inlineStr">
        <is>
          <t>WATCH FOR — how your supervisor recognises the shift from 'risk factor' to 'concern', what they do in the first hour, and how they separate the report to Tusla from the DLP conversation and from supervision.
WRITE DOWN — the sequence without identifying detail: stop, record verbatim with time, do not question further, tell the DLP, report to Tusla (jointly or yourself), tell your supervisor, record who and when.
ASK AFTERWARDS — 'what made you sure it was over the threshold, and which Guidance wording did you use?'</t>
        </is>
      </c>
      <c r="I167" s="165" t="inlineStr">
        <is>
          <t>YOU TAKE — rehearsing the sequence on anonymised examples, knowing the DLP for every school on your caseload, and your own record-keeping on the day.
THEY HOLD — support and advice. They do not hold your duty: if you are a mandated person, the report to Tusla is yours, and supervision follows the action rather than approving it.
WHY THAT SPLIT — this is the exception to the usual split. The law makes the duty personal, so what you can hand over is only the support around it.</t>
        </is>
      </c>
      <c r="J167" s="165" t="inlineStr">
        <is>
          <t>YOU RUN IT — when a concern arises in your work, stop the assessment, act through the sequence the same day, and bring it to supervision afterwards.
WHAT THEY ARE WATCHING FOR — continuing because stopping felt rude, questioning the child further, waiting for supervision before acting, and assuming the DLP's report covers you.
STEPPING IN LOOKS LIKE — 'you've told the principal. Has the report gone to Tusla, and is your name on it?'</t>
        </is>
      </c>
      <c r="K167" s="207" t="inlineStr">
        <is>
          <t>YOU DO IT ALONE — stop the work, record verbatim with the time, inform the DLP and ensure a report is made to Tusla as soon as practicable (jointly or yourself), tell your supervisor the same day, and record each step.
PASS TEST — You escalated rather than described
EVIDENCE TO FILE — your own contemporaneous record, kept per service policy, and a supervision note. Log against 2. Formulation and 6. Ethical Practice, with no identifiable details.
WHAT FAILURE LOOKS LIKE — a concern written into the formulation as 'family stressors' and nobody told that day.</t>
        </is>
      </c>
      <c r="L167" s="165" t="inlineStr">
        <is>
          <t>YOU CAN TEACH IT — you can explain the difference between a risk factor and a reasonable concern, the mandated threshold, why telling the DLP does not discharge your duty, and why supervision follows rather than replaces action — citing the Guidance, not paraphrasing it.
WHEN IT GOES WRONG — you can say what to do when you realise a concern went unreported: report to Tusla now, tell your supervisor, and record what happened and when.</t>
        </is>
      </c>
      <c r="M167" s="224" t="inlineStr">
        <is>
          <t>Describing a safeguarding concern in the formulation instead of stopping and reporting it that day.</t>
        </is>
      </c>
      <c r="N167" s="165" t="inlineStr">
        <is>
          <t>→ Feeds into Ethical Practice — 'Act the same day without waiting for supervision', 'Report to the DLP and record the time' and 'Bring it to supervision afterwards, not instead'.</t>
        </is>
      </c>
      <c r="O167" s="225" t="inlineStr">
        <is>
          <t>Not started</t>
        </is>
      </c>
      <c r="P167" s="165" t="inlineStr">
        <is>
          <t>WATCH FOR — how your supervisor recognises the shift from 'risk factor' to 'concern', what they do in the first hour, and how they separate the report to Tusla from the DLP conversation and from supervision.</t>
        </is>
      </c>
      <c r="Q167" s="139" t="inlineStr">
        <is>
          <t>Year 1</t>
        </is>
      </c>
      <c r="R167" s="226" t="inlineStr">
        <is>
          <t>26/10/2026</t>
        </is>
      </c>
      <c r="S167" s="226" t="inlineStr">
        <is>
          <t>16/11/2026</t>
        </is>
      </c>
      <c r="T167" s="226" t="inlineStr">
        <is>
          <t>14/12/2026</t>
        </is>
      </c>
      <c r="U167" s="139" t="inlineStr">
        <is>
          <t>Own contemporaneous record · supervision note · Log sheet tagged 2. Formulation and 6. Ethical Practice (no identifiable details)</t>
        </is>
      </c>
    </row>
    <row r="168" outlineLevel="2" ht="43.5" customHeight="1" s="128">
      <c r="A168" s="220" t="inlineStr">
        <is>
          <t>BLOCK</t>
        </is>
      </c>
      <c r="B168" s="220" t="inlineStr">
        <is>
          <t>2. Formulation</t>
        </is>
      </c>
      <c r="C168" s="220" t="inlineStr">
        <is>
          <t>Analyse risk and resilience</t>
        </is>
      </c>
      <c r="D168" s="221" t="inlineStr">
        <is>
          <t>Block 3 · Using strengths</t>
        </is>
      </c>
      <c r="E168" s="222" t="inlineStr">
        <is>
          <t>Building at least one recommendation on something already working.</t>
        </is>
      </c>
      <c r="F168" s="220" t="inlineStr">
        <is>
          <t>Habit · Weeks 7–12</t>
        </is>
      </c>
      <c r="G168" s="220" t="n"/>
      <c r="H168" s="220" t="n"/>
      <c r="I168" s="220" t="n"/>
      <c r="J168" s="220" t="n"/>
      <c r="K168" s="220" t="n"/>
      <c r="L168" s="220" t="n"/>
      <c r="M168" s="222" t="n"/>
      <c r="N168" s="220" t="n"/>
      <c r="O168" s="220" t="n"/>
      <c r="P168" s="220" t="inlineStr">
        <is>
          <t>How you build it: Check every recommendation set for one strength-based item.</t>
        </is>
      </c>
      <c r="Q168" s="220" t="n"/>
      <c r="R168" s="220" t="n"/>
      <c r="S168" s="220" t="n"/>
      <c r="T168" s="220" t="n"/>
      <c r="U168" s="220" t="n"/>
    </row>
    <row r="169" outlineLevel="2" ht="120" customHeight="1" s="128">
      <c r="A169" s="139" t="inlineStr">
        <is>
          <t>MICRO-SKILL</t>
        </is>
      </c>
      <c r="B169" s="139" t="inlineStr">
        <is>
          <t>2. Formulation</t>
        </is>
      </c>
      <c r="C169" s="139" t="inlineStr">
        <is>
          <t>Analyse risk and resilience</t>
        </is>
      </c>
      <c r="D169" s="139" t="inlineStr">
        <is>
          <t>Block 3 · Using strengths</t>
        </is>
      </c>
      <c r="E169" s="223" t="inlineStr">
        <is>
          <t>Build recommendations on a protective factor</t>
        </is>
      </c>
      <c r="F169" s="139" t="inlineStr">
        <is>
          <t>CORU SoP 5.34</t>
        </is>
      </c>
      <c r="G169" s="227" t="inlineStr">
        <is>
          <t>The Reference sheet puts it plainly: protective factors are not a courtesy paragraph, they are the material the intervention is made from, because an intervention that runs through an existing strength is the one a school will sustain. If a child reads willingly with one teacher, that teacher delivers or her approach is modelled. CORU SoP 5.34 is mapped here. A strengths list with no link to the recommendations is the named error: the formulation stops doing work at the point it matters.</t>
        </is>
      </c>
      <c r="H169" s="165" t="inlineStr">
        <is>
          <t>WATCH FOR — how your supervisor's recommendations use what the child does well: a trusted SNA as the key adult, a strength in oral reasoning turned into a reader for tests, a love of the GAA pitch used as the reward context.
WRITE DOWN — each protective factor in the formulation, and which recommendation (if any) draws on it.
ASK AFTERWARDS — 'which recommendations do schools actually keep going after the review, and why those?'</t>
        </is>
      </c>
      <c r="I169" s="165" t="inlineStr">
        <is>
          <t>YOU TAKE — drafting at least one recommendation that runs through an evidenced protective factor, naming the factor in the recommendation itself.
THEY HOLD — checking the school can resource it at the right Continuum of Support level, and that the adult named is willing and available.
WHY THAT SPLIT — linking strength to recommendation is formulation logic you should own. Whether the named adult can take it on is local knowledge.</t>
        </is>
      </c>
      <c r="J169" s="165" t="inlineStr">
        <is>
          <t>YOU RUN IT — build one recommendation on a protective factor in every report, and explain the link in supervision.
WHAT THEY ARE WATCHING FOR — a strengths paragraph that is never referred to again, and recommendations that rely on a named adult who has not been asked.
STEPPING IN LOOKS LIKE — 'you said she trusts the SNA. Where is the SNA in your recommendations?'</t>
        </is>
      </c>
      <c r="K169" s="207" t="inlineStr">
        <is>
          <t>YOU DO IT ALONE — write at least one recommendation that explicitly draws on an evidenced protective factor, name the factor, and check with the school that it is feasible.
PASS TEST — At least one uses a strength
EVIDENCE TO FILE — the recommendations section. Log against 2. Formulation and 3. Intervention.
WHAT FAILURE LOOKS LIKE — a formulation that names a reliable adult and a strength in art, and recommendations that are all extra literacy withdrawal with an unfamiliar teacher.</t>
        </is>
      </c>
      <c r="L169" s="165" t="inlineStr">
        <is>
          <t>YOU CAN TEACH IT — you can explain why interventions built on existing strengths are more likely to be sustained, how to translate each type of protective factor into a recommendation, and how this links to 'Build at least one on a strength' in Intervention.
WHEN IT GOES WRONG — you can say what to do when the protective factor disappears (the trusted SNA is reallocated): revisit the formulation, find or build another, and set an early review.</t>
        </is>
      </c>
      <c r="M169" s="224" t="inlineStr">
        <is>
          <t>Listing strengths in the formulation and never using one in the recommendations.</t>
        </is>
      </c>
      <c r="N169" s="165" t="inlineStr">
        <is>
          <t>→ Feeds into Intervention — 'Build at least one on a strength' and 'Name who delivers'.</t>
        </is>
      </c>
      <c r="O169" s="225" t="inlineStr">
        <is>
          <t>Not started</t>
        </is>
      </c>
      <c r="P169" s="165" t="inlineStr">
        <is>
          <t>WATCH FOR — how your supervisor's recommendations use what the child does well: a trusted SNA as the key adult, a strength in oral reasoning turned into a reader for tests, a love of the GAA pitch used as the reward context.</t>
        </is>
      </c>
      <c r="Q169" s="139" t="inlineStr">
        <is>
          <t>Year 1</t>
        </is>
      </c>
      <c r="R169" s="226" t="inlineStr">
        <is>
          <t>26/10/2026</t>
        </is>
      </c>
      <c r="S169" s="226" t="inlineStr">
        <is>
          <t>16/11/2026</t>
        </is>
      </c>
      <c r="T169" s="226" t="inlineStr">
        <is>
          <t>14/12/2026</t>
        </is>
      </c>
      <c r="U169" s="139" t="inlineStr">
        <is>
          <t>Report — recommendations · Log sheet tagged 2. Formulation and 3. Intervention</t>
        </is>
      </c>
    </row>
    <row r="170" outlineLevel="2" ht="19.5" customHeight="1" s="128">
      <c r="A170" s="219" t="inlineStr">
        <is>
          <t>MACRO SKILL</t>
        </is>
      </c>
      <c r="B170" s="219" t="inlineStr">
        <is>
          <t>2. Formulation</t>
        </is>
      </c>
      <c r="C170" s="219" t="inlineStr">
        <is>
          <t>Account for the biopsychosocial context</t>
        </is>
      </c>
      <c r="D170" s="219" t="n"/>
      <c r="E170" s="219" t="inlineStr">
        <is>
          <t>3 blocks · 5 micro-skills</t>
        </is>
      </c>
      <c r="F170" s="219" t="inlineStr">
        <is>
          <t>CORU 5.2 · 5.14 · 5.16 · 5.5</t>
        </is>
      </c>
      <c r="G170" s="219" t="n"/>
      <c r="H170" s="219" t="n"/>
      <c r="I170" s="219" t="n"/>
      <c r="J170" s="219" t="n"/>
      <c r="K170" s="219" t="n"/>
      <c r="L170" s="219" t="n"/>
      <c r="M170" s="219" t="n"/>
      <c r="N170" s="219" t="n"/>
      <c r="O170" s="219" t="n"/>
      <c r="P170" s="219" t="n"/>
      <c r="Q170" s="219" t="inlineStr">
        <is>
          <t>Year 1</t>
        </is>
      </c>
      <c r="R170" s="219" t="n"/>
      <c r="S170" s="219" t="n"/>
      <c r="T170" s="219" t="n"/>
      <c r="U170" s="219" t="n"/>
    </row>
    <row r="171" outlineLevel="2" ht="43.5" customHeight="1" s="128">
      <c r="A171" s="220" t="inlineStr">
        <is>
          <t>BLOCK</t>
        </is>
      </c>
      <c r="B171" s="220" t="inlineStr">
        <is>
          <t>2. Formulation</t>
        </is>
      </c>
      <c r="C171" s="220" t="inlineStr">
        <is>
          <t>Account for the biopsychosocial context</t>
        </is>
      </c>
      <c r="D171" s="221" t="inlineStr">
        <is>
          <t>Block 1 · Knowing the models</t>
        </is>
      </c>
      <c r="E171" s="222" t="inlineStr">
        <is>
          <t>The social and biopsychosocial models of disability, and what each implies for how you write.</t>
        </is>
      </c>
      <c r="F171" s="220" t="inlineStr">
        <is>
          <t>3–4 hours, once · Weeks 1–2</t>
        </is>
      </c>
      <c r="G171" s="220" t="n"/>
      <c r="H171" s="220" t="n"/>
      <c r="I171" s="220" t="n"/>
      <c r="J171" s="220" t="n"/>
      <c r="K171" s="220" t="n"/>
      <c r="L171" s="220" t="n"/>
      <c r="M171" s="222" t="n"/>
      <c r="N171" s="220" t="n"/>
      <c r="O171" s="220" t="n"/>
      <c r="P171" s="220" t="inlineStr">
        <is>
          <t>How you build it: Read one short piece on each. Know which your service operates from.</t>
        </is>
      </c>
      <c r="Q171" s="220" t="n"/>
      <c r="R171" s="220" t="n"/>
      <c r="S171" s="220" t="n"/>
      <c r="T171" s="220" t="n"/>
      <c r="U171" s="220" t="n"/>
    </row>
    <row r="172" outlineLevel="2" ht="120" customHeight="1" s="128">
      <c r="A172" s="139" t="inlineStr">
        <is>
          <t>MICRO-SKILL</t>
        </is>
      </c>
      <c r="B172" s="139" t="inlineStr">
        <is>
          <t>2. Formulation</t>
        </is>
      </c>
      <c r="C172" s="139" t="inlineStr">
        <is>
          <t>Account for the biopsychosocial context</t>
        </is>
      </c>
      <c r="D172" s="139" t="inlineStr">
        <is>
          <t>Block 1 · Knowing the models</t>
        </is>
      </c>
      <c r="E172" s="223" t="inlineStr">
        <is>
          <t>Name which model of disability you are working from</t>
        </is>
      </c>
      <c r="F172" s="139" t="inlineStr">
        <is>
          <t>UNCRPD 2018 · CORU SoP 5.5</t>
        </is>
      </c>
      <c r="G172" s="227" t="inlineStr">
        <is>
          <t>The model you work from decides what you recommend, whether or not you name it. A medical model locates the difficulty in the child; a social model in barriers (Oliver, Disability &amp; Society, 2013); a biopsychosocial model holds both (Engel, Science, 1977). The UN Convention on the Rights of Persons with Disabilities (ratified by Ireland in 2018) and CORU SoP 5.5 are mapped here. The Reference sheet warns most trainee reports are medical-model by default, because the tools are child-focused and the report follows the tools.</t>
        </is>
      </c>
      <c r="H172" s="165" t="inlineStr">
        <is>
          <t>WATCH FOR — which model your supervisor's reports imply: where the recommendations are aimed (child, classroom, school system), and whether the model is ever named.
WRITE DOWN — for one report: every recommendation, and whether it targets the child or the environment.
ASK AFTERWARDS — 'if the environment changed and the child did not, would any of these recommendations become unnecessary?' — the Reference sheet's test for a hidden medical model.</t>
        </is>
      </c>
      <c r="I172" s="165" t="inlineStr">
        <is>
          <t>YOU TAKE — stating in writing, before assessment, the model you are working from, and applying the Reference sheet's test to your own draft recommendations.
THEY HOLD — how explicitly the model is named in a report sent to a school or family, and how it fits the service's own stance.
WHY THAT SPLIT — naming and testing your model is a discipline you own. How visible it should be for a lay reader, and how it sits with NEPS practice, is your supervisor's call.</t>
        </is>
      </c>
      <c r="J172" s="165" t="inlineStr">
        <is>
          <t>YOU RUN IT — name the model at the start of each case, and in supervision show that your recommendations are consistent with it.
WHAT THEY ARE WATCHING FOR — claiming a biopsychosocial or social model and writing a report where every recommendation targets the child.
STEPPING IN LOOKS LIKE — 'you've said biopsychosocial. Which of these recommendations changes the environment?'</t>
        </is>
      </c>
      <c r="K172" s="207" t="inlineStr">
        <is>
          <t>YOU DO IT ALONE — name the model in the case file and the report method, and check that the recommendations match it: if you claim biopsychosocial, at least one targets the environment.
PASS TEST — Stated and consistent
EVIDENCE TO FILE — the report method and recommendations sections. Log against 2. Formulation.
WHAT FAILURE LOOKS LIKE — a report that opens with a social-model paragraph and closes with six child-directed recommendations and nothing for the classroom.</t>
        </is>
      </c>
      <c r="L172" s="165" t="inlineStr">
        <is>
          <t>YOU CAN TEACH IT — you can explain the medical, social and biopsychosocial models, cite Engel (1977) and Oliver (2013), and show how each produces different recommendations for the same child.
WHEN IT GOES WRONG — you can say what to do when a school expects a within-child report to unlock resources: explain the needs clearly for the resource application and still include the environmental recommendations the formulation requires.</t>
        </is>
      </c>
      <c r="M172" s="224" t="inlineStr">
        <is>
          <t>Claiming a biopsychosocial or social model while writing a report whose recommendations all target the child.</t>
        </is>
      </c>
      <c r="N172" s="165" t="inlineStr">
        <is>
          <t>→ Feeds into 'Consider the school environment as a contributor' and 'Show the levels interacting rather than listed'.</t>
        </is>
      </c>
      <c r="O172" s="225" t="inlineStr">
        <is>
          <t>Not started</t>
        </is>
      </c>
      <c r="P172" s="165" t="inlineStr">
        <is>
          <t>WATCH FOR — which model your supervisor's reports imply: where the recommendations are aimed (child, classroom, school system), and whether the model is ever named.</t>
        </is>
      </c>
      <c r="Q172" s="139" t="inlineStr">
        <is>
          <t>Year 1</t>
        </is>
      </c>
      <c r="R172" s="226" t="inlineStr">
        <is>
          <t>26/10/2026</t>
        </is>
      </c>
      <c r="S172" s="226" t="inlineStr">
        <is>
          <t>16/11/2026</t>
        </is>
      </c>
      <c r="T172" s="226" t="inlineStr">
        <is>
          <t>14/12/2026</t>
        </is>
      </c>
      <c r="U172" s="139" t="inlineStr">
        <is>
          <t>Report — method and recommendations · Log sheet tagged 2. Formulation</t>
        </is>
      </c>
    </row>
    <row r="173" outlineLevel="2" ht="43.5" customHeight="1" s="128">
      <c r="A173" s="220" t="inlineStr">
        <is>
          <t>BLOCK</t>
        </is>
      </c>
      <c r="B173" s="220" t="inlineStr">
        <is>
          <t>2. Formulation</t>
        </is>
      </c>
      <c r="C173" s="220" t="inlineStr">
        <is>
          <t>Account for the biopsychosocial context</t>
        </is>
      </c>
      <c r="D173" s="221" t="inlineStr">
        <is>
          <t>Block 2 · Gathering across levels</t>
        </is>
      </c>
      <c r="E173" s="222" t="inlineStr">
        <is>
          <t>Making sure you have data at individual, family and school level before formulating.</t>
        </is>
      </c>
      <c r="F173" s="220" t="inlineStr">
        <is>
          <t>Habit per case · Weeks 3–6</t>
        </is>
      </c>
      <c r="G173" s="220" t="n"/>
      <c r="H173" s="220" t="n"/>
      <c r="I173" s="220" t="n"/>
      <c r="J173" s="220" t="n"/>
      <c r="K173" s="220" t="n"/>
      <c r="L173" s="220" t="n"/>
      <c r="M173" s="222" t="n"/>
      <c r="N173" s="220" t="n"/>
      <c r="O173" s="220" t="n"/>
      <c r="P173" s="220" t="inlineStr">
        <is>
          <t>How you build it: Check your sources against the three levels before writing.</t>
        </is>
      </c>
      <c r="Q173" s="220" t="n"/>
      <c r="R173" s="220" t="n"/>
      <c r="S173" s="220" t="n"/>
      <c r="T173" s="220" t="n"/>
      <c r="U173" s="220" t="n"/>
    </row>
    <row r="174" outlineLevel="2" ht="120" customHeight="1" s="128">
      <c r="A174" s="139" t="inlineStr">
        <is>
          <t>MICRO-SKILL</t>
        </is>
      </c>
      <c r="B174" s="139" t="inlineStr">
        <is>
          <t>2. Formulation</t>
        </is>
      </c>
      <c r="C174" s="139" t="inlineStr">
        <is>
          <t>Account for the biopsychosocial context</t>
        </is>
      </c>
      <c r="D174" s="139" t="inlineStr">
        <is>
          <t>Block 2 · Gathering across levels</t>
        </is>
      </c>
      <c r="E174" s="223" t="inlineStr">
        <is>
          <t>Consider biological and developmental contributors</t>
        </is>
      </c>
      <c r="F174" s="139" t="inlineStr">
        <is>
          <t>CORU SoP 5.2</t>
        </is>
      </c>
      <c r="G174" s="227" t="inlineStr">
        <is>
          <t>Birth and developmental history, hearing and vision, sleep, chronic illness, medication and its timing, genetic conditions and early intervention can all contribute. The Reference sheet's example: a history of glue ear in the infant classes is a live hypothesis for a literacy difficulty presenting at eight, and is routinely missed because nobody asks about hearing once it has resolved. CORU SoP 5.2 is mapped here. Record history without using it and a treatable contributor goes unexamined.</t>
        </is>
      </c>
      <c r="H174" s="165" t="inlineStr">
        <is>
          <t>WATCH FOR — which history questions your supervisor always asks (hearing, vision, sleep, medication, early milestones, early intervention), and how they use the answers in the formulation.
WRITE DOWN — the history questions, and one example of a history item that changed a hypothesis.
ASK AFTERWARDS — 'when do you ask for an up-to-date hearing or vision check before interpreting test results?'</t>
        </is>
      </c>
      <c r="I174" s="165" t="inlineStr">
        <is>
          <t>YOU TAKE — taking the developmental history in the parent interview using a structured checklist, and reading any medical or CDNT reports on file (with consent).
THEY HOLD — interpretation of medical information outside psychology, and the decision to recommend a GP, audiology or ophthalmology check.
WHY THAT SPLIT — history taking is a skill you should practise every time. Interpreting medical information and recommending medical checks sits at the edge of competence.</t>
        </is>
      </c>
      <c r="J174" s="165" t="inlineStr">
        <is>
          <t>YOU RUN IT — take the history and state in supervision which items are live hypotheses for the presenting difficulty, and which are background.
WHAT THEY ARE WATCHING FOR — a history section filled in and then never referred to, and test scores interpreted without asking whether hearing or vision is current.
STEPPING IN LOOKS LIKE — 'mum mentioned grommets at four. What does that do to your phonological hypothesis?'</t>
        </is>
      </c>
      <c r="K174" s="207" t="inlineStr">
        <is>
          <t>YOU DO IT ALONE — take the developmental and medical history on every case, name any item that bears on the difficulty, and use it in the formulation or recommend the check that would clarify it.
PASS TEST — History used, not just recorded
EVIDENCE TO FILE — the background and formulation sections. Log against 2. Formulation.
WHAT FAILURE LOOKS LIKE — a literacy difficulty attributed entirely to phonological processing, with a history of recurrent ear infections in the background section and never mentioned again.</t>
        </is>
      </c>
      <c r="L174" s="165" t="inlineStr">
        <is>
          <t>YOU CAN TEACH IT — you can explain which biological and developmental factors commonly bear on school difficulties, how to ask about them sensitively, and when to recommend a check before interpreting results.
WHEN IT GOES WRONG — you can say what to do when a hearing or vision problem emerges after you have tested: note it in the report, qualify the affected scores, recommend the check, and plan to reassess.</t>
        </is>
      </c>
      <c r="M174" s="224" t="inlineStr">
        <is>
          <t>Recording a relevant history item, such as glue ear, and never using it as a hypothesis.</t>
        </is>
      </c>
      <c r="N174" s="165" t="inlineStr">
        <is>
          <t>→ Feeds into 'Generate more than one hypothesis' and 'Show the levels interacting rather than listed'.</t>
        </is>
      </c>
      <c r="O174" s="225" t="inlineStr">
        <is>
          <t>Not started</t>
        </is>
      </c>
      <c r="P174" s="165" t="inlineStr">
        <is>
          <t>WATCH FOR — which history questions your supervisor always asks (hearing, vision, sleep, medication, early milestones, early intervention), and how they use the answers in the formulation.</t>
        </is>
      </c>
      <c r="Q174" s="139" t="inlineStr">
        <is>
          <t>Year 1</t>
        </is>
      </c>
      <c r="R174" s="226" t="inlineStr">
        <is>
          <t>26/10/2026</t>
        </is>
      </c>
      <c r="S174" s="226" t="inlineStr">
        <is>
          <t>16/11/2026</t>
        </is>
      </c>
      <c r="T174" s="226" t="inlineStr">
        <is>
          <t>14/12/2026</t>
        </is>
      </c>
      <c r="U174" s="139" t="inlineStr">
        <is>
          <t>Report — background and formulation · Log sheet tagged 2. Formulation</t>
        </is>
      </c>
    </row>
    <row r="175" outlineLevel="2" ht="120" customHeight="1" s="128">
      <c r="A175" s="139" t="inlineStr">
        <is>
          <t>MICRO-SKILL</t>
        </is>
      </c>
      <c r="B175" s="139" t="inlineStr">
        <is>
          <t>2. Formulation</t>
        </is>
      </c>
      <c r="C175" s="139" t="inlineStr">
        <is>
          <t>Account for the biopsychosocial context</t>
        </is>
      </c>
      <c r="D175" s="139" t="inlineStr">
        <is>
          <t>Block 2 · Gathering across levels</t>
        </is>
      </c>
      <c r="E175" s="223" t="inlineStr">
        <is>
          <t>Consider family, culture and community influence</t>
        </is>
      </c>
      <c r="F175" s="139" t="inlineStr">
        <is>
          <t>CORU SoP 5.16 · 5.24</t>
        </is>
      </c>
      <c r="G175" s="227" t="inlineStr">
        <is>
          <t>Home language and exposure to the language of instruction, home literacy practices, parental experience of school, migration and displacement, and the family's own construction of the difficulty all shape what you see. For a child assessed through an interpreter this is not background: it changes what the scores mean (Reference sheet). CORU SoP 5.16 and 5.24 are mapped here. Cummins's (1979) distinction between conversational and academic language is the classic warning: fluent chat does not mean academic English is secure.</t>
        </is>
      </c>
      <c r="H175" s="165" t="inlineStr">
        <is>
          <t>WATCH FOR — how your supervisor asks about home language, time in Ireland and in English-medium schooling, and the family's view of the difficulty, and how those answers change the interpretation of verbal scores.
WRITE DOWN — the questions asked, and where in the report language and culture are addressed.
ASK AFTERWARDS — 'when a child has English as an additional language, which scores do you trust least, and how do you say so in the report?'</t>
        </is>
      </c>
      <c r="I175" s="165" t="inlineStr">
        <is>
          <t>YOU TAKE — gathering language, cultural and community information in the parent interview, arranging an interpreter where needed, and noting the family's own explanation of the difficulty.
THEY HOLD — decisions on which standardised measures are defensible for this child and how their limitations are worded.
WHY THAT SPLIT — gathering context is interview work you can do well. Judging whether a norm-referenced score means anything for this child is a technical call with consequences.</t>
        </is>
      </c>
      <c r="J175" s="165" t="inlineStr">
        <is>
          <t>YOU RUN IT — gather the context, and in supervision explain how it changes the interpretation of each verbally mediated score.
WHAT THEY ARE WATCHING FOR — EAL treated as a footnote, the family's construction of the difficulty left out, and assumptions about a culture made without asking.
STEPPING IN LOOKS LIKE — 'he has been in English-medium school for eighteen months. What does that do to the vocabulary score?'</t>
        </is>
      </c>
      <c r="K175" s="207" t="inlineStr">
        <is>
          <t>YOU DO IT ALONE — address home language, culture and community in the formulation, say how they affect the meaning of the scores, and include the family's view of the difficulty.
PASS TEST — Cultural and linguistic factors addressed explicitly
EVIDENCE TO FILE — the background, results and formulation sections. Log against 2. Formulation and 1. Assessment.
WHAT FAILURE LOOKS LIKE — a child in her second year in Ireland reported as having a verbal reasoning difficulty on the basis of an English-normed test, with language mentioned only in the background.</t>
        </is>
      </c>
      <c r="L175" s="165" t="inlineStr">
        <is>
          <t>YOU CAN TEACH IT — you can explain why language exposure changes the meaning of verbally mediated scores, how to work with interpreters, and how to include the family's construction without adopting it uncritically.
WHEN IT GOES WRONG — you can say what to do when you realise you interpreted scores without accounting for language: amend the report, qualify or withdraw the affected scores, and explain the change to the school and family.</t>
        </is>
      </c>
      <c r="M175" s="224" t="inlineStr">
        <is>
          <t>Treating English as an additional language as a footnote rather than as something that changes every verbally mediated score.</t>
        </is>
      </c>
      <c r="N175" s="165" t="inlineStr">
        <is>
          <t>→ Feeds into 'Show the levels interacting rather than listed' and into Assessment — 'Adapt standardised procedure and record the adaptation'.</t>
        </is>
      </c>
      <c r="O175" s="225" t="inlineStr">
        <is>
          <t>Not started</t>
        </is>
      </c>
      <c r="P175" s="165" t="inlineStr">
        <is>
          <t>WATCH FOR — how your supervisor asks about home language, time in Ireland and in English-medium schooling, and the family's view of the difficulty, and how those answers change the interpretation of verbal scores.</t>
        </is>
      </c>
      <c r="Q175" s="139" t="inlineStr">
        <is>
          <t>Year 1</t>
        </is>
      </c>
      <c r="R175" s="226" t="inlineStr">
        <is>
          <t>26/10/2026</t>
        </is>
      </c>
      <c r="S175" s="226" t="inlineStr">
        <is>
          <t>16/11/2026</t>
        </is>
      </c>
      <c r="T175" s="226" t="inlineStr">
        <is>
          <t>14/12/2026</t>
        </is>
      </c>
      <c r="U175" s="139" t="inlineStr">
        <is>
          <t>Report — background, results and formulation · Log sheet tagged 2. Formulation and 1. Assessment</t>
        </is>
      </c>
    </row>
    <row r="176" outlineLevel="2" ht="120" customHeight="1" s="128">
      <c r="A176" s="139" t="inlineStr">
        <is>
          <t>MICRO-SKILL</t>
        </is>
      </c>
      <c r="B176" s="139" t="inlineStr">
        <is>
          <t>2. Formulation</t>
        </is>
      </c>
      <c r="C176" s="139" t="inlineStr">
        <is>
          <t>Account for the biopsychosocial context</t>
        </is>
      </c>
      <c r="D176" s="139" t="inlineStr">
        <is>
          <t>Block 2 · Gathering across levels</t>
        </is>
      </c>
      <c r="E176" s="223" t="inlineStr">
        <is>
          <t>Consider the school environment as a contributor</t>
        </is>
      </c>
      <c r="F176" s="139" t="inlineStr">
        <is>
          <t>CORU SoP 5.14</t>
        </is>
      </c>
      <c r="G176" s="227" t="inlineStr">
        <is>
          <t>The school is a contributor, not a backdrop: class size, teaching approach, how much of the day is independent written work, staff turnover, transitions, acoustics, seating, and whether the NEPS Continuum of Support level documented in the Student Support File is actually happening. The Reference sheet calls the gap between recorded and observed support 'a finding worth stating plainly'. CORU SoP 5.14 is mapped here. Miss the environment and you recommend only what the school already does.</t>
        </is>
      </c>
      <c r="H176" s="165" t="inlineStr">
        <is>
          <t>WATCH FOR — what your supervisor notices in the classroom beyond the child: class size, noise, where the child sits, how instructions are given, how long independent tasks last, and whether the support in the plan is visible in the room.
WRITE DOWN — the environmental features, and any gap between the Student Support File and what you saw.
ASK AFTERWARDS — 'how do you raise a gap between the plan and the practice without the teacher feeling blamed?'</t>
        </is>
      </c>
      <c r="I176" s="165" t="inlineStr">
        <is>
          <t>YOU TAKE — reading the Student Support File before the visit, and recording environmental features and support actually delivered during the observation.
THEY HOLD — how the environmental findings are worded and discussed with the teacher and principal.
WHY THAT SPLIT — observing and comparing is data collection you can do well. Naming a gap in a school's practice needs a relationship with the school and careful wording.</t>
        </is>
      </c>
      <c r="J176" s="165" t="inlineStr">
        <is>
          <t>YOU RUN IT — include class size, teacher changes, transitions and the recorded-v-observed support gap in your formulation, and discuss wording in supervision.
WHAT THEY ARE WATCHING FOR — environment described in a context paragraph and never used, and a gap between file and practice seen but left unsaid.
STEPPING IN LOOKS LIKE — 'the plan says daily small-group reading. Did you see it? If not, that belongs in the formulation.'</t>
        </is>
      </c>
      <c r="K176" s="207" t="inlineStr">
        <is>
          <t>YOU DO IT ALONE — consider class size, teacher change, transitions and the support actually delivered, name those that contribute, and write at least one recommendation aimed at the environment.
PASS TEST — Class size, teacher change, transitions considered
EVIDENCE TO FILE — the observation notes and the formulation. Log against 2. Formulation.
WHAT FAILURE LOOKS LIKE — a report that recommends the School Support Plus plan already in the file, without noticing that none of it was happening.</t>
        </is>
      </c>
      <c r="L176" s="165" t="inlineStr">
        <is>
          <t>YOU CAN TEACH IT — you can explain how the school environment contributes to a difficulty, what to look for in an observation, and how to state a recorded-v-observed gap in neutral, factual language.
WHEN IT GOES WRONG — you can say what to do when a school disputes an environmental finding: return to your observation notes, share what you saw factually, and agree a review rather than withdrawing the finding.</t>
        </is>
      </c>
      <c r="M176" s="224" t="inlineStr">
        <is>
          <t>Describing the classroom as context and never treating it as a contributor to the difficulty.</t>
        </is>
      </c>
      <c r="N176" s="165" t="inlineStr">
        <is>
          <t>→ Feeds into 'Show the levels interacting rather than listed' and into Intervention — 'Check the school can actually resource it'.</t>
        </is>
      </c>
      <c r="O176" s="225" t="inlineStr">
        <is>
          <t>Not started</t>
        </is>
      </c>
      <c r="P176" s="165" t="inlineStr">
        <is>
          <t>WATCH FOR — what your supervisor notices in the classroom beyond the child: class size, noise, where the child sits, how instructions are given, how long independent tasks last, and whether the support in the plan is visible in the room.</t>
        </is>
      </c>
      <c r="Q176" s="139" t="inlineStr">
        <is>
          <t>Year 1</t>
        </is>
      </c>
      <c r="R176" s="226" t="inlineStr">
        <is>
          <t>26/10/2026</t>
        </is>
      </c>
      <c r="S176" s="226" t="inlineStr">
        <is>
          <t>16/11/2026</t>
        </is>
      </c>
      <c r="T176" s="226" t="inlineStr">
        <is>
          <t>14/12/2026</t>
        </is>
      </c>
      <c r="U176" s="139" t="inlineStr">
        <is>
          <t>Observation notes · Report — formulation · Log sheet tagged 2. Formulation</t>
        </is>
      </c>
    </row>
    <row r="177" outlineLevel="2" ht="43.5" customHeight="1" s="128">
      <c r="A177" s="220" t="inlineStr">
        <is>
          <t>BLOCK</t>
        </is>
      </c>
      <c r="B177" s="220" t="inlineStr">
        <is>
          <t>2. Formulation</t>
        </is>
      </c>
      <c r="C177" s="220" t="inlineStr">
        <is>
          <t>Account for the biopsychosocial context</t>
        </is>
      </c>
      <c r="D177" s="221" t="inlineStr">
        <is>
          <t>Block 3 · Writing them as interacting</t>
        </is>
      </c>
      <c r="E177" s="222" t="inlineStr">
        <is>
          <t>Showing the levels connected rather than listed.</t>
        </is>
      </c>
      <c r="F177" s="220" t="inlineStr">
        <is>
          <t>Ongoing · Weeks 7–12</t>
        </is>
      </c>
      <c r="G177" s="220" t="n"/>
      <c r="H177" s="220" t="n"/>
      <c r="I177" s="220" t="n"/>
      <c r="J177" s="220" t="n"/>
      <c r="K177" s="220" t="n"/>
      <c r="L177" s="220" t="n"/>
      <c r="M177" s="222" t="n"/>
      <c r="N177" s="220" t="n"/>
      <c r="O177" s="220" t="n"/>
      <c r="P177" s="220" t="inlineStr">
        <is>
          <t>How you build it: Write one formulation where two levels appear in the same sentence.</t>
        </is>
      </c>
      <c r="Q177" s="220" t="n"/>
      <c r="R177" s="220" t="n"/>
      <c r="S177" s="220" t="n"/>
      <c r="T177" s="220" t="n"/>
      <c r="U177" s="220" t="n"/>
    </row>
    <row r="178" outlineLevel="2" ht="120" customHeight="1" s="128">
      <c r="A178" s="139" t="inlineStr">
        <is>
          <t>MICRO-SKILL</t>
        </is>
      </c>
      <c r="B178" s="139" t="inlineStr">
        <is>
          <t>2. Formulation</t>
        </is>
      </c>
      <c r="C178" s="139" t="inlineStr">
        <is>
          <t>Account for the biopsychosocial context</t>
        </is>
      </c>
      <c r="D178" s="139" t="inlineStr">
        <is>
          <t>Block 3 · Writing them as interacting</t>
        </is>
      </c>
      <c r="E178" s="223" t="inlineStr">
        <is>
          <t>Show the levels interacting rather than listed</t>
        </is>
      </c>
      <c r="F178" s="139" t="inlineStr">
        <is>
          <t>CORU SoP 5.16</t>
        </is>
      </c>
      <c r="G178" s="227" t="inlineStr">
        <is>
          <t>The Reference sheet names this as the move that separates grade 5 from grade 3. 'John has a phonological difficulty. His class has 29 pupils. His first language is Ukrainian' is a list. Showing how each compounds the others, and which interaction accounts for the size of the gap, is a formulation. CORU SoP 5.16 is mapped here. Bronfenbrenner and Morris's (2006) bioecological model is the theoretical basis. A list leaves the reader unable to see where to intervene.</t>
        </is>
      </c>
      <c r="H178" s="165" t="inlineStr">
        <is>
          <t>WATCH FOR — the sentences in your supervisor's formulation that link levels: 'compounded by', 'which means that', 'so that'. Notice whether they say which interaction accounts for the size of the difficulty.
WRITE DOWN — one linking sentence, and the levels it connects.
ASK AFTERWARDS — 'how do you decide which interaction matters most, rather than just connecting everything to everything?'</t>
        </is>
      </c>
      <c r="I178" s="165" t="inlineStr">
        <is>
          <t>YOU TAKE — drafting the formulation paragraph for a joint case as interactions: each contributor, what it does to the others, and the combined effect.
THEY HOLD — testing whether each claimed interaction is supported by the evidence or only plausible.
WHY THAT SPLIT — writing interactions is the skill you are building. Checking each link against the data needs a second reader who can see an unsupported leap.</t>
        </is>
      </c>
      <c r="J178" s="165" t="inlineStr">
        <is>
          <t>YOU RUN IT — write the formulation as interacting levels and state which interaction explains the size of the gap, then defend it in supervision.
WHAT THEY ARE WATCHING FOR — a list in paragraph form, and interactions asserted with no evidence ('the class size affects his reading').
STEPPING IN LOOKS LIKE — 'how does the class size make the phonological difficulty worse? What did you see that shows it?'</t>
        </is>
      </c>
      <c r="K178" s="207" t="inlineStr">
        <is>
          <t>YOU DO IT ALONE — write the formulation so each level is connected to at least one other, say which interaction accounts for the size of the difficulty, and base at least one recommendation on changing that interaction.
PASS TEST — The formulation connects them
EVIDENCE TO FILE — the formulation section. Log against 2. Formulation.
WHAT FAILURE LOOKS LIKE — separate paragraphs on biological, family and school factors with no sentence connecting any of them.</t>
        </is>
      </c>
      <c r="L178" s="165" t="inlineStr">
        <is>
          <t>YOU CAN TEACH IT — you can show a peer how to turn a list into an interacting formulation, using the Reference sheet's worked example and Bronfenbrenner and Morris (2006), and explain why the interaction points to where to intervene.
WHEN IT GOES WRONG — you can say what to do when you cannot evidence an interaction: say which levels contribute, state that how they interact is not yet clear, and plan what would clarify it.</t>
        </is>
      </c>
      <c r="M178" s="224" t="inlineStr">
        <is>
          <t>Listing biological, family and school factors in separate paragraphs without showing how they affect each other.</t>
        </is>
      </c>
      <c r="N178" s="165" t="inlineStr">
        <is>
          <t>→ Feeds into Intervention — 'Write recommendations naming the Continuum of Support level', and into the whole-case formulation in 'Show the reasoning step by step'.</t>
        </is>
      </c>
      <c r="O178" s="225" t="inlineStr">
        <is>
          <t>Not started</t>
        </is>
      </c>
      <c r="P178" s="165" t="inlineStr">
        <is>
          <t>WATCH FOR — the sentences in your supervisor's formulation that link levels: 'compounded by', 'which means that', 'so that'. Notice whether they say which interaction accounts for the size of the difficulty.</t>
        </is>
      </c>
      <c r="Q178" s="139" t="inlineStr">
        <is>
          <t>Year 1</t>
        </is>
      </c>
      <c r="R178" s="226" t="inlineStr">
        <is>
          <t>26/10/2026</t>
        </is>
      </c>
      <c r="S178" s="226" t="inlineStr">
        <is>
          <t>16/11/2026</t>
        </is>
      </c>
      <c r="T178" s="226" t="inlineStr">
        <is>
          <t>14/12/2026</t>
        </is>
      </c>
      <c r="U178" s="139" t="inlineStr">
        <is>
          <t>Report — formulation · Appendix 5 · Log sheet tagged 2. Formulation</t>
        </is>
      </c>
    </row>
    <row r="179" ht="21.75" customHeight="1" s="128">
      <c r="A179" s="173" t="inlineStr">
        <is>
          <t>COMPETENCY</t>
        </is>
      </c>
      <c r="B179" s="173" t="inlineStr">
        <is>
          <t>3. Intervention</t>
        </is>
      </c>
      <c r="C179" s="173" t="n"/>
      <c r="D179" s="173" t="n"/>
      <c r="E179" s="173" t="inlineStr">
        <is>
          <t>7 macro skills · 20 blocks · 45 micro-skills</t>
        </is>
      </c>
      <c r="F179" s="173" t="n"/>
      <c r="G179" s="173" t="n"/>
      <c r="H179" s="173" t="n"/>
      <c r="I179" s="173" t="n"/>
      <c r="J179" s="173" t="n"/>
      <c r="K179" s="173" t="n"/>
      <c r="L179" s="173" t="n"/>
      <c r="M179" s="173" t="n"/>
      <c r="N179" s="173" t="n"/>
      <c r="O179" s="173" t="n"/>
      <c r="P179" s="173" t="n"/>
      <c r="Q179" s="173" t="n"/>
      <c r="R179" s="173" t="n"/>
      <c r="S179" s="173" t="n"/>
      <c r="T179" s="173" t="n"/>
      <c r="U179" s="173" t="n"/>
    </row>
    <row r="180" ht="19.5" customHeight="1" s="128">
      <c r="A180" s="219" t="inlineStr">
        <is>
          <t>MACRO SKILL</t>
        </is>
      </c>
      <c r="B180" s="219" t="inlineStr">
        <is>
          <t>3. Intervention</t>
        </is>
      </c>
      <c r="C180" s="219" t="inlineStr">
        <is>
          <t>Educational interventions in literacy</t>
        </is>
      </c>
      <c r="D180" s="219" t="n"/>
      <c r="E180" s="219" t="inlineStr">
        <is>
          <t>3 blocks · 6 micro-skills</t>
        </is>
      </c>
      <c r="F180" s="219" t="inlineStr">
        <is>
          <t>CORU 5.33 · 5.34 · 3.8</t>
        </is>
      </c>
      <c r="G180" s="219" t="n"/>
      <c r="H180" s="219" t="n"/>
      <c r="I180" s="219" t="n"/>
      <c r="J180" s="219" t="n"/>
      <c r="K180" s="219" t="n"/>
      <c r="L180" s="219" t="n"/>
      <c r="M180" s="219" t="n"/>
      <c r="N180" s="219" t="n"/>
      <c r="O180" s="219" t="n"/>
      <c r="P180" s="219" t="n"/>
      <c r="Q180" s="219" t="inlineStr">
        <is>
          <t>Year 1</t>
        </is>
      </c>
      <c r="R180" s="219" t="n"/>
      <c r="S180" s="219" t="n"/>
      <c r="T180" s="219" t="n"/>
      <c r="U180" s="219" t="n"/>
    </row>
    <row r="181" outlineLevel="2" ht="43.5" customHeight="1" s="128">
      <c r="A181" s="220" t="inlineStr">
        <is>
          <t>BLOCK</t>
        </is>
      </c>
      <c r="B181" s="220" t="inlineStr">
        <is>
          <t>3. Intervention</t>
        </is>
      </c>
      <c r="C181" s="220" t="inlineStr">
        <is>
          <t>Educational interventions in literacy</t>
        </is>
      </c>
      <c r="D181" s="221" t="inlineStr">
        <is>
          <t>Block 1 · Knowing what exists</t>
        </is>
      </c>
      <c r="E181" s="222" t="inlineStr">
        <is>
          <t>The structured phonics programmes available in Irish schools and what each is designed for.</t>
        </is>
      </c>
      <c r="F181" s="220" t="inlineStr">
        <is>
          <t>4–5 hours, once · Weeks 3–6</t>
        </is>
      </c>
      <c r="G181" s="220" t="n"/>
      <c r="H181" s="220" t="n"/>
      <c r="I181" s="220" t="n"/>
      <c r="J181" s="220" t="n"/>
      <c r="K181" s="220" t="n"/>
      <c r="L181" s="220" t="n"/>
      <c r="M181" s="222" t="n"/>
      <c r="N181" s="220" t="n"/>
      <c r="O181" s="220" t="n"/>
      <c r="P181" s="220" t="inlineStr">
        <is>
          <t>How you build it: List the five most common on your patch. Ask the SETs which they actually use.</t>
        </is>
      </c>
      <c r="Q181" s="220" t="n"/>
      <c r="R181" s="220" t="n"/>
      <c r="S181" s="220" t="n"/>
      <c r="T181" s="220" t="n"/>
      <c r="U181" s="220" t="n"/>
    </row>
    <row r="182" outlineLevel="2" ht="120" customHeight="1" s="128">
      <c r="A182" s="139" t="inlineStr">
        <is>
          <t>MICRO-SKILL</t>
        </is>
      </c>
      <c r="B182" s="139" t="inlineStr">
        <is>
          <t>3. Intervention</t>
        </is>
      </c>
      <c r="C182" s="139" t="inlineStr">
        <is>
          <t>Educational interventions in literacy</t>
        </is>
      </c>
      <c r="D182" s="139" t="inlineStr">
        <is>
          <t>Block 1 · Knowing what exists</t>
        </is>
      </c>
      <c r="E182" s="223" t="inlineStr">
        <is>
          <t>Know the programmes available locally</t>
        </is>
      </c>
      <c r="F182" s="139" t="inlineStr">
        <is>
          <t>CORU SoP 5.33</t>
        </is>
      </c>
      <c r="G182" s="227" t="inlineStr">
        <is>
          <t>CORU SoP 5.33 is the standard mapped here. A recommendation the school cannot deliver is wasted, and one that ignores what the school already holds asks it to buy or train for something new when it may not need to. The Reference sheet names UFLI and the NEPS literacy materials as what Irish schools are likely to have, but 'likely' is not 'does' — you have to ask each school. The failure is recommending a brand from memory, or recommending only what the school owns without checking it matches the need.</t>
        </is>
      </c>
      <c r="H182" s="165" t="inlineStr">
        <is>
          <t>WATCH FOR — how your supervisor finds out, early in a school visit, which literacy interventions the school actually runs: which programmes or approaches, for which class groups, who is trained, and how the special education teaching (SET) timetable is used. Notice whether they ask to see the materials rather than accepting a name.
WRITE DOWN — a school-by-school list with no pupil names: the programme or approach, the reading component it targets (phonics, fluency, vocabulary, comprehension), who delivers it, and the usual group size.
ASK AFTERWARDS — 'when a school tells you it runs a programme, how do you find out whether it is actually being run as designed?'</t>
        </is>
      </c>
      <c r="I182" s="165" t="inlineStr">
        <is>
          <t>YOU TAKE — building the inventory for each of your Cavan schools in the first weeks from 05/10/2026: ask the principal or SET coordinator what literacy interventions they hold and sort each one against the component it addresses, using the National Reading Panel (2000) headings.
THEY HOLD — the judgement on whether a school's version is close enough to the evidence-based design to count, and any conversation where a school relies on something the evidence does not support (coloured overlays, learning-styles matching).
WHY THAT SPLIT — listing is fact-gathering you can do from week one. Judging fidelity and redirecting a school away from a favoured approach needs relationship and tact that your supervisor already has with that school.</t>
        </is>
      </c>
      <c r="J182" s="165" t="inlineStr">
        <is>
          <t>YOU RUN IT — at a school planning meeting, ask the school what it holds for literacy and map it aloud against the components, with your supervisor present. Name any gap plainly: 'you have strong phonics provision in the junior classes — what do you use for older pupils who decode accurately but read very slowly?'
WHAT THEY ARE WATCHING FOR — accepting a programme name as proof of what happens in the room, and missing the gap because you only asked about phonics.
STEPPING IN LOOKS LIKE — your supervisor adding: 'could we see the materials, and how many sessions a week the group actually gets at the moment?'</t>
        </is>
      </c>
      <c r="K182" s="207" t="inlineStr">
        <is>
          <t>YOU DO IT ALONE — for each school on your caseload, hold a current list of the literacy interventions it runs, the component each targets, who is trained to deliver it, and where the gaps are — and use that list every time you write a recommendation.
PASS TEST — You can name what these schools hold
EVIDENCE TO FILE — the school inventory (no pupil identifiers) and one case note showing a recommendation matched to what that school holds. Log against 3. Intervention.
WHAT FAILURE LOOKS LIKE — a report recommending a programme the school has never heard of, with no trained staff and no budget, so the recommendation sits in the file and nothing changes for the child.</t>
        </is>
      </c>
      <c r="L182" s="165" t="inlineStr">
        <is>
          <t>YOU CAN TEACH IT — you can show a peer how to build a school literacy inventory in one visit, sort it by component, and spot the gap, and explain why knowing a programme's name is not the same as knowing what it teaches — read each programme's own manual and evidence claims rather than its marketing.
WHEN IT GOES WRONG — you can say what to do when the school holds nothing for the component the child needs: say so plainly, specify the approach rather than a brand (for example, repeated reading with feedback for fluency, per the Reference sheet), and raise the gap with your supervisor as a possible systemic issue for that school.</t>
        </is>
      </c>
      <c r="M182" s="224" t="inlineStr">
        <is>
          <t>Recommending a programme by brand name without checking whether the school holds it, has trained staff, or runs it as designed.</t>
        </is>
      </c>
      <c r="N182" s="165" t="inlineStr">
        <is>
          <t>→ Feeds into 'Match the programme to the phonological profile' and 'Identify who delivers and whether they are trained'.</t>
        </is>
      </c>
      <c r="O182" s="225" t="inlineStr">
        <is>
          <t>Not started</t>
        </is>
      </c>
      <c r="P182" s="165" t="inlineStr">
        <is>
          <t>WATCH FOR — how your supervisor finds out, early in a school visit, which literacy interventions the school actually runs: which programmes or approaches, for which class groups, who is trained, and how the special education teaching (SET) timetable is used. Notice whether they ask to see the materials rather than accepting a name.</t>
        </is>
      </c>
      <c r="Q182" s="139" t="inlineStr">
        <is>
          <t>Year 1</t>
        </is>
      </c>
      <c r="R182" s="226" t="inlineStr">
        <is>
          <t>26/10/2026</t>
        </is>
      </c>
      <c r="S182" s="226" t="inlineStr">
        <is>
          <t>16/11/2026</t>
        </is>
      </c>
      <c r="T182" s="226" t="inlineStr">
        <is>
          <t>14/12/2026</t>
        </is>
      </c>
      <c r="U182" s="139" t="inlineStr">
        <is>
          <t>School literacy inventory (no identifiers) · case note · Appendix 5 · Log sheet tagged 3. Intervention</t>
        </is>
      </c>
    </row>
    <row r="183" outlineLevel="2" ht="120" customHeight="1" s="128">
      <c r="A183" s="139" t="inlineStr">
        <is>
          <t>MICRO-SKILL</t>
        </is>
      </c>
      <c r="B183" s="139" t="inlineStr">
        <is>
          <t>3. Intervention</t>
        </is>
      </c>
      <c r="C183" s="139" t="inlineStr">
        <is>
          <t>Educational interventions in literacy</t>
        </is>
      </c>
      <c r="D183" s="139" t="inlineStr">
        <is>
          <t>Block 1 · Knowing what exists</t>
        </is>
      </c>
      <c r="E183" s="223" t="inlineStr">
        <is>
          <t>Match the programme to the phonological profile</t>
        </is>
      </c>
      <c r="F183" s="139" t="inlineStr">
        <is>
          <t>CORU SoP 5.34</t>
        </is>
      </c>
      <c r="G183" s="227" t="inlineStr">
        <is>
          <t>CORU SoP 5.34 requires intervention designed on the basis of the data, evidence-informed judgement and formulation. Reading is made up of separable components — phonological awareness, phonics and decoding, fluency, vocabulary and comprehension (National Reading Panel, 2000) — and a child can fail at one with the others intact. Phonics for a child who decodes accurately but slowly will not touch the fluency problem (Reference sheet, literacy). Match wrongly and the child spends a term in the wrong group, and the school concludes that 'intervention doesn't work for him'.</t>
        </is>
      </c>
      <c r="H183" s="165" t="inlineStr">
        <is>
          <t>WATCH FOR — how your supervisor moves from scores to a component: which results they put side by side (phonological awareness, non-word reading, single-word reading accuracy, reading rate, reading comprehension, oral vocabulary) and how the pattern points to one component rather than another.
WRITE DOWN — the pattern and the component it pointed to, for example: 'non-word reading and phoneme tasks low → decoding'; 'accuracy secure, rate slow → fluency'; 'decoding and fluency secure, comprehension and vocabulary low → language'.
ASK AFTERWARDS — 'when the profile points to two components at once, which do you target first, and why?'</t>
        </is>
      </c>
      <c r="I183" s="165" t="inlineStr">
        <is>
          <t>YOU TAKE — drafting the component analysis from the assessment data: a simple table listing each component, the evidence for it from your data, and whether it looks intact or impaired — done before any programme is named.
THEY HOLD — the final choice of intervention and how it is framed for the school and family.
WHY THAT SPLIT — the analysis is checkable line by line against the data. Choosing between competing priorities when two components are weak draws on the formulation and on experience; Snowling and Hulme (2011) is the reading for why the order and the oral-language foundations matter.</t>
        </is>
      </c>
      <c r="J183" s="165" t="inlineStr">
        <is>
          <t>YOU RUN IT — write the intervention section yourself: name the impaired component, then the approach with evidence for it (systematic synthetic phonics for decoding; repeated reading with feedback or paired reading for fluency; deep direct teaching of a small number of words for vocabulary; explicit, modelled strategy instruction for comprehension — Reference sheet), and only then what the school holds that delivers it.
WHAT THEY ARE WATCHING FOR — a programme named first and the component fitted to it afterwards, and a comprehension difficulty treated as a phonics problem.
STEPPING IN LOOKS LIKE — 'which score tells you this is decoding and not fluency?'</t>
        </is>
      </c>
      <c r="K183" s="207" t="inlineStr">
        <is>
          <t>YOU DO IT ALONE — every literacy recommendation names the impaired component, points to the assessment finding it rests on, and names an approach with evidence for that component, before naming anything the school holds.
PASS TEST — The recommendation follows the assessment
EVIDENCE TO FILE — the report's intervention section with the finding-to-component-to-approach link visible, and the supervision note where it was checked. Log against 3. Intervention.
WHAT FAILURE LOOKS LIKE — 'daily phonics group recommended' for a Fifth Class pupil whose decoding is secure and whose real difficulty is vocabulary and comprehension, so a term is spent practising what she can already do.</t>
        </is>
      </c>
      <c r="L183" s="165" t="inlineStr">
        <is>
          <t>YOU CAN TEACH IT — you can explain the component model, how to read an assessment profile against it, and what the evidence supports for each component, citing the National Reading Panel (2000), Ehri (2005) on how children learn to read words, and Snowling and Hulme (2011) on evidence-based interventions.
WHEN IT GOES WRONG — you can say what to do when a child has been placed in the wrong group: go back to the data, tell the school without blame what the profile actually shows, re-specify the intervention, and use the progress data already gathered to explain why the change is needed.</t>
        </is>
      </c>
      <c r="M183" s="224" t="inlineStr">
        <is>
          <t>Naming a programme before identifying which reading component is impaired.</t>
        </is>
      </c>
      <c r="N183" s="165" t="inlineStr">
        <is>
          <t>→ Feeds into 'Specify how often, how long, over what period' and into Formulation — linking assessment findings to hypotheses and plans.</t>
        </is>
      </c>
      <c r="O183" s="225" t="inlineStr">
        <is>
          <t>Not started</t>
        </is>
      </c>
      <c r="P183" s="165" t="inlineStr">
        <is>
          <t>WATCH FOR — how your supervisor moves from scores to a component: which results they put side by side (phonological awareness, non-word reading, single-word reading accuracy, reading rate, reading comprehension, oral vocabulary) and how the pattern points to one component rather than another.</t>
        </is>
      </c>
      <c r="Q183" s="139" t="inlineStr">
        <is>
          <t>Year 1</t>
        </is>
      </c>
      <c r="R183" s="226" t="inlineStr">
        <is>
          <t>26/10/2026</t>
        </is>
      </c>
      <c r="S183" s="226" t="inlineStr">
        <is>
          <t>16/11/2026</t>
        </is>
      </c>
      <c r="T183" s="226" t="inlineStr">
        <is>
          <t>14/12/2026</t>
        </is>
      </c>
      <c r="U183" s="139" t="inlineStr">
        <is>
          <t>Report — intervention section · supervision note · Log sheet tagged 3. Intervention</t>
        </is>
      </c>
    </row>
    <row r="184" outlineLevel="2" ht="43.5" customHeight="1" s="128">
      <c r="A184" s="220" t="inlineStr">
        <is>
          <t>BLOCK</t>
        </is>
      </c>
      <c r="B184" s="220" t="inlineStr">
        <is>
          <t>3. Intervention</t>
        </is>
      </c>
      <c r="C184" s="220" t="inlineStr">
        <is>
          <t>Educational interventions in literacy</t>
        </is>
      </c>
      <c r="D184" s="221" t="inlineStr">
        <is>
          <t>Block 2 · Specifying an intervention</t>
        </is>
      </c>
      <c r="E184" s="222" t="inlineStr">
        <is>
          <t>Turning a recommendation into something with a dose, a deliverer and a review point.</t>
        </is>
      </c>
      <c r="F184" s="220" t="inlineStr">
        <is>
          <t>2 hours, then habit · Weeks 7–12</t>
        </is>
      </c>
      <c r="G184" s="220" t="n"/>
      <c r="H184" s="220" t="n"/>
      <c r="I184" s="220" t="n"/>
      <c r="J184" s="220" t="n"/>
      <c r="K184" s="220" t="n"/>
      <c r="L184" s="220" t="n"/>
      <c r="M184" s="222" t="n"/>
      <c r="N184" s="220" t="n"/>
      <c r="O184" s="220" t="n"/>
      <c r="P184" s="220" t="inlineStr">
        <is>
          <t>How you build it: Write one fully specified recommendation and have it checked by a SET for feasibility.</t>
        </is>
      </c>
      <c r="Q184" s="220" t="n"/>
      <c r="R184" s="220" t="n"/>
      <c r="S184" s="220" t="n"/>
      <c r="T184" s="220" t="n"/>
      <c r="U184" s="220" t="n"/>
    </row>
    <row r="185" outlineLevel="2" ht="120" customHeight="1" s="128">
      <c r="A185" s="139" t="inlineStr">
        <is>
          <t>MICRO-SKILL</t>
        </is>
      </c>
      <c r="B185" s="139" t="inlineStr">
        <is>
          <t>3. Intervention</t>
        </is>
      </c>
      <c r="C185" s="139" t="inlineStr">
        <is>
          <t>Educational interventions in literacy</t>
        </is>
      </c>
      <c r="D185" s="139" t="inlineStr">
        <is>
          <t>Block 2 · Specifying an intervention</t>
        </is>
      </c>
      <c r="E185" s="223" t="inlineStr">
        <is>
          <t>Specify how often, how long, over what period</t>
        </is>
      </c>
      <c r="F185" s="139" t="inlineStr">
        <is>
          <t>CORU SoP 5.34 · PSI Code 2.3.2</t>
        </is>
      </c>
      <c r="G185" s="227" t="inlineStr">
        <is>
          <t>The Reference sheet names intensity as the variable schools most often get wrong and psychologists most often leave unspecified. A usable recommendation has five parts: what, who delivers it, how often and for how long per session, over what period, and what will be measured — 'literacy support' is a wish, not a recommendation. CORU SoP 5.34 and PSI Code 2.3.2 are the standards mapped here. Leave intensity out and the school may deliver fifteen minutes a week and conclude, wrongly, that the intervention does not work.</t>
        </is>
      </c>
      <c r="H185" s="165" t="inlineStr">
        <is>
          <t>WATCH FOR — how your supervisor words intensity in a report and in a school meeting: sessions per week, minutes per session, group size, number of weeks, and whether they check that it fits the SET timetable before the meeting ends.
WRITE DOWN — the exact sentence they use and the numbers in it, and where each number came from (the programme's manual, the research, or what the school could offer).
ASK AFTERWARDS — 'when the programme's recommended dose and what the school can fit do not match, how do you decide what to write?'</t>
        </is>
      </c>
      <c r="I185" s="165" t="inlineStr">
        <is>
          <t>YOU TAKE — drafting the five-part specification for a case, and checking the programme's own manual or evidence summary for its intended dose. Read the manual itself; do not quote a dosage from memory or from another trainee's report.
THEY HOLD — negotiating with the principal or SET coordinator when the school's special education teaching allocation cannot meet the intensity you specified.
WHY THAT SPLIT — drafting is technical and checkable. Negotiating how a school spends its DE special education teaching allocation involves the school's wider caseload and a relationship your supervisor holds.</t>
        </is>
      </c>
      <c r="J185" s="165" t="inlineStr">
        <is>
          <t>YOU RUN IT — present the specification at the school meeting and agree it with the SET, supervisor present. If the school can offer less than specified, say plainly what the reduced version can and cannot be expected to do, and adjust the period or review date accordingly.
WHAT THEY ARE WATCHING FOR — letting the numbers dissolve into 'as often as possible', or agreeing to a dose you believe is too thin without saying so.
STEPPING IN LOOKS LIKE — 'if it is twice a week rather than daily, do we extend it to the Easter break, and when do we look at it again?'</t>
        </is>
      </c>
      <c r="K185" s="207" t="inlineStr">
        <is>
          <t>YOU DO IT ALONE — every intervention recommendation states sessions per week, minutes per session, group size, number of weeks, and a start date and review date written DD/MM/YYYY, and the school has agreed it can deliver that.
PASS TEST — Frequency and duration stated
EVIDENCE TO FILE — the report recommendation and the school's support plan showing the same numbers. Log against 3. Intervention.
WHAT FAILURE LOOKS LIKE — a review meeting in March where nobody can say how many sessions the child actually received, so no one can tell whether the intervention failed or was never delivered at strength.</t>
        </is>
      </c>
      <c r="L185" s="165" t="inlineStr">
        <is>
          <t>YOU CAN TEACH IT — you can explain why intensity is part of the intervention and not an administrative detail, where to find a programme's intended dose, and how to write the five-part specification, using the Reference sheet's worked example ('daily 20-minute structured phonics delivered by the SET in a group of no more than three, for one term...').
WHEN IT GOES WRONG — you can say what to do when the school delivered far less than agreed: before judging the intervention, establish and record the dose actually received, discuss the barriers without blame, and re-plan on that basis rather than switching programme.</t>
        </is>
      </c>
      <c r="M185" s="224" t="inlineStr">
        <is>
          <t>Recommending an intervention with no frequency, session length or duration, so the dose is whatever the timetable leaves over.</t>
        </is>
      </c>
      <c r="N185" s="165" t="inlineStr">
        <is>
          <t>→ Feeds into 'Identify who delivers and whether they are trained' and 'Set a review point and a measure'.</t>
        </is>
      </c>
      <c r="O185" s="225" t="inlineStr">
        <is>
          <t>Not started</t>
        </is>
      </c>
      <c r="P185" s="165" t="inlineStr">
        <is>
          <t>WATCH FOR — how your supervisor words intensity in a report and in a school meeting: sessions per week, minutes per session, group size, number of weeks, and whether they check that it fits the SET timetable before the meeting ends.</t>
        </is>
      </c>
      <c r="Q185" s="139" t="inlineStr">
        <is>
          <t>Year 1</t>
        </is>
      </c>
      <c r="R185" s="226" t="inlineStr">
        <is>
          <t>26/10/2026</t>
        </is>
      </c>
      <c r="S185" s="226" t="inlineStr">
        <is>
          <t>16/11/2026</t>
        </is>
      </c>
      <c r="T185" s="226" t="inlineStr">
        <is>
          <t>14/12/2026</t>
        </is>
      </c>
      <c r="U185" s="139" t="inlineStr">
        <is>
          <t>Report recommendation · school support plan · Log sheet tagged 3. Intervention</t>
        </is>
      </c>
    </row>
    <row r="186" outlineLevel="2" ht="120" customHeight="1" s="128">
      <c r="A186" s="139" t="inlineStr">
        <is>
          <t>MICRO-SKILL</t>
        </is>
      </c>
      <c r="B186" s="139" t="inlineStr">
        <is>
          <t>3. Intervention</t>
        </is>
      </c>
      <c r="C186" s="139" t="inlineStr">
        <is>
          <t>Educational interventions in literacy</t>
        </is>
      </c>
      <c r="D186" s="139" t="inlineStr">
        <is>
          <t>Block 2 · Specifying an intervention</t>
        </is>
      </c>
      <c r="E186" s="223" t="inlineStr">
        <is>
          <t>Identify who delivers and whether they are trained</t>
        </is>
      </c>
      <c r="F186" s="139" t="inlineStr">
        <is>
          <t>CORU SoP 5.40</t>
        </is>
      </c>
      <c r="G186" s="227" t="inlineStr">
        <is>
          <t>An intervention is only as good as its delivery, and 'to be delivered in school' assigns it to nobody. CORU SoP 5.40 asks you to build capacity among those responsible for delivery, which starts with knowing who they are and what training they have. Irish schools deploy class teachers and special education teachers differently, and special needs assistant posts are allocated for care needs rather than teaching — check the current DE circular before assigning any task. Get this wrong and three staff each assume someone else is doing it.</t>
        </is>
      </c>
      <c r="H186" s="165" t="inlineStr">
        <is>
          <t>WATCH FOR — how your supervisor establishes who will deliver the intervention, and whether they ask about training as well as role. Notice whether the plan names a role (class teacher, SET) rather than 'the school'.
WRITE DOWN — the roles in that school that deliver literacy support, what training each has had in which approach (roles only, no staff names in your own log), and how your supervisor recorded the agreement.
ASK AFTERWARDS — 'what do you do when the only person available to deliver it has not been trained in it?'</t>
        </is>
      </c>
      <c r="I186" s="165" t="inlineStr">
        <is>
          <t>YOU TAKE — finding out who is trained: ask the SET coordinator which staff have had training in which approach, roughly when, and whether they have delivered it since. Record it against your school inventory.
THEY HOLD — any recommendation about staff training and anything touching staff deployment, which is the principal's decision.
WHY THAT SPLIT — gathering facts is safe for a trainee. Deployment is a management matter, and a trainee pressing on it can feel to a school like an audit of its staff, which damages the working relationship your supervisor has built.</t>
        </is>
      </c>
      <c r="J186" s="165" t="inlineStr">
        <is>
          <t>YOU RUN IT — write the delivery section yourself: the named role, their training status, and what support they will have (a modelling session, a check-in after two weeks, who to ask). Agree it with the SET at the meeting, supervisor present.
WHAT THEY ARE WATCHING FOR — 'the school' written as deliverer; a teaching task assigned to an SNA without checking the SNA role; assuming that owning a programme means someone is trained in it.
STEPPING IN LOOKS LIKE — 'by role, who is in the room with this child on Tuesday at ten, and have they done this before?'</t>
        </is>
      </c>
      <c r="K186" s="207" t="inlineStr">
        <is>
          <t>YOU DO IT ALONE — every recommendation names the delivering role, states whether that person is trained or how the gap will be met, and says who they can go to with questions once you have left.
PASS TEST — Delivery assigned to a named role
EVIDENCE TO FILE — the support plan with the delivering role, and the note of the meeting where it was agreed. Log against 3. Intervention.
WHAT FAILURE LOOKS LIKE — a recommendation that says 'in school', the class teacher assumes the SET has it, the SET assumes the class teacher has it, and at review the child has had nothing.</t>
        </is>
      </c>
      <c r="L186" s="165" t="inlineStr">
        <is>
          <t>YOU CAN TEACH IT — you can explain why the deliverer and their training are part of the specification, how to ask about training without it sounding like an inspection, and how CORU SoP 5.40 frames building capacity rather than simply assigning tasks.
WHEN IT GOES WRONG — you can say what to do when the deliverer leaves or goes on leave mid-term: agree a named cover role with the school, record the gap in delivery honestly, and move the review date so the outcome data is not read as the intervention failing.</t>
        </is>
      </c>
      <c r="M186" s="224" t="inlineStr">
        <is>
          <t>Writing 'to be delivered in school' with no named role and no check that the person is trained.</t>
        </is>
      </c>
      <c r="N186" s="165" t="inlineStr">
        <is>
          <t>→ Feeds into 'Leave the teacher able to run it' and into Working with Others — consultation with school staff.</t>
        </is>
      </c>
      <c r="O186" s="225" t="inlineStr">
        <is>
          <t>Not started</t>
        </is>
      </c>
      <c r="P186" s="165" t="inlineStr">
        <is>
          <t>WATCH FOR — how your supervisor establishes who will deliver the intervention, and whether they ask about training as well as role. Notice whether the plan names a role (class teacher, SET) rather than 'the school'.</t>
        </is>
      </c>
      <c r="Q186" s="139" t="inlineStr">
        <is>
          <t>Year 1</t>
        </is>
      </c>
      <c r="R186" s="226" t="inlineStr">
        <is>
          <t>26/10/2026</t>
        </is>
      </c>
      <c r="S186" s="226" t="inlineStr">
        <is>
          <t>16/11/2026</t>
        </is>
      </c>
      <c r="T186" s="226" t="inlineStr">
        <is>
          <t>14/12/2026</t>
        </is>
      </c>
      <c r="U186" s="139" t="inlineStr">
        <is>
          <t>Support plan — delivery section · meeting note · Log sheet tagged 3. Intervention</t>
        </is>
      </c>
    </row>
    <row r="187" outlineLevel="2" ht="43.5" customHeight="1" s="128">
      <c r="A187" s="220" t="inlineStr">
        <is>
          <t>BLOCK</t>
        </is>
      </c>
      <c r="B187" s="220" t="inlineStr">
        <is>
          <t>3. Intervention</t>
        </is>
      </c>
      <c r="C187" s="220" t="inlineStr">
        <is>
          <t>Educational interventions in literacy</t>
        </is>
      </c>
      <c r="D187" s="221" t="inlineStr">
        <is>
          <t>Block 3 · Measuring it</t>
        </is>
      </c>
      <c r="E187" s="222" t="inlineStr">
        <is>
          <t>Baseline, outcome measure, review date — built in from the start.</t>
        </is>
      </c>
      <c r="F187" s="220" t="inlineStr">
        <is>
          <t>Habit per case · Weeks 7–12</t>
        </is>
      </c>
      <c r="G187" s="220" t="n"/>
      <c r="H187" s="220" t="n"/>
      <c r="I187" s="220" t="n"/>
      <c r="J187" s="220" t="n"/>
      <c r="K187" s="220" t="n"/>
      <c r="L187" s="220" t="n"/>
      <c r="M187" s="222" t="n"/>
      <c r="N187" s="220" t="n"/>
      <c r="O187" s="220" t="n"/>
      <c r="P187" s="220" t="inlineStr">
        <is>
          <t>How you build it: Choose the measure before the intervention starts, never after.</t>
        </is>
      </c>
      <c r="Q187" s="220" t="n"/>
      <c r="R187" s="220" t="n"/>
      <c r="S187" s="220" t="n"/>
      <c r="T187" s="220" t="n"/>
      <c r="U187" s="220" t="n"/>
    </row>
    <row r="188" outlineLevel="2" ht="120" customHeight="1" s="128">
      <c r="A188" s="139" t="inlineStr">
        <is>
          <t>MICRO-SKILL</t>
        </is>
      </c>
      <c r="B188" s="139" t="inlineStr">
        <is>
          <t>3. Intervention</t>
        </is>
      </c>
      <c r="C188" s="139" t="inlineStr">
        <is>
          <t>Educational interventions in literacy</t>
        </is>
      </c>
      <c r="D188" s="139" t="inlineStr">
        <is>
          <t>Block 3 · Measuring it</t>
        </is>
      </c>
      <c r="E188" s="223" t="inlineStr">
        <is>
          <t>Take a baseline before it starts</t>
        </is>
      </c>
      <c r="F188" s="139" t="inlineStr">
        <is>
          <t>CORU SoP 3.8</t>
        </is>
      </c>
      <c r="G188" s="227" t="inlineStr">
        <is>
          <t>Without a baseline there is no way to attribute change (Reference sheet, literacy), and CORU SoP 3.8 requires you to evaluate what you do. The measure must be sensitive to short-term change — curriculum-based measurement, words correct per minute, non-word reading — not the school's annual standardised test, which will not move in a term. Deno (1985) is the classic source on curriculum-based measurement. Skip the baseline and the review will rest on 'she seems more confident', which cannot tell anyone whether to continue.</t>
        </is>
      </c>
      <c r="H188" s="165" t="inlineStr">
        <is>
          <t>WATCH FOR — which measure your supervisor chooses for which reading component, and how carefully they administer it: timing, passage level, instructions, and the conditions they note so it can be repeated identically later.
WRITE DOWN — the measure, the component it tracks, and the conditions (time of day, who gave it, which materials, any interruptions) so that someone else could repeat it exactly.
ASK AFTERWARDS — 'how many baseline points do you like to take, and what do you do when the child's scores bounce around from day to day?'</t>
        </is>
      </c>
      <c r="I188" s="165" t="inlineStr">
        <is>
          <t>YOU TAKE — administering the baseline probe (for example a one-minute oral reading fluency passage or a non-word reading list) under your supervisor's guidance, and recording the conditions.
THEY HOLD — the choice of measure where a tool is restricted, and the interpretation of the baseline.
WHY THAT SPLIT — administering a probe is procedural and easy to check. Choosing a measure and interpreting it depends on knowing its sensitivity and limits, which you read in the measure's own manual or source rather than taking on trust.</t>
        </is>
      </c>
      <c r="J188" s="165" t="inlineStr">
        <is>
          <t>YOU RUN IT — choose a measure matched to the targeted component and take the baseline yourself before session one, with your supervisor checking your choice. Take more than one data point if you can, and record the dates DD/MM/YYYY.
WHAT THEY ARE WATCHING FOR — the school's annual standardised score used as the baseline; a baseline taken after the intervention has already begun; a measure that does not match the component being taught.
STEPPING IN LOOKS LIKE — 'if this intervention works, will this number move in eight weeks? If not, pick another.'</t>
        </is>
      </c>
      <c r="K188" s="207" t="inlineStr">
        <is>
          <t>YOU DO IT ALONE — before the first session, there is a dated baseline on a measure sensitive to the targeted component, with the conditions recorded well enough that someone else could repeat it.
PASS TEST — There is a pre-measure
EVIDENCE TO FILE — the baseline record attached to the support plan. Log against 3. Intervention.
WHAT FAILURE LOOKS LIKE — at review, the only numbers are this year's and last year's standardised test results; the question 'did it work?' cannot be answered, and the school keeps the child in the group out of habit.</t>
        </is>
      </c>
      <c r="L188" s="165" t="inlineStr">
        <is>
          <t>YOU CAN TEACH IT — you can explain why a baseline matters, why short-term-sensitive measures beat annual tests for this purpose, and how to record conditions so the measure is repeatable, pointing a peer to Deno (1985) and the Reference sheet's section on measuring it.
WHEN IT GOES WRONG — you can say what to do when an intervention has started without a baseline: take one now, label it clearly as taken after the start, and be honest in the review about what that does and does not allow you to conclude.</t>
        </is>
      </c>
      <c r="M188" s="224" t="inlineStr">
        <is>
          <t>Starting an intervention with no pre-measure, or using the annual standardised test as the only measure.</t>
        </is>
      </c>
      <c r="N188" s="165" t="inlineStr">
        <is>
          <t>→ Feeds into 'Set a review point and a measure' and into Research — practice-based evaluation.</t>
        </is>
      </c>
      <c r="O188" s="225" t="inlineStr">
        <is>
          <t>Not started</t>
        </is>
      </c>
      <c r="P188" s="165" t="inlineStr">
        <is>
          <t>WATCH FOR — which measure your supervisor chooses for which reading component, and how carefully they administer it: timing, passage level, instructions, and the conditions they note so it can be repeated identically later.</t>
        </is>
      </c>
      <c r="Q188" s="139" t="inlineStr">
        <is>
          <t>Year 1</t>
        </is>
      </c>
      <c r="R188" s="226" t="inlineStr">
        <is>
          <t>26/10/2026</t>
        </is>
      </c>
      <c r="S188" s="226" t="inlineStr">
        <is>
          <t>16/11/2026</t>
        </is>
      </c>
      <c r="T188" s="226" t="inlineStr">
        <is>
          <t>14/12/2026</t>
        </is>
      </c>
      <c r="U188" s="139" t="inlineStr">
        <is>
          <t>Baseline record · support plan · Log sheet tagged 3. Intervention</t>
        </is>
      </c>
    </row>
    <row r="189" outlineLevel="2" ht="120" customHeight="1" s="128">
      <c r="A189" s="139" t="inlineStr">
        <is>
          <t>MICRO-SKILL</t>
        </is>
      </c>
      <c r="B189" s="139" t="inlineStr">
        <is>
          <t>3. Intervention</t>
        </is>
      </c>
      <c r="C189" s="139" t="inlineStr">
        <is>
          <t>Educational interventions in literacy</t>
        </is>
      </c>
      <c r="D189" s="139" t="inlineStr">
        <is>
          <t>Block 3 · Measuring it</t>
        </is>
      </c>
      <c r="E189" s="223" t="inlineStr">
        <is>
          <t>Set a review point and a measure</t>
        </is>
      </c>
      <c r="F189" s="139" t="inlineStr">
        <is>
          <t>CORU SoP 5.37 · PSI Code 3.1.2</t>
        </is>
      </c>
      <c r="G189" s="227" t="inlineStr">
        <is>
          <t>CORU SoP 3.8 and 5.37 require you to evaluate and revise, and you cannot revise what you did not measure (Reference sheet). PSI Code 3.1.2 is also mapped here. The review date and measure belong in the report, written so that the school can carry them out without you — a trainee leaves Cavan on 18/12/2026, and most reviews will fall after that. A review that only you could run is a review that will not happen.</t>
        </is>
      </c>
      <c r="H189" s="165" t="inlineStr">
        <is>
          <t>WATCH FOR — how your supervisor writes the review: the date, the measure, who takes it, what will count as enough progress, and what decisions the review will lead to (continue, intensify, change approach, stop).
WRITE DOWN — their wording for the review section and the decision options, and how they decide in advance what counts as progress.
ASK AFTERWARDS — 'how do you decide beforehand what counts as enough progress, so the review is not just a feeling in the room?'</t>
        </is>
      </c>
      <c r="I189" s="165" t="inlineStr">
        <is>
          <t>YOU TAKE — drafting the review section: date, measure, who will administer it, and the decision options.
THEY HOLD — the threshold for 'enough progress' and how that is explained to the school and the family.
WHY THAT SPLIT — a threshold needs judgement about what change is realistic for this child. Check the measure's own guidance on expected growth rather than inventing a rate; your supervisor knows what the service uses and what has been defensible in past reviews.</t>
        </is>
      </c>
      <c r="J189" s="165" t="inlineStr">
        <is>
          <t>YOU RUN IT — write the review section and present it at the meeting, then hand the SET the probe materials and a one-page instruction sheet so they can take the measure themselves.
WHAT THEY ARE WATCHING FOR — a measure only you can administer; a review date after you leave with nobody named to hold it; 'progress will be reviewed' with no date at all.
STEPPING IN LOOKS LIKE — 'if you were off sick on the review date, could the SET do this from what you have written? Show me the instruction sheet.'</t>
        </is>
      </c>
      <c r="K189" s="207" t="inlineStr">
        <is>
          <t>YOU DO IT ALONE — every plan has a dated review, a named measure, the role who takes it, and the decisions it will inform, written so that the school can run it without you.
PASS TEST — Measurable by someone other than you
EVIDENCE TO FILE — the plan with its review section, and the instruction sheet you gave the SET. Log against 3. Intervention.
WHAT FAILURE LOOKS LIKE — you leave Cavan on 18/12/2026, the review date passes in February, and nobody in the school knows what to measure, how, or what the numbers are meant to be compared against.</t>
        </is>
      </c>
      <c r="L189" s="165" t="inlineStr">
        <is>
          <t>YOU CAN TEACH IT — you can explain how to design a review a school can run alone: a repeatable measure, decision rules set in advance, and a named role holding the date.
WHEN IT GOES WRONG — you can say what to do when the review shows no change: check first the dose actually received and whether it was delivered as designed, then whether the component was right, and only then change the approach — which is what Grade 5 in the Reference sheet asks you to be able to say.</t>
        </is>
      </c>
      <c r="M189" s="224" t="inlineStr">
        <is>
          <t>A review that depends on you being there, so it lapses when the placement ends.</t>
        </is>
      </c>
      <c r="N189" s="165" t="inlineStr">
        <is>
          <t>→ Feeds into 'Leave the teacher able to run it', into 'Specify what success would look like' for numeracy, and into Systemic Change.</t>
        </is>
      </c>
      <c r="O189" s="225" t="inlineStr">
        <is>
          <t>Not started</t>
        </is>
      </c>
      <c r="P189" s="165" t="inlineStr">
        <is>
          <t>WATCH FOR — how your supervisor writes the review: the date, the measure, who takes it, what will count as enough progress, and what decisions the review will lead to (continue, intensify, change approach, stop).</t>
        </is>
      </c>
      <c r="Q189" s="139" t="inlineStr">
        <is>
          <t>Year 1</t>
        </is>
      </c>
      <c r="R189" s="226" t="inlineStr">
        <is>
          <t>26/10/2026</t>
        </is>
      </c>
      <c r="S189" s="226" t="inlineStr">
        <is>
          <t>16/11/2026</t>
        </is>
      </c>
      <c r="T189" s="226" t="inlineStr">
        <is>
          <t>14/12/2026</t>
        </is>
      </c>
      <c r="U189" s="139" t="inlineStr">
        <is>
          <t>Support plan — review section · SET instruction sheet · Log sheet tagged 3. Intervention</t>
        </is>
      </c>
    </row>
    <row r="190" outlineLevel="2" ht="19.5" customHeight="1" s="128">
      <c r="A190" s="219" t="inlineStr">
        <is>
          <t>MACRO SKILL</t>
        </is>
      </c>
      <c r="B190" s="219" t="inlineStr">
        <is>
          <t>3. Intervention</t>
        </is>
      </c>
      <c r="C190" s="219" t="inlineStr">
        <is>
          <t>Educational interventions in numeracy</t>
        </is>
      </c>
      <c r="D190" s="219" t="n"/>
      <c r="E190" s="219" t="inlineStr">
        <is>
          <t>2 blocks · 4 micro-skills</t>
        </is>
      </c>
      <c r="F190" s="219" t="inlineStr">
        <is>
          <t>CORU 5.33 · 5.34 · 3.4</t>
        </is>
      </c>
      <c r="G190" s="219" t="n"/>
      <c r="H190" s="219" t="n"/>
      <c r="I190" s="219" t="n"/>
      <c r="J190" s="219" t="n"/>
      <c r="K190" s="219" t="n"/>
      <c r="L190" s="219" t="n"/>
      <c r="M190" s="219" t="n"/>
      <c r="N190" s="219" t="n"/>
      <c r="O190" s="219" t="n"/>
      <c r="P190" s="219" t="n"/>
      <c r="Q190" s="219" t="inlineStr">
        <is>
          <t>Year 1</t>
        </is>
      </c>
      <c r="R190" s="219" t="n"/>
      <c r="S190" s="219" t="n"/>
      <c r="T190" s="219" t="n"/>
      <c r="U190" s="219" t="n"/>
    </row>
    <row r="191" outlineLevel="2" ht="43.5" customHeight="1" s="128">
      <c r="A191" s="220" t="inlineStr">
        <is>
          <t>BLOCK</t>
        </is>
      </c>
      <c r="B191" s="220" t="inlineStr">
        <is>
          <t>3. Intervention</t>
        </is>
      </c>
      <c r="C191" s="220" t="inlineStr">
        <is>
          <t>Educational interventions in numeracy</t>
        </is>
      </c>
      <c r="D191" s="221" t="inlineStr">
        <is>
          <t>Block 1 · Knowing how number develops</t>
        </is>
      </c>
      <c r="E191" s="222" t="inlineStr">
        <is>
          <t>Number sense, counting principles, fact retrieval and the concrete–pictorial–abstract sequence.</t>
        </is>
      </c>
      <c r="F191" s="220" t="inlineStr">
        <is>
          <t>4 hours, once · Weeks 3–6</t>
        </is>
      </c>
      <c r="G191" s="220" t="n"/>
      <c r="H191" s="220" t="n"/>
      <c r="I191" s="220" t="n"/>
      <c r="J191" s="220" t="n"/>
      <c r="K191" s="220" t="n"/>
      <c r="L191" s="220" t="n"/>
      <c r="M191" s="222" t="n"/>
      <c r="N191" s="220" t="n"/>
      <c r="O191" s="220" t="n"/>
      <c r="P191" s="220" t="inlineStr">
        <is>
          <t>How you build it: One chapter on numeracy development. Write the CPA sequence out in your own words.</t>
        </is>
      </c>
      <c r="Q191" s="220" t="n"/>
      <c r="R191" s="220" t="n"/>
      <c r="S191" s="220" t="n"/>
      <c r="T191" s="220" t="n"/>
      <c r="U191" s="220" t="n"/>
    </row>
    <row r="192" outlineLevel="2" ht="120" customHeight="1" s="128">
      <c r="A192" s="139" t="inlineStr">
        <is>
          <t>MICRO-SKILL</t>
        </is>
      </c>
      <c r="B192" s="139" t="inlineStr">
        <is>
          <t>3. Intervention</t>
        </is>
      </c>
      <c r="C192" s="139" t="inlineStr">
        <is>
          <t>Educational interventions in numeracy</t>
        </is>
      </c>
      <c r="D192" s="139" t="inlineStr">
        <is>
          <t>Block 1 · Knowing how number develops</t>
        </is>
      </c>
      <c r="E192" s="223" t="inlineStr">
        <is>
          <t>Know concrete–pictorial–abstract sequencing</t>
        </is>
      </c>
      <c r="F192" s="139" t="inlineStr">
        <is>
          <t>CORU SoP 5.33</t>
        </is>
      </c>
      <c r="G192" s="227" t="inlineStr">
        <is>
          <t>Concrete–pictorial–abstract sequencing, with the concrete stage not rushed, is one of the approaches the Reference sheet lists as evidence-supported for numeracy. Its roots are usually traced to Bruner's (1966) enactive, iconic and symbolic modes of representation. Most teachers know the phrase; the common problems are moving to numerals too early and using manipulatives as an activity rather than to show mathematical structure. CORU SoP 5.33 is mapped here. If you cannot explain it plainly, you cannot tell whether a classroom is doing it.</t>
        </is>
      </c>
      <c r="H192" s="165" t="inlineStr">
        <is>
          <t>WATCH FOR — how your supervisor or an experienced SET moves a child from objects (cubes, counters, ten-frames, base-ten blocks) to drawings (dots, bar models, number lines) to numerals, and what they check before moving on.
WRITE DOWN — one worked example for one skill, for example subtraction as taking away counters → crossing out drawn dots → 7 − 3 = 4, and the question used at each step to check the link.
ASK AFTERWARDS — 'how do you tell whether a child needs to go back to the concrete stage, or is just using the cubes out of habit?'</t>
        </is>
      </c>
      <c r="I192" s="165" t="inlineStr">
        <is>
          <t>YOU TAKE — writing a one-page CPA explanation with a worked example for a specific skill on your caseload, and checking the wording with your supervisor before using it.
THEY HOLD — the conversation with a teacher whose classroom practice does not fit the approach.
WHY THAT SPLIT — writing the explanation tests whether you actually understand it. Advising an experienced teacher on their own maths teaching needs a credibility that you build over the placement, and a clumsy first attempt can close the door.</t>
        </is>
      </c>
      <c r="J192" s="165" t="inlineStr">
        <is>
          <t>YOU RUN IT — explain CPA to a class teacher or SET in a consultation, linked to the child's target skill, with your supervisor present. Show the pictorial bridge, not only the two ends.
WHAT THEY ARE WATCHING FOR — jargon; presenting manipulatives as the point rather than as a picture of structure; implying that the concrete stage is only for infant classes.
STEPPING IN LOOKS LIKE — 'could you show her what the pictorial step would look like for this child's sum, using the ten-frame she already has?'</t>
        </is>
      </c>
      <c r="K192" s="207" t="inlineStr">
        <is>
          <t>YOU DO IT ALONE — explain CPA to a teacher, briefly and without jargon, with one example tied to the child's actual target, and say what the teacher should see at each stage before moving on.
PASS TEST — You can explain it to a teacher in two minutes
EVIDENCE TO FILE — the consultation note and your one-page explanation. Log against 3. Intervention.
WHAT FAILURE LOOKS LIKE — the teacher leaves thinking the advice was 'use more cubes', and the child is still counting every cube from one in Fourth Class with no link to the written sum.</t>
        </is>
      </c>
      <c r="L192" s="165" t="inlineStr">
        <is>
          <t>YOU CAN TEACH IT — you can explain where CPA comes from (Bruner, 1966), why the concrete stage should not be rushed, and how representations carry structure, with one example for place value and one for fractions. Point a peer to the EEF guidance reports on improving mathematics listed in the Reference sheet and read their recommendations on manipulatives and representations directly.
WHEN IT GOES WRONG — you can say what to do when a child is stuck at the concrete stage: check whether the pictorial bridge was skipped, and whether the real difficulty is conceptual (cardinality, part–whole) rather than representation.</t>
        </is>
      </c>
      <c r="M192" s="224" t="inlineStr">
        <is>
          <t>Recommending 'use concrete materials' without explaining the move through pictorial to abstract.</t>
        </is>
      </c>
      <c r="N192" s="165" t="inlineStr">
        <is>
          <t>→ Feeds into 'Distinguish fact retrieval from conceptual difficulty' and 'Specify what success would look like'.</t>
        </is>
      </c>
      <c r="O192" s="225" t="inlineStr">
        <is>
          <t>Not started</t>
        </is>
      </c>
      <c r="P192" s="165" t="inlineStr">
        <is>
          <t>WATCH FOR — how your supervisor or an experienced SET moves a child from objects (cubes, counters, ten-frames, base-ten blocks) to drawings (dots, bar models, number lines) to numerals, and what they check before moving on.</t>
        </is>
      </c>
      <c r="Q192" s="139" t="inlineStr">
        <is>
          <t>Year 1</t>
        </is>
      </c>
      <c r="R192" s="226" t="inlineStr">
        <is>
          <t>26/10/2026</t>
        </is>
      </c>
      <c r="S192" s="226" t="inlineStr">
        <is>
          <t>16/11/2026</t>
        </is>
      </c>
      <c r="T192" s="226" t="inlineStr">
        <is>
          <t>14/12/2026</t>
        </is>
      </c>
      <c r="U192" s="139" t="inlineStr">
        <is>
          <t>Consultation note · one-page CPA explanation · Log sheet tagged 3. Intervention</t>
        </is>
      </c>
    </row>
    <row r="193" outlineLevel="2" ht="120" customHeight="1" s="128">
      <c r="A193" s="139" t="inlineStr">
        <is>
          <t>MICRO-SKILL</t>
        </is>
      </c>
      <c r="B193" s="139" t="inlineStr">
        <is>
          <t>3. Intervention</t>
        </is>
      </c>
      <c r="C193" s="139" t="inlineStr">
        <is>
          <t>Educational interventions in numeracy</t>
        </is>
      </c>
      <c r="D193" s="139" t="inlineStr">
        <is>
          <t>Block 1 · Knowing how number develops</t>
        </is>
      </c>
      <c r="E193" s="223" t="inlineStr">
        <is>
          <t>Distinguish fact retrieval from conceptual difficulty</t>
        </is>
      </c>
      <c r="F193" s="139" t="inlineStr">
        <is>
          <t>CORU SoP 3.4 · 5.34</t>
        </is>
      </c>
      <c r="G193" s="227" t="inlineStr">
        <is>
          <t>A child who has not secured cardinality cannot meaningfully do addition, and drilling addition facts will not help (Reference sheet, numeracy). A child who understands number relationships but cannot retrieve facts quickly needs something quite different. Gersten et al. (2009) and Butterworth, Varma and Laurillard (2011) are the Reference sheet's sources on this. CORU SoP 3.4 and 5.34 are mapped. Confuse the two and the child gets flashcard drill for a conceptual gap, or is re-taught concepts they already hold.</t>
        </is>
      </c>
      <c r="H193" s="165" t="inlineStr">
        <is>
          <t>WATCH FOR — how your supervisor probes strategy rather than accuracy: asking the child to show or explain how they got an answer; watching for counting all from one versus counting on; noticing derived facts ('6 + 7 is 6 + 6 and one more'); giving the same problem orally and in writing.
WRITE DOWN — the strategies you saw, in the child's words, with rough time taken and the errors made.
ASK AFTERWARDS — 'what exactly did you see that made you think this was retrieval and not understanding?'</t>
        </is>
      </c>
      <c r="I193" s="165" t="inlineStr">
        <is>
          <t>YOU TAKE — the strategy interview part ('how did you work that out?') and recording what the child does, word for word where possible.
THEY HOLD — the interpretation, and the decision whether a standardised mathematics measure is needed and which one.
WHY THAT SPLIT — careful observation is something you can do well from the start. Interpretation depends on knowing the developmental sequence (subitising, counting, cardinality, comparison, part–whole, derived facts, procedures — Reference sheet) well enough to place the child in it.</t>
        </is>
      </c>
      <c r="J193" s="165" t="inlineStr">
        <is>
          <t>YOU RUN IT — give tasks that separate the two: untimed conceptual tasks (show it with objects, place it on a number line, explain why) alongside a brief timed fact probe, and a calculation with and without the language wrapper. Your supervisor watches.
WHAT THEY ARE WATCHING FOR — reading 'slow' as 'does not understand'; reading correct answers reached by slow counting as mastery; ignoring reading load, working memory or anxiety as sources of failure.
STEPPING IN LOOKS LIKE — 'she got it right — but how? Ask her to show you.'</t>
        </is>
      </c>
      <c r="K193" s="207" t="inlineStr">
        <is>
          <t>YOU DO IT ALONE — your report states whether the difficulty is fact retrieval, conceptual, or both, gives the observed evidence for that, and the recommendation targets the one you found.
PASS TEST — The recommendation targets the right one
EVIDENCE TO FILE — the strategy notes and the report section linking evidence to recommendation. Log against 3. Intervention and 1. Assessment.
WHAT FAILURE LOOKS LIKE — daily times-table drill recommended for a child who still counts all from one to add 4 and 3, who then learns to fear maths as well as not understand it.</t>
        </is>
      </c>
      <c r="L193" s="165" t="inlineStr">
        <is>
          <t>YOU CAN TEACH IT — you can explain the developmental sequence in number, what a retrieval difficulty and a conceptual difficulty each look like in a child's behaviour, and which quick tasks separate them, citing Gersten et al. (2009) and Dowker (2004).
WHEN IT GOES WRONG — you can say what to do when a review shows fact speed improved but word problems did not: re-examine the other sources the Reference sheet names — reading load, working memory, anxiety — and re-specify rather than extending the drill.</t>
        </is>
      </c>
      <c r="M193" s="224" t="inlineStr">
        <is>
          <t>Recommending fact drill for a child whose difficulty is conceptual, such as unsecured cardinality.</t>
        </is>
      </c>
      <c r="N193" s="165" t="inlineStr">
        <is>
          <t>→ Feeds into 'Recommend at the right point on the Continuum' and into Formulation.</t>
        </is>
      </c>
      <c r="O193" s="225" t="inlineStr">
        <is>
          <t>Not started</t>
        </is>
      </c>
      <c r="P193" s="165" t="inlineStr">
        <is>
          <t>WATCH FOR — how your supervisor probes strategy rather than accuracy: asking the child to show or explain how they got an answer; watching for counting all from one versus counting on; noticing derived facts ('6 + 7 is 6 + 6 and one more'); giving the same problem orally and in writing.</t>
        </is>
      </c>
      <c r="Q193" s="139" t="inlineStr">
        <is>
          <t>Year 1</t>
        </is>
      </c>
      <c r="R193" s="226" t="inlineStr">
        <is>
          <t>26/10/2026</t>
        </is>
      </c>
      <c r="S193" s="226" t="inlineStr">
        <is>
          <t>16/11/2026</t>
        </is>
      </c>
      <c r="T193" s="226" t="inlineStr">
        <is>
          <t>14/12/2026</t>
        </is>
      </c>
      <c r="U193" s="139" t="inlineStr">
        <is>
          <t>Strategy observation notes · report · Log sheet tagged 3. Intervention and 1. Assessment</t>
        </is>
      </c>
    </row>
    <row r="194" outlineLevel="2" ht="43.5" customHeight="1" s="128">
      <c r="A194" s="220" t="inlineStr">
        <is>
          <t>BLOCK</t>
        </is>
      </c>
      <c r="B194" s="220" t="inlineStr">
        <is>
          <t>3. Intervention</t>
        </is>
      </c>
      <c r="C194" s="220" t="inlineStr">
        <is>
          <t>Educational interventions in numeracy</t>
        </is>
      </c>
      <c r="D194" s="221" t="inlineStr">
        <is>
          <t>Block 2 · Placing it on the Continuum</t>
        </is>
      </c>
      <c r="E194" s="222" t="inlineStr">
        <is>
          <t>Knowing which level of support a numeracy recommendation belongs at.</t>
        </is>
      </c>
      <c r="F194" s="220" t="inlineStr">
        <is>
          <t>3 hours · Weeks 7–12</t>
        </is>
      </c>
      <c r="G194" s="220" t="n"/>
      <c r="H194" s="220" t="n"/>
      <c r="I194" s="220" t="n"/>
      <c r="J194" s="220" t="n"/>
      <c r="K194" s="220" t="n"/>
      <c r="L194" s="220" t="n"/>
      <c r="M194" s="222" t="n"/>
      <c r="N194" s="220" t="n"/>
      <c r="O194" s="220" t="n"/>
      <c r="P194" s="220" t="inlineStr">
        <is>
          <t>How you build it: Map one school's numeracy provision across the three levels.</t>
        </is>
      </c>
      <c r="Q194" s="220" t="n"/>
      <c r="R194" s="220" t="n"/>
      <c r="S194" s="220" t="n"/>
      <c r="T194" s="220" t="n"/>
      <c r="U194" s="220" t="n"/>
    </row>
    <row r="195" outlineLevel="2" ht="120" customHeight="1" s="128">
      <c r="A195" s="139" t="inlineStr">
        <is>
          <t>MICRO-SKILL</t>
        </is>
      </c>
      <c r="B195" s="139" t="inlineStr">
        <is>
          <t>3. Intervention</t>
        </is>
      </c>
      <c r="C195" s="139" t="inlineStr">
        <is>
          <t>Educational interventions in numeracy</t>
        </is>
      </c>
      <c r="D195" s="139" t="inlineStr">
        <is>
          <t>Block 2 · Placing it on the Continuum</t>
        </is>
      </c>
      <c r="E195" s="223" t="inlineStr">
        <is>
          <t>Recommend at the right point on the Continuum</t>
        </is>
      </c>
      <c r="F195" s="139" t="inlineStr">
        <is>
          <t>NEPS Continuum of Support</t>
        </is>
      </c>
      <c r="G195" s="227" t="inlineStr">
        <is>
          <t>Irish schools allocate support through the NEPS Continuum of Support: Classroom Support, School Support and School Support Plus. A recommendation that does not name a level leaves the school guessing how to resource it (Reference sheet). If you recommend School Support Plus, say what makes it that rather than School Support — usually intensity, individualisation and the involvement of outside services. Jumping to the top level because a psychologist is involved can pull resource from a child who needed it more, and can skip what the class teacher could have done.</t>
        </is>
      </c>
      <c r="H195" s="165" t="inlineStr">
        <is>
          <t>WATCH FOR — how your supervisor asks where the child currently sits on the Continuum, what has been tried at each level and for how long, and how that is recorded in the school's Student Support File or equivalent.
WRITE DOWN — the current level, the interventions tried, their duration and dose, and the outcome, as the school described them.
ASK AFTERWARDS — 'what would make you recommend School Support Plus rather than School Support for a maths difficulty?'</t>
        </is>
      </c>
      <c r="I195" s="165" t="inlineStr">
        <is>
          <t>YOU TAKE — reviewing the Student Support File (with consent in place) and summarising what has been tried at each level, including gaps in the record.
THEY HOLD — any recommendation that moves the child to a different level, especially to School Support Plus, which carries implications for NEPS and outside-agency involvement.
WHY THAT SPLIT — summarising the record is careful reading. Moving a child between levels affects how the school allocates its special education teaching, and your supervisor knows the school's caseload and the service's practice.</t>
        </is>
      </c>
      <c r="J195" s="165" t="inlineStr">
        <is>
          <t>YOU RUN IT — state the level with your reasons in the consultation, supervisor present, and include what the class teacher does at Classroom Support level whatever else is recommended.
WHAT THEY ARE WATCHING FOR — jumping to School Support Plus because the child was referred to psychology; leaving out the classroom-level actions; naming a level without saying what distinguishes it.
STEPPING IN LOOKS LIKE — 'whatever level we agree, what does the class teacher do differently on Monday morning?'</t>
        </is>
      </c>
      <c r="K195" s="207" t="inlineStr">
        <is>
          <t>YOU DO IT ALONE — every numeracy recommendation names the Continuum level, says why that level rather than the one below, and includes the classroom-level actions that continue alongside.
PASS TEST — Level stated
EVIDENCE TO FILE — the report recommendation and the school's updated support plan. Log against 3. Intervention.
WHAT FAILURE LOOKS LIKE — 'the school should provide maths support' — the principal cannot tell whether that means a change in class, a place in the SET group, or a referral on, and does nothing until the next contact.</t>
        </is>
      </c>
      <c r="L195" s="165" t="inlineStr">
        <is>
          <t>YOU CAN TEACH IT — you can explain the three Continuum levels, how a numeracy difficulty is placed on them, and why the classroom level never drops out, pointing a peer to the NEPS Continuum of Support guidelines. You can also say, per PSI Code 2.3.1, why a report should admit that the numeracy evidence base is thinner than the literacy one.
WHEN IT GOES WRONG — you can say what to do when the school disagrees about the level: return to what has been tried and its outcomes, agree a time-limited trial at the lower level with a review date, and involve your supervisor.</t>
        </is>
      </c>
      <c r="M195" s="224" t="inlineStr">
        <is>
          <t>Omitting the Continuum level, so the school cannot tell how to allocate the support.</t>
        </is>
      </c>
      <c r="N195" s="165" t="inlineStr">
        <is>
          <t>→ Feeds into 'Specify what success would look like' and into Systemic Change — school-level provision.</t>
        </is>
      </c>
      <c r="O195" s="225" t="inlineStr">
        <is>
          <t>Not started</t>
        </is>
      </c>
      <c r="P195" s="165" t="inlineStr">
        <is>
          <t>WATCH FOR — how your supervisor asks where the child currently sits on the Continuum, what has been tried at each level and for how long, and how that is recorded in the school's Student Support File or equivalent.</t>
        </is>
      </c>
      <c r="Q195" s="139" t="inlineStr">
        <is>
          <t>Year 1</t>
        </is>
      </c>
      <c r="R195" s="226" t="inlineStr">
        <is>
          <t>26/10/2026</t>
        </is>
      </c>
      <c r="S195" s="226" t="inlineStr">
        <is>
          <t>16/11/2026</t>
        </is>
      </c>
      <c r="T195" s="226" t="inlineStr">
        <is>
          <t>14/12/2026</t>
        </is>
      </c>
      <c r="U195" s="139" t="inlineStr">
        <is>
          <t>Report recommendation · Student Support File summary (no identifiers in Log) · Log sheet tagged 3. Intervention</t>
        </is>
      </c>
    </row>
    <row r="196" outlineLevel="2" ht="120" customHeight="1" s="128">
      <c r="A196" s="139" t="inlineStr">
        <is>
          <t>MICRO-SKILL</t>
        </is>
      </c>
      <c r="B196" s="139" t="inlineStr">
        <is>
          <t>3. Intervention</t>
        </is>
      </c>
      <c r="C196" s="139" t="inlineStr">
        <is>
          <t>Educational interventions in numeracy</t>
        </is>
      </c>
      <c r="D196" s="139" t="inlineStr">
        <is>
          <t>Block 2 · Placing it on the Continuum</t>
        </is>
      </c>
      <c r="E196" s="223" t="inlineStr">
        <is>
          <t>Specify what success would look like</t>
        </is>
      </c>
      <c r="F196" s="139" t="inlineStr">
        <is>
          <t>CORU SoP 3.8</t>
        </is>
      </c>
      <c r="G196" s="227" t="inlineStr">
        <is>
          <t>CORU SoP 3.8 requires evaluation, and in numeracy, where the evidence base is thinner than for literacy (Reference sheet), a clear local definition of success matters even more. 'Improved number skills' cannot be checked. A success criterion a teacher can observe — for example, 'counts on from the larger number to add within 20 without prompting' — can. Without one, the review becomes a matter of opinion and the child either stays in a group that is not working or leaves one that is.</t>
        </is>
      </c>
      <c r="H196" s="165" t="inlineStr">
        <is>
          <t>WATCH FOR — how your supervisor turns a finding into an observable target: the behaviour, the conditions, how often it must be seen, and how the teacher will check it.
WRITE DOWN — two or three targets they write, and note which part is the behaviour, which the condition, and which the level expected.
ASK AFTERWARDS — 'how do you set a target ambitious enough to matter but modest enough that the child can reach it this term?'</t>
        </is>
      </c>
      <c r="I196" s="165" t="inlineStr">
        <is>
          <t>YOU TAKE — drafting two or three observable success criteria for a child on your caseload, each tied to where you placed them in the developmental sequence.
THEY HOLD — judgement on whether the targets are realistic for the period and the dose agreed.
WHY THAT SPLIT — writing observable targets is a learnable technical skill. Judging how far a child is likely to move in a term takes experience, and there is no universal rate to look up — check any growth expectation against the measure's own guidance.</t>
        </is>
      </c>
      <c r="J196" s="165" t="inlineStr">
        <is>
          <t>YOU RUN IT — agree the success criteria with the class teacher or SET at the meeting, supervisor present, and check that the teacher can say how they would see each one in an ordinary lesson.
WHAT THEY ARE WATCHING FOR — targets that describe what the adult will do ('will receive support') rather than what the child will do; targets only a psychologist could assess.
STEPPING IN LOOKS LIKE — 'Ms X, if you saw this on a Wednesday, how would you know? What would he be doing?'</t>
        </is>
      </c>
      <c r="K196" s="207" t="inlineStr">
        <is>
          <t>YOU DO IT ALONE — every numeracy plan has observable success criteria, stated in terms of what the child will do, under what conditions, checked how and by whom, by a stated date.
PASS TEST — A teacher would know whether it worked
EVIDENCE TO FILE — the plan with success criteria, and the consultation note where the teacher agreed them. Log against 3. Intervention.
WHAT FAILURE LOOKS LIKE — at review, the teacher says 'he's doing a bit better, I think', the SET says 'not really', and there is nothing written to settle it.</t>
        </is>
      </c>
      <c r="L196" s="165" t="inlineStr">
        <is>
          <t>YOU CAN TEACH IT — you can show a peer how to turn a developmental finding into an observable target (behaviour, condition, level, date, checker) and why targets about the adult's input do not count.
WHEN IT GOES WRONG — you can say what to do when the criteria turn out to be set wrongly: revise them openly at the review, record why, and do not move the goalposts quietly to make an intervention look successful.</t>
        </is>
      </c>
      <c r="M196" s="224" t="inlineStr">
        <is>
          <t>Writing targets about the support given rather than what the child will be able to do.</t>
        </is>
      </c>
      <c r="N196" s="165" t="inlineStr">
        <is>
          <t>→ Feeds into 'Measure something before and after' and into Intervention review at the next placement.</t>
        </is>
      </c>
      <c r="O196" s="225" t="inlineStr">
        <is>
          <t>Not started</t>
        </is>
      </c>
      <c r="P196" s="165" t="inlineStr">
        <is>
          <t>WATCH FOR — how your supervisor turns a finding into an observable target: the behaviour, the conditions, how often it must be seen, and how the teacher will check it.</t>
        </is>
      </c>
      <c r="Q196" s="139" t="inlineStr">
        <is>
          <t>Year 1</t>
        </is>
      </c>
      <c r="R196" s="226" t="inlineStr">
        <is>
          <t>26/10/2026</t>
        </is>
      </c>
      <c r="S196" s="226" t="inlineStr">
        <is>
          <t>16/11/2026</t>
        </is>
      </c>
      <c r="T196" s="226" t="inlineStr">
        <is>
          <t>14/12/2026</t>
        </is>
      </c>
      <c r="U196" s="139" t="inlineStr">
        <is>
          <t>Support plan — success criteria · consultation note · Log sheet tagged 3. Intervention</t>
        </is>
      </c>
    </row>
    <row r="197" outlineLevel="2" ht="19.5" customHeight="1" s="128">
      <c r="A197" s="219" t="inlineStr">
        <is>
          <t>MACRO SKILL</t>
        </is>
      </c>
      <c r="B197" s="219" t="inlineStr">
        <is>
          <t>3. Intervention</t>
        </is>
      </c>
      <c r="C197" s="219" t="inlineStr">
        <is>
          <t>Wellbeing interventions at class and group level</t>
        </is>
      </c>
      <c r="D197" s="219" t="n"/>
      <c r="E197" s="219" t="inlineStr">
        <is>
          <t>3 blocks · 5 micro-skills</t>
        </is>
      </c>
      <c r="F197" s="219" t="inlineStr">
        <is>
          <t>CORU 5.33 · 5.36 · 5.40</t>
        </is>
      </c>
      <c r="G197" s="219" t="n"/>
      <c r="H197" s="219" t="n"/>
      <c r="I197" s="219" t="n"/>
      <c r="J197" s="219" t="n"/>
      <c r="K197" s="219" t="n"/>
      <c r="L197" s="219" t="n"/>
      <c r="M197" s="219" t="n"/>
      <c r="N197" s="219" t="n"/>
      <c r="O197" s="219" t="n"/>
      <c r="P197" s="219" t="n"/>
      <c r="Q197" s="219" t="inlineStr">
        <is>
          <t>Year 1</t>
        </is>
      </c>
      <c r="R197" s="219" t="n"/>
      <c r="S197" s="219" t="n"/>
      <c r="T197" s="219" t="n"/>
      <c r="U197" s="219" t="n"/>
    </row>
    <row r="198" outlineLevel="2" ht="43.5" customHeight="1" s="128">
      <c r="A198" s="220" t="inlineStr">
        <is>
          <t>BLOCK</t>
        </is>
      </c>
      <c r="B198" s="220" t="inlineStr">
        <is>
          <t>3. Intervention</t>
        </is>
      </c>
      <c r="C198" s="220" t="inlineStr">
        <is>
          <t>Wellbeing interventions at class and group level</t>
        </is>
      </c>
      <c r="D198" s="221" t="inlineStr">
        <is>
          <t>Block 1 · Knowing the evidence</t>
        </is>
      </c>
      <c r="E198" s="222" t="inlineStr">
        <is>
          <t>Which whole-class wellbeing programmes have an evidence base, and how strong it is.</t>
        </is>
      </c>
      <c r="F198" s="220" t="inlineStr">
        <is>
          <t>4–5 hours, once · Weeks 3–6</t>
        </is>
      </c>
      <c r="G198" s="220" t="n"/>
      <c r="H198" s="220" t="n"/>
      <c r="I198" s="220" t="n"/>
      <c r="J198" s="220" t="n"/>
      <c r="K198" s="220" t="n"/>
      <c r="L198" s="220" t="n"/>
      <c r="M198" s="222" t="n"/>
      <c r="N198" s="220" t="n"/>
      <c r="O198" s="220" t="n"/>
      <c r="P198" s="220" t="inlineStr">
        <is>
          <t>How you build it: Read one review of school-based wellbeing programmes. Note which are used in Irish schools.</t>
        </is>
      </c>
      <c r="Q198" s="220" t="n"/>
      <c r="R198" s="220" t="n"/>
      <c r="S198" s="220" t="n"/>
      <c r="T198" s="220" t="n"/>
      <c r="U198" s="220" t="n"/>
    </row>
    <row r="199" outlineLevel="2" ht="120" customHeight="1" s="128">
      <c r="A199" s="139" t="inlineStr">
        <is>
          <t>MICRO-SKILL</t>
        </is>
      </c>
      <c r="B199" s="139" t="inlineStr">
        <is>
          <t>3. Intervention</t>
        </is>
      </c>
      <c r="C199" s="139" t="inlineStr">
        <is>
          <t>Wellbeing interventions at class and group level</t>
        </is>
      </c>
      <c r="D199" s="139" t="inlineStr">
        <is>
          <t>Block 1 · Knowing the evidence</t>
        </is>
      </c>
      <c r="E199" s="223" t="inlineStr">
        <is>
          <t>Know the evidence base for what you recommend</t>
        </is>
      </c>
      <c r="F199" s="139" t="inlineStr">
        <is>
          <t>CORU SoP 5.33 · 5.41</t>
        </is>
      </c>
      <c r="G199" s="227" t="inlineStr">
        <is>
          <t>CORU SoP 5.33 and 5.41 are mapped here. The evidence is uneven: social and emotional learning delivered with fidelity produces modest but real gains (Durlak et al., 2011); CBT-informed anxiety groups have reasonable support; universal mindfulness is mixed, and the MYRIAD trial (Kuyken et al., 2022) complicated the story for adolescents (Reference sheet). Grouping children with conduct difficulties carries a documented risk of harm (Dishion, McCord &amp; Poulin, 1999). Recommend what a school likes rather than what the evidence supports and you misrepresent effectiveness — which PSI Code 4.2.2 prohibits.</t>
        </is>
      </c>
      <c r="H199" s="165" t="inlineStr">
        <is>
          <t>WATCH FOR — how your supervisor answers when a principal asks 'should we do X with Sixth Class?': what evidence they cite, how they phrase uncertainty, and whether they ask what the difficulty is before discussing a programme.
WRITE DOWN — the programme, the claim made for it, the source cited, and any caveat your supervisor added. Note which programmes your service actually uses (the Reference sheet names Friends for Life as one used in Irish settings — check what your service holds).
ASK AFTERWARDS — 'how do you tell a school their favourite programme lacks evidence without losing them?'</t>
        </is>
      </c>
      <c r="I199" s="165" t="inlineStr">
        <is>
          <t>YOU TAKE — reading the core sources yourself — Durlak et al. (2011), Weare and Nind (2011), Dishion et al. (1999), Kuyken et al. (2022) — and writing a one-page evidence note for each approach your Cavan service uses, with effect sizes copied from the papers, not from memory.
THEY HOLD — the advice to the school, and any conversation redirecting a school from something it has invested in.
WHY THAT SPLIT — reading and summarising is yours to do. Redirecting a school is relational work your supervisor already holds.</t>
        </is>
      </c>
      <c r="J199" s="165" t="inlineStr">
        <is>
          <t>YOU RUN IT — answer a school's question about a wellbeing programme yourself in a consultation, supervisor present: state what the evidence supports, what it does not, and what fidelity requires, and cite the source.
WHAT THEY ARE WATCHING FOR — presenting mindfulness as established; quoting an effect size you have not read; recommending a targeted group when a third of the class shares the difficulty.
STEPPING IN LOOKS LIKE — 'what does the Kuyken trial actually say for this age group? Let's check before we advise.'</t>
        </is>
      </c>
      <c r="K199" s="207" t="inlineStr">
        <is>
          <t>YOU DO IT ALONE — every group or class-level recommendation you make is accompanied by a citation you have read, a plain statement of the strength of evidence, and any known risk.
PASS TEST — You can cite it
EVIDENCE TO FILE — your evidence notes and the consultation record. Log against 3. Intervention.
WHAT FAILURE LOOKS LIKE — you recommend a universal mindfulness course to a post-primary school as 'proven to reduce anxiety', and a teacher who has read the MYRIAD findings asks you where that claim comes from.</t>
        </is>
      </c>
      <c r="L199" s="165" t="inlineStr">
        <is>
          <t>YOU CAN TEACH IT — you can explain to a peer the tiers (universal, targeted, indicated), what the evidence supports at each, why fidelity predicts outcome, and the deviancy-training risk, citing the Reference sheet's sources and the Department of Education Wellbeing Policy Statement and Framework for Practice.
WHEN IT GOES WRONG — you can say what to do when you realise you overstated evidence: correct it with the school in writing, explain what the evidence does support, and tell your supervisor.</t>
        </is>
      </c>
      <c r="M199" s="224" t="inlineStr">
        <is>
          <t>Presenting a programme as effective without having read the evidence, or presenting mindfulness as established.</t>
        </is>
      </c>
      <c r="N199" s="165" t="inlineStr">
        <is>
          <t>→ Feeds into 'Co-facilitate rather than only observe' and 'Measure something before and after'.</t>
        </is>
      </c>
      <c r="O199" s="225" t="inlineStr">
        <is>
          <t>Not started</t>
        </is>
      </c>
      <c r="P199" s="165" t="inlineStr">
        <is>
          <t>WATCH FOR — how your supervisor answers when a principal asks 'should we do X with Sixth Class?': what evidence they cite, how they phrase uncertainty, and whether they ask what the difficulty is before discussing a programme.</t>
        </is>
      </c>
      <c r="Q199" s="139" t="inlineStr">
        <is>
          <t>Year 1</t>
        </is>
      </c>
      <c r="R199" s="226" t="inlineStr">
        <is>
          <t>26/10/2026</t>
        </is>
      </c>
      <c r="S199" s="226" t="inlineStr">
        <is>
          <t>16/11/2026</t>
        </is>
      </c>
      <c r="T199" s="226" t="inlineStr">
        <is>
          <t>14/12/2026</t>
        </is>
      </c>
      <c r="U199" s="139" t="inlineStr">
        <is>
          <t>Evidence notes · consultation record · Log sheet tagged 3. Intervention</t>
        </is>
      </c>
    </row>
    <row r="200" outlineLevel="2" ht="43.5" customHeight="1" s="128">
      <c r="A200" s="220" t="inlineStr">
        <is>
          <t>BLOCK</t>
        </is>
      </c>
      <c r="B200" s="220" t="inlineStr">
        <is>
          <t>3. Intervention</t>
        </is>
      </c>
      <c r="C200" s="220" t="inlineStr">
        <is>
          <t>Wellbeing interventions at class and group level</t>
        </is>
      </c>
      <c r="D200" s="221" t="inlineStr">
        <is>
          <t>Block 2 · Group facilitation</t>
        </is>
      </c>
      <c r="E200" s="222" t="inlineStr">
        <is>
          <t>Running a session with a class rather than an individual — pacing, managing participation, adapting live.</t>
        </is>
      </c>
      <c r="F200" s="220" t="inlineStr">
        <is>
          <t>6–8 hours · Weeks 7–12</t>
        </is>
      </c>
      <c r="G200" s="220" t="n"/>
      <c r="H200" s="220" t="n"/>
      <c r="I200" s="220" t="n"/>
      <c r="J200" s="220" t="n"/>
      <c r="K200" s="220" t="n"/>
      <c r="L200" s="220" t="n"/>
      <c r="M200" s="222" t="n"/>
      <c r="N200" s="220" t="n"/>
      <c r="O200" s="220" t="n"/>
      <c r="P200" s="220" t="inlineStr">
        <is>
          <t>How you build it: Co-facilitate twice with the teacher before leading anything.</t>
        </is>
      </c>
      <c r="Q200" s="220" t="n"/>
      <c r="R200" s="220" t="n"/>
      <c r="S200" s="220" t="n"/>
      <c r="T200" s="220" t="n"/>
      <c r="U200" s="220" t="n"/>
    </row>
    <row r="201" outlineLevel="2" ht="120" customHeight="1" s="128">
      <c r="A201" s="139" t="inlineStr">
        <is>
          <t>MICRO-SKILL</t>
        </is>
      </c>
      <c r="B201" s="139" t="inlineStr">
        <is>
          <t>3. Intervention</t>
        </is>
      </c>
      <c r="C201" s="139" t="inlineStr">
        <is>
          <t>Wellbeing interventions at class and group level</t>
        </is>
      </c>
      <c r="D201" s="139" t="inlineStr">
        <is>
          <t>Block 2 · Group facilitation</t>
        </is>
      </c>
      <c r="E201" s="223" t="inlineStr">
        <is>
          <t>Co-facilitate rather than only observe</t>
        </is>
      </c>
      <c r="F201" s="139" t="inlineStr">
        <is>
          <t>CORU SoP 5.36</t>
        </is>
      </c>
      <c r="G201" s="227" t="inlineStr">
        <is>
          <t>CORU SoP 5.36 is mapped here. Watching a group is not the same as running one: facilitation means managing time, participation, disclosure and the child who will not join in, all at once. The Reference sheet names class and group work as the area Irish trainees evidence most thinly. Co-facilitating with school staff from the first session is also how the work survives your leaving (CORU SoP 5.40). A trainee who only observed has no evidence of the competency at all.</t>
        </is>
      </c>
      <c r="H201" s="165" t="inlineStr">
        <is>
          <t>WATCH FOR — how the facilitator opens a session, sets ground rules with the group rather than for them, handles the child who dominates and the child who says nothing, and what they say at the start about what they will do if someone shares something worrying.
WRITE DOWN — the session structure, the phrases used for ground rules and for the limits of confidentiality in children's terms, and one moment where the plan changed.
ASK AFTERWARDS — 'what do you do in a group when a child begins to disclose something in front of the others?'</t>
        </is>
      </c>
      <c r="I201" s="165" t="inlineStr">
        <is>
          <t>YOU TAKE — one defined segment of each session (the warm-up, an activity, or the closing round), planned in advance with your co-facilitator.
THEY HOLD — the session as a whole, ground rules, and any disclosure or distress — which goes to the DLP the same day through the child protection route, with supervision afterwards.
WHY THAT SPLIT — a defined segment lets you practise facilitation with a safety net. Disclosure in a group needs a practised response and a clear route.</t>
        </is>
      </c>
      <c r="J201" s="165" t="inlineStr">
        <is>
          <t>YOU RUN IT — lead whole sessions with the school's co-facilitator, and with your supervisor or the lead facilitator present for at least the first. Agree beforehand who handles distress and who keeps the group going.
WHAT THEY ARE WATCHING FOR — talking more than the children; letting one child set the tone; not stating the limits of confidentiality at the start; the co-facilitator from the school left as a spectator.
STEPPING IN LOOKS LIKE — the lead taking over the moment a child starts to disclose: 'thank you for telling us — I'd like to hear more of that with you after the group.'</t>
        </is>
      </c>
      <c r="K201" s="207" t="inlineStr">
        <is>
          <t>YOU DO IT ALONE — deliver identified sessions or parts of sessions as a named co-facilitator, with the school's staff member alongside you, with ground rules and limits stated at the start.
PASS TEST — You delivered part of it
EVIDENCE TO FILE — session plans showing your part, a session log, and supervisor feedback. Log against 3. Intervention. No child names in your own Log.
WHAT FAILURE LOOKS LIKE — eight weeks sitting at the back taking notes; the Appendix 5 entry says 'observed group' every week and there is nothing to evidence facilitation.</t>
        </is>
      </c>
      <c r="L201" s="165" t="inlineStr">
        <is>
          <t>YOU CAN TEACH IT — you can explain to a peer how to plan a co-facilitated session, split roles, set ground rules with a group, and state the limits of confidentiality in children's words, drawing on the Reference sheet's section on facilitating without doing harm.
WHEN IT GOES WRONG — you can say what to do when a session runs badly (conflict, a child leaves upset): make sure the child is safe and with an adult, debrief with your co-facilitator the same day, and bring it to supervision.</t>
        </is>
      </c>
      <c r="M201" s="224" t="inlineStr">
        <is>
          <t>Spending the whole group as an observer, so there is no evidence you facilitated anything.</t>
        </is>
      </c>
      <c r="N201" s="165" t="inlineStr">
        <is>
          <t>→ Feeds into 'Adapt delivery to the group in front of you' and 'Leave the teacher able to run it'.</t>
        </is>
      </c>
      <c r="O201" s="225" t="inlineStr">
        <is>
          <t>Not started</t>
        </is>
      </c>
      <c r="P201" s="165" t="inlineStr">
        <is>
          <t>WATCH FOR — how the facilitator opens a session, sets ground rules with the group rather than for them, handles the child who dominates and the child who says nothing, and what they say at the start about what they will do if someone shares something worrying.</t>
        </is>
      </c>
      <c r="Q201" s="139" t="inlineStr">
        <is>
          <t>Year 1</t>
        </is>
      </c>
      <c r="R201" s="226" t="inlineStr">
        <is>
          <t>26/10/2026</t>
        </is>
      </c>
      <c r="S201" s="226" t="inlineStr">
        <is>
          <t>16/11/2026</t>
        </is>
      </c>
      <c r="T201" s="226" t="inlineStr">
        <is>
          <t>14/12/2026</t>
        </is>
      </c>
      <c r="U201" s="139" t="inlineStr">
        <is>
          <t>Session plans · session log · supervisor feedback · Appendix 5 · Log sheet tagged 3. Intervention</t>
        </is>
      </c>
    </row>
    <row r="202" outlineLevel="2" ht="120" customHeight="1" s="128">
      <c r="A202" s="139" t="inlineStr">
        <is>
          <t>MICRO-SKILL</t>
        </is>
      </c>
      <c r="B202" s="139" t="inlineStr">
        <is>
          <t>3. Intervention</t>
        </is>
      </c>
      <c r="C202" s="139" t="inlineStr">
        <is>
          <t>Wellbeing interventions at class and group level</t>
        </is>
      </c>
      <c r="D202" s="139" t="inlineStr">
        <is>
          <t>Block 2 · Group facilitation</t>
        </is>
      </c>
      <c r="E202" s="223" t="inlineStr">
        <is>
          <t>Adapt delivery to the group in front of you</t>
        </is>
      </c>
      <c r="F202" s="139" t="inlineStr">
        <is>
          <t>CORU SoP 5.36</t>
        </is>
      </c>
      <c r="G202" s="227" t="inlineStr">
        <is>
          <t>CORU SoP 5.36 is mapped here. The Reference sheet says fidelity predicts whether social and emotional learning works, so adaptation is not a licence to rewrite a programme. The skill is adapting the surface — pacing, examples, language, format, seating — while keeping the core components intact. The implementation literature discusses this tension between fidelity and adaptation (Kelly &amp; Perkins, 2012; read the relevant chapters). Deliver a manual rigidly to a group it does not fit and the children switch off; change the core and you cannot tell whether the programme works.</t>
        </is>
      </c>
      <c r="H202" s="165" t="inlineStr">
        <is>
          <t>WATCH FOR — the moments an experienced facilitator changes something mid-session — shortening an activity, swapping an example for one closer to the children's lives, moving from talk to drawing — and the moments they deliberately do not.
WRITE DOWN — what was changed, what prompted it (what the children were doing), and whether the change touched a core component or only the surface.
ASK AFTERWARDS — 'how do you know which parts of this programme you must not change?'</t>
        </is>
      </c>
      <c r="I202" s="165" t="inlineStr">
        <is>
          <t>YOU TAKE — reading the programme manual to identify its core components, and proposing surface adaptations in advance for this group (age, language, literacy level, any child with additional needs).
THEY HOLD — any decision to change a core component or drop a session.
WHY THAT SPLIT — planned surface adaptation is checkable against the manual. Changing core content affects whether the programme is still the programme, and whether the outcome data mean anything.</t>
        </is>
      </c>
      <c r="J202" s="165" t="inlineStr">
        <is>
          <t>YOU RUN IT — make adaptations in the moment during your part of the session, with your co-facilitator present, and note each one afterwards.
WHAT THEY ARE WATCHING FOR — ploughing on with a discussion the group has clearly left; or, the opposite, dropping the difficult core activity because the group resisted it.
STEPPING IN LOOKS LIKE — 'they've lost the thread — try the drawing version of that activity' or, after the session, 'that change cut the practice step; that one is core.'</t>
        </is>
      </c>
      <c r="K202" s="207" t="inlineStr">
        <is>
          <t>YOU DO IT ALONE — notice when the group is not with you, change something on the surface in response, keep the core components intact, and record what you changed and why.
PASS TEST — You changed something in response
EVIDENCE TO FILE — the session log with adaptations noted, and the fidelity record showing core components delivered. Log against 3. Intervention.
WHAT FAILURE LOOKS LIKE — a session delivered word for word from the manual to a group of children who were visibly lost for forty minutes, with nothing noted.</t>
        </is>
      </c>
      <c r="L202" s="165" t="inlineStr">
        <is>
          <t>YOU CAN TEACH IT — you can explain the difference between core components and surface features, how to find which is which in a manual, and why recording adaptations matters for interpreting outcomes.
WHEN IT GOES WRONG — you can say what to do when you realise an adaptation changed a core component: record it honestly, restore the component in the next session if possible, and note it when you interpret the outcome data.</t>
        </is>
      </c>
      <c r="M202" s="224" t="inlineStr">
        <is>
          <t>Either delivering the manual rigidly to a group it does not fit, or quietly cutting core components.</t>
        </is>
      </c>
      <c r="N202" s="165" t="inlineStr">
        <is>
          <t>→ Feeds into 'Measure something before and after' and 'Leave the teacher able to run it'.</t>
        </is>
      </c>
      <c r="O202" s="225" t="inlineStr">
        <is>
          <t>Not started</t>
        </is>
      </c>
      <c r="P202" s="165" t="inlineStr">
        <is>
          <t>WATCH FOR — the moments an experienced facilitator changes something mid-session — shortening an activity, swapping an example for one closer to the children's lives, moving from talk to drawing — and the moments they deliberately do not.</t>
        </is>
      </c>
      <c r="Q202" s="139" t="inlineStr">
        <is>
          <t>Year 1</t>
        </is>
      </c>
      <c r="R202" s="226" t="inlineStr">
        <is>
          <t>26/10/2026</t>
        </is>
      </c>
      <c r="S202" s="226" t="inlineStr">
        <is>
          <t>16/11/2026</t>
        </is>
      </c>
      <c r="T202" s="226" t="inlineStr">
        <is>
          <t>14/12/2026</t>
        </is>
      </c>
      <c r="U202" s="139" t="inlineStr">
        <is>
          <t>Session log with adaptations · fidelity record · Log sheet tagged 3. Intervention</t>
        </is>
      </c>
    </row>
    <row r="203" outlineLevel="2" ht="43.5" customHeight="1" s="128">
      <c r="A203" s="220" t="inlineStr">
        <is>
          <t>BLOCK</t>
        </is>
      </c>
      <c r="B203" s="220" t="inlineStr">
        <is>
          <t>3. Intervention</t>
        </is>
      </c>
      <c r="C203" s="220" t="inlineStr">
        <is>
          <t>Wellbeing interventions at class and group level</t>
        </is>
      </c>
      <c r="D203" s="221" t="inlineStr">
        <is>
          <t>Block 3 · Leaving it behind</t>
        </is>
      </c>
      <c r="E203" s="222" t="inlineStr">
        <is>
          <t>Making sure the teacher can run it without you.</t>
        </is>
      </c>
      <c r="F203" s="220" t="inlineStr">
        <is>
          <t>Habit · Weeks 7–12</t>
        </is>
      </c>
      <c r="G203" s="220" t="n"/>
      <c r="H203" s="220" t="n"/>
      <c r="I203" s="220" t="n"/>
      <c r="J203" s="220" t="n"/>
      <c r="K203" s="220" t="n"/>
      <c r="L203" s="220" t="n"/>
      <c r="M203" s="222" t="n"/>
      <c r="N203" s="220" t="n"/>
      <c r="O203" s="220" t="n"/>
      <c r="P203" s="220" t="inlineStr">
        <is>
          <t>How you build it: Ask at the end what they will do next week. If they cannot say, it did not land.</t>
        </is>
      </c>
      <c r="Q203" s="220" t="n"/>
      <c r="R203" s="220" t="n"/>
      <c r="S203" s="220" t="n"/>
      <c r="T203" s="220" t="n"/>
      <c r="U203" s="220" t="n"/>
    </row>
    <row r="204" outlineLevel="2" ht="120" customHeight="1" s="128">
      <c r="A204" s="139" t="inlineStr">
        <is>
          <t>MICRO-SKILL</t>
        </is>
      </c>
      <c r="B204" s="139" t="inlineStr">
        <is>
          <t>3. Intervention</t>
        </is>
      </c>
      <c r="C204" s="139" t="inlineStr">
        <is>
          <t>Wellbeing interventions at class and group level</t>
        </is>
      </c>
      <c r="D204" s="139" t="inlineStr">
        <is>
          <t>Block 3 · Leaving it behind</t>
        </is>
      </c>
      <c r="E204" s="223" t="inlineStr">
        <is>
          <t>Measure something before and after</t>
        </is>
      </c>
      <c r="F204" s="139" t="inlineStr">
        <is>
          <t>CORU SoP 3.8</t>
        </is>
      </c>
      <c r="G204" s="227" t="inlineStr">
        <is>
          <t>CORU SoP 3.8 is mapped here. The Reference sheet asks for pre and post measures on the children, a fidelity check on delivery, and a teacher or facilitator view — without them you cannot say whether the group worked, or whether a null result reflects the programme or its delivery. A brief measure at week one and the final week is often enough. It also gives you a practice-based research output, which the Reference sheet notes is another development area met by the same piece of work.</t>
        </is>
      </c>
      <c r="H204" s="165" t="inlineStr">
        <is>
          <t>WATCH FOR — what your supervisor or service uses to evaluate groups: which child measure, which teacher measure, how consent covers them, and how fidelity is recorded session by session.
WRITE DOWN — the measures, when each is given, who gives it, and how the results are reported back to the school.
ASK AFTERWARDS — 'what do you do when the post-measures are no better — do you tell the school the group did not work?'</t>
        </is>
      </c>
      <c r="I204" s="165" t="inlineStr">
        <is>
          <t>YOU TAKE — setting up the evaluation for a group: proposing a brief validated measure the service approves (check the tools list on the Reference sheet and any licensing), a fidelity checklist from the manual, and a short teacher questionnaire.
THEY HOLD — sign-off on the measures and on consent, and how the results are communicated.
WHY THAT SPLIT — setting up is organisation you can own. Choosing measures and agreeing consent for data collection on children involves service policy and ethics your supervisor holds.</t>
        </is>
      </c>
      <c r="J204" s="165" t="inlineStr">
        <is>
          <t>YOU RUN IT — administer the pre-measure before session one, complete the fidelity checklist after each session, and take the post-measure in the final session. In Cavan, plan backwards from 18/12/2026 so the post-measure is not lost to the Christmas break.
WHAT THEY ARE WATCHING FOR — no pre-measure; measures given in different conditions pre and post; outcomes overclaimed from small numbers.
STEPPING IN LOOKS LIKE — 'with eight children and no comparison group, what can you honestly say from these numbers?'</t>
        </is>
      </c>
      <c r="K204" s="207" t="inlineStr">
        <is>
          <t>YOU DO IT ALONE — every group you run has a pre-measure, a post-measure, a fidelity record and a staff view, and you report the result honestly with its limits.
PASS TEST — There is outcome data, however simple
EVIDENCE TO FILE — the anonymised summary of pre and post data, the fidelity record, and the report back to the school. Log against 3. Intervention and 8. Research.
WHAT FAILURE LOOKS LIKE — an eight-week group ends, the children liked it, and nobody can say whether anything changed.</t>
        </is>
      </c>
      <c r="L204" s="165" t="inlineStr">
        <is>
          <t>YOU CAN TEACH IT — you can explain why pre, post and fidelity data are all needed, how to choose a brief measure, and how to state the limits of small-group data without dismissing it.
WHEN IT GOES WRONG — you can say what to do when the data show no change or worse: check fidelity first, report honestly to the school, bring it to supervision, and consider — with reference to Dishion et al. (1999) — whether the group composition could have contributed.</t>
        </is>
      </c>
      <c r="M204" s="224" t="inlineStr">
        <is>
          <t>Running a group with no pre-measure, so no outcome can be shown.</t>
        </is>
      </c>
      <c r="N204" s="165" t="inlineStr">
        <is>
          <t>→ Feeds into 'Leave the teacher able to run it' and into Research — practice-based evaluation.</t>
        </is>
      </c>
      <c r="O204" s="225" t="inlineStr">
        <is>
          <t>Not started</t>
        </is>
      </c>
      <c r="P204" s="165" t="inlineStr">
        <is>
          <t>WATCH FOR — what your supervisor or service uses to evaluate groups: which child measure, which teacher measure, how consent covers them, and how fidelity is recorded session by session.</t>
        </is>
      </c>
      <c r="Q204" s="139" t="inlineStr">
        <is>
          <t>Year 1</t>
        </is>
      </c>
      <c r="R204" s="226" t="inlineStr">
        <is>
          <t>26/10/2026</t>
        </is>
      </c>
      <c r="S204" s="226" t="inlineStr">
        <is>
          <t>16/11/2026</t>
        </is>
      </c>
      <c r="T204" s="226" t="inlineStr">
        <is>
          <t>14/12/2026</t>
        </is>
      </c>
      <c r="U204" s="139" t="inlineStr">
        <is>
          <t>Anonymised pre/post summary · fidelity record · Log sheet tagged 3. Intervention and 8. Research</t>
        </is>
      </c>
    </row>
    <row r="205" outlineLevel="2" ht="120" customHeight="1" s="128">
      <c r="A205" s="139" t="inlineStr">
        <is>
          <t>MICRO-SKILL</t>
        </is>
      </c>
      <c r="B205" s="139" t="inlineStr">
        <is>
          <t>3. Intervention</t>
        </is>
      </c>
      <c r="C205" s="139" t="inlineStr">
        <is>
          <t>Wellbeing interventions at class and group level</t>
        </is>
      </c>
      <c r="D205" s="139" t="inlineStr">
        <is>
          <t>Block 3 · Leaving it behind</t>
        </is>
      </c>
      <c r="E205" s="223" t="inlineStr">
        <is>
          <t>Leave the teacher able to run it</t>
        </is>
      </c>
      <c r="F205" s="139" t="inlineStr">
        <is>
          <t>CORU SoP 5.40</t>
        </is>
      </c>
      <c r="G205" s="227" t="inlineStr">
        <is>
          <t>The Reference sheet puts it bluntly: the intervention that ends when you leave has failed. CORU SoP 5.40 asks you to build capacity among those responsible for delivery. The sequence is co-facilitate, then hand over, then review, and the handover has to be written into the plan at the start — it does not happen as an afterthought. A trainee on a ten-week placement is the clearest case: in Cavan you leave on 18/12/2026, and the school keeps the children.</t>
        </is>
      </c>
      <c r="H205" s="165" t="inlineStr">
        <is>
          <t>WATCH FOR — how your supervisor structures handover: when the school's staff member moves from assisting to leading, what materials they are given, and how the review is arranged after the psychologist steps back.
WRITE DOWN — the handover stages, the materials handed over (manual, session plans, fidelity checklist, measures), and the date of the follow-up review.
ASK AFTERWARDS — 'which handovers have stuck in your schools, and what made the difference?'</t>
        </is>
      </c>
      <c r="I205" s="165" t="inlineStr">
        <is>
          <t>YOU TAKE — preparing the handover pack: session plans annotated with the adaptations that worked, the fidelity checklist, the measures, and a one-page 'if this happens' guide including the disclosure route to the DLP.
THEY HOLD — the agreement with the principal about staff time to continue, and the follow-up review after you leave.
WHY THAT SPLIT — the pack is concrete work. Securing staff time is a management decision, and the follow-up needs someone who will still be in the service after 18/12/2026.</t>
        </is>
      </c>
      <c r="J205" s="165" t="inlineStr">
        <is>
          <t>YOU RUN IT — move the school's co-facilitator from assisting to leading over the later sessions, with you supporting, and review each session with them.
WHAT THEY ARE WATCHING FOR — you still leading the final session; a pack left in a staffroom with no conversation; no date for the next run.
STEPPING IN LOOKS LIKE — 'she's ready to lead next week — step back and let her, even if it goes differently from how you would do it.'</t>
        </is>
      </c>
      <c r="K205" s="207" t="inlineStr">
        <is>
          <t>YOU DO IT ALONE — plan and carry out a handover so that a named staff member has led sessions, holds the materials, knows the disclosure route, and has a date to run it again.
PASS TEST — Capacity remains after you go
EVIDENCE TO FILE — the handover plan, the pack contents list, and a note of the handover meeting. Log against 3. Intervention and 4. Systemic Change.
WHAT FAILURE LOOKS LIKE — in March, the school says 'the psychologist ran a lovely group before Christmas' and nothing has happened since.</t>
        </is>
      </c>
      <c r="L205" s="165" t="inlineStr">
        <is>
          <t>YOU CAN TEACH IT — you can explain the co-facilitate, hand over, review sequence and why it must be planned at the start, and what a usable handover pack contains.
WHEN IT GOES WRONG — you can say what to do when the staff member cannot continue (moves school, loses the time): discuss with the principal who else might take it on, leave the pack with the SET coordinator, and flag it to your supervisor for the follow-up.</t>
        </is>
      </c>
      <c r="M205" s="224" t="inlineStr">
        <is>
          <t>No handover planned, so the work ends when the placement does.</t>
        </is>
      </c>
      <c r="N205" s="165" t="inlineStr">
        <is>
          <t>→ Feeds into Systemic Change — building school capacity — and into Working with Others.</t>
        </is>
      </c>
      <c r="O205" s="225" t="inlineStr">
        <is>
          <t>Not started</t>
        </is>
      </c>
      <c r="P205" s="165" t="inlineStr">
        <is>
          <t>WATCH FOR — how your supervisor structures handover: when the school's staff member moves from assisting to leading, what materials they are given, and how the review is arranged after the psychologist steps back.</t>
        </is>
      </c>
      <c r="Q205" s="139" t="inlineStr">
        <is>
          <t>Year 1</t>
        </is>
      </c>
      <c r="R205" s="226" t="inlineStr">
        <is>
          <t>26/10/2026</t>
        </is>
      </c>
      <c r="S205" s="226" t="inlineStr">
        <is>
          <t>16/11/2026</t>
        </is>
      </c>
      <c r="T205" s="226" t="inlineStr">
        <is>
          <t>14/12/2026</t>
        </is>
      </c>
      <c r="U205" s="139" t="inlineStr">
        <is>
          <t>Handover plan · pack contents list · meeting note · Log sheet tagged 3. Intervention and 4. Systemic Change</t>
        </is>
      </c>
    </row>
    <row r="206" outlineLevel="2" ht="19.5" customHeight="1" s="128">
      <c r="A206" s="219" t="inlineStr">
        <is>
          <t>MACRO SKILL</t>
        </is>
      </c>
      <c r="B206" s="219" t="inlineStr">
        <is>
          <t>3. Intervention</t>
        </is>
      </c>
      <c r="C206" s="219" t="inlineStr">
        <is>
          <t>Foundations in counselling skills</t>
        </is>
      </c>
      <c r="D206" s="219" t="n"/>
      <c r="E206" s="219" t="inlineStr">
        <is>
          <t>3 blocks · 6 micro-skills</t>
        </is>
      </c>
      <c r="F206" s="219" t="inlineStr">
        <is>
          <t>CORU 5.18 · 5.21 · 1.2</t>
        </is>
      </c>
      <c r="G206" s="219" t="n"/>
      <c r="H206" s="219" t="n"/>
      <c r="I206" s="219" t="n"/>
      <c r="J206" s="219" t="n"/>
      <c r="K206" s="219" t="n"/>
      <c r="L206" s="219" t="n"/>
      <c r="M206" s="219" t="n"/>
      <c r="N206" s="219" t="n"/>
      <c r="O206" s="219" t="n"/>
      <c r="P206" s="219" t="n"/>
      <c r="Q206" s="219" t="inlineStr">
        <is>
          <t>Year 1</t>
        </is>
      </c>
      <c r="R206" s="219" t="n"/>
      <c r="S206" s="219" t="n"/>
      <c r="T206" s="219" t="n"/>
      <c r="U206" s="219" t="n"/>
    </row>
    <row r="207" outlineLevel="2" ht="43.5" customHeight="1" s="128">
      <c r="A207" s="220" t="inlineStr">
        <is>
          <t>BLOCK</t>
        </is>
      </c>
      <c r="B207" s="220" t="inlineStr">
        <is>
          <t>3. Intervention</t>
        </is>
      </c>
      <c r="C207" s="220" t="inlineStr">
        <is>
          <t>Foundations in counselling skills</t>
        </is>
      </c>
      <c r="D207" s="221" t="inlineStr">
        <is>
          <t>Block 1 · The micro-techniques</t>
        </is>
      </c>
      <c r="E207" s="222" t="inlineStr">
        <is>
          <t>Open questions, reflective listening, summarising, silence, scaling.</t>
        </is>
      </c>
      <c r="F207" s="220" t="inlineStr">
        <is>
          <t>8–10 hours plus practice · Weeks 7–12</t>
        </is>
      </c>
      <c r="G207" s="220" t="n"/>
      <c r="H207" s="220" t="n"/>
      <c r="I207" s="220" t="n"/>
      <c r="J207" s="220" t="n"/>
      <c r="K207" s="220" t="n"/>
      <c r="L207" s="220" t="n"/>
      <c r="M207" s="222" t="n"/>
      <c r="N207" s="220" t="n"/>
      <c r="O207" s="220" t="n"/>
      <c r="P207" s="220" t="inlineStr">
        <is>
          <t>How you build it: One skills course or text. Then practise each deliberately, one per session.</t>
        </is>
      </c>
      <c r="Q207" s="220" t="n"/>
      <c r="R207" s="220" t="n"/>
      <c r="S207" s="220" t="n"/>
      <c r="T207" s="220" t="n"/>
      <c r="U207" s="220" t="n"/>
    </row>
    <row r="208" outlineLevel="2" ht="120" customHeight="1" s="128">
      <c r="A208" s="139" t="inlineStr">
        <is>
          <t>MICRO-SKILL</t>
        </is>
      </c>
      <c r="B208" s="139" t="inlineStr">
        <is>
          <t>3. Intervention</t>
        </is>
      </c>
      <c r="C208" s="139" t="inlineStr">
        <is>
          <t>Foundations in counselling skills</t>
        </is>
      </c>
      <c r="D208" s="139" t="inlineStr">
        <is>
          <t>Block 1 · The micro-techniques</t>
        </is>
      </c>
      <c r="E208" s="223" t="inlineStr">
        <is>
          <t>Use open questions and reflective listening</t>
        </is>
      </c>
      <c r="F208" s="139" t="inlineStr">
        <is>
          <t>CORU SoP 5.18</t>
        </is>
      </c>
      <c r="G208" s="227" t="inlineStr">
        <is>
          <t>Every parent meeting and pupil interview runs on these micro-skills, and without them you get thin information and damaged relationships (Reference sheet). Open questions get an account; closed questions confirm a detail. Reflection of content shows you heard; reflection of feeling, offered tentatively, shows you understood — and it is the one trainees skip (Egan &amp; Reese, 2021). CORU SoP 5.18 is mapped here. This is foundation communication under supervision, not therapy.</t>
        </is>
      </c>
      <c r="H208" s="165" t="inlineStr">
        <is>
          <t>WATCH FOR — the ratio of open to closed questions your supervisor uses in a pupil interview, and how they reflect feeling tentatively ('that sounds like it was really frightening') rather than labelling ('you're anxious').
WRITE DOWN — three open questions and two reflections they used, word for word, and what the young person said next each time.
ASK AFTERWARDS — 'when a young person gives one-word answers to open questions, what do you try next?'</t>
        </is>
      </c>
      <c r="I208" s="165" t="inlineStr">
        <is>
          <t>YOU TAKE — part of a pupil interview (for example, the section on what school is like), using open questions and reflections you have prepared.
THEY HOLD — the rest of the interview, and anything that moves toward risk or distress.
WHY THAT SPLIT — a bounded section lets you practise the technique with support. Anything touching risk — self-harm, suicidal thinking or abuse — goes through the child protection and risk route the same day, and your supervisor holds that until you are practised.</t>
        </is>
      </c>
      <c r="J208" s="165" t="inlineStr">
        <is>
          <t>YOU RUN IT — lead a whole pupil interview or parent conversation, supervisor present, and afterwards count roughly who spoke more.
WHAT THEY ARE WATCHING FOR — strings of closed questions; 'why' questions that sound like blame; labelling feeling; filling the young person's pauses with your next question.
STEPPING IN LOOKS LIKE — your supervisor, gently: 'you said it was hard at lunchtime — tell us a bit more about lunchtime', modelling the open prompt you missed.</t>
        </is>
      </c>
      <c r="K208" s="207" t="inlineStr">
        <is>
          <t>YOU DO IT ALONE — conduct an interview where most of the talking is the young person's, using open questions, reflections of content and feeling offered tentatively, and summaries that let them correct you.
PASS TEST — The young person speaks more than you do
EVIDENCE TO FILE — the interview record (with consent) and a reflective note on your questioning. Log against 3. Intervention. No identifying details in your own Log.
WHAT FAILURE LOOKS LIKE — an interview note full of your questions and the young person's 'yeah' and 'dunno'.</t>
        </is>
      </c>
      <c r="L208" s="165" t="inlineStr">
        <is>
          <t>YOU CAN TEACH IT — you can explain the purpose of each micro-technique (open question, closed question, reflection of content, reflection of feeling, summary), why tentative reflection invites correction, and where they come from (Rogers, 1957; Egan &amp; Reese, 2021).
WHEN IT GOES WRONG — you can say what to do when a reflection lands badly ('no, I'm not sad'): accept the correction, thank them, and use it — the correction is information.</t>
        </is>
      </c>
      <c r="M208" s="224" t="inlineStr">
        <is>
          <t>Asking a string of closed questions and labelling feelings instead of reflecting them tentatively.</t>
        </is>
      </c>
      <c r="N208" s="165" t="inlineStr">
        <is>
          <t>→ Feeds into 'Hold silence without filling it' and into Assessment — including the child's voice.</t>
        </is>
      </c>
      <c r="O208" s="225" t="inlineStr">
        <is>
          <t>Not started</t>
        </is>
      </c>
      <c r="P208" s="165" t="inlineStr">
        <is>
          <t>WATCH FOR — the ratio of open to closed questions your supervisor uses in a pupil interview, and how they reflect feeling tentatively ('that sounds like it was really frightening') rather than labelling ('you're anxious').</t>
        </is>
      </c>
      <c r="Q208" s="139" t="inlineStr">
        <is>
          <t>Year 1</t>
        </is>
      </c>
      <c r="R208" s="226" t="inlineStr">
        <is>
          <t>26/10/2026</t>
        </is>
      </c>
      <c r="S208" s="226" t="inlineStr">
        <is>
          <t>16/11/2026</t>
        </is>
      </c>
      <c r="T208" s="226" t="inlineStr">
        <is>
          <t>14/12/2026</t>
        </is>
      </c>
      <c r="U208" s="139" t="inlineStr">
        <is>
          <t>Interview record · reflective note · Log sheet tagged 3. Intervention</t>
        </is>
      </c>
    </row>
    <row r="209" outlineLevel="2" ht="120" customHeight="1" s="128">
      <c r="A209" s="139" t="inlineStr">
        <is>
          <t>MICRO-SKILL</t>
        </is>
      </c>
      <c r="B209" s="139" t="inlineStr">
        <is>
          <t>3. Intervention</t>
        </is>
      </c>
      <c r="C209" s="139" t="inlineStr">
        <is>
          <t>Foundations in counselling skills</t>
        </is>
      </c>
      <c r="D209" s="139" t="inlineStr">
        <is>
          <t>Block 1 · The micro-techniques</t>
        </is>
      </c>
      <c r="E209" s="223" t="inlineStr">
        <is>
          <t>Hold silence without filling it</t>
        </is>
      </c>
      <c r="F209" s="139" t="inlineStr">
        <is>
          <t>CORU SoP 5.21</t>
        </is>
      </c>
      <c r="G209" s="227" t="inlineStr">
        <is>
          <t>The Reference sheet says a silence of three to five seconds after an answer produces more than any follow-up question, and is the hardest to tolerate. Rowe's (1974) classroom research on teacher 'wait-time' is a related source — read it for the detail rather than quoting figures from memory. CORU SoP 5.21 is mapped here. Filling silence — the Reference sheet's first listed error — cuts off the thought the young person was about to share and teaches them you will do the talking.</t>
        </is>
      </c>
      <c r="H209" s="165" t="inlineStr">
        <is>
          <t>WATCH FOR — how long your supervisor waits after asking a question or after a young person stops speaking, and what the young person does in that gap. Count silently.
WRITE DOWN — two moments where the silence produced something new, and one where your supervisor judged the silence as distress rather than thinking and responded.
ASK AFTERWARDS — 'how do you tell a thinking silence from a stuck or distressed one, especially with a younger child?'</t>
        </is>
      </c>
      <c r="I209" s="165" t="inlineStr">
        <is>
          <t>YOU TAKE — deliberately practising a count of five after each answer during the interview section you lead.
THEY HOLD — reading silences that may signal distress, withdrawal of assent or something hard to say, and responding to them.
WHY THAT SPLIT — waiting can be practised mechanically at first. Judging when silence has become distress, and what to offer then, is a skill built on experience, and a silence before a disclosure needs a practised response.</t>
        </is>
      </c>
      <c r="J209" s="165" t="inlineStr">
        <is>
          <t>YOU RUN IT — hold silence in your own interviews, supervisor present, and offer a gentle prompt only when the young person seems stuck rather than thinking ('take your time').
WHAT THEY ARE WATCHING FOR — jumping in within a second or two; answering your own question; rephrasing the same question three ways; and the opposite error — leaving a distressed child sitting in silence.
STEPPING IN LOOKS LIKE — afterwards: 'you asked about home, she opened her mouth, and you asked about school. What might she have said?'</t>
        </is>
      </c>
      <c r="K209" s="207" t="inlineStr">
        <is>
          <t>YOU DO IT ALONE — after questions and answers, wait before speaking; use silence to let the young person continue; distinguish distress from thought and respond to distress.
PASS TEST — You waited
EVIDENCE TO FILE — a reflective note on one interview recording where you held silence and what followed (no identifiers). Log against 3. Intervention.
WHAT FAILURE LOOKS LIKE — every pause filled with a new question, and a young person who learns to wait you out.</t>
        </is>
      </c>
      <c r="L209" s="165" t="inlineStr">
        <is>
          <t>YOU CAN TEACH IT — you can explain why silence works, how long it feels versus how long it is, and how to tell thinking from distress, citing the Reference sheet and Rowe (1974).
WHEN IT GOES WRONG — you can say what to do when silence has tipped into distress: name it gently, offer a break or a different way to respond (drawing, pointing, writing), and check whether the young person wants to stop — respecting withdrawal of assent.</t>
        </is>
      </c>
      <c r="M209" s="224" t="inlineStr">
        <is>
          <t>Filling every silence, so the young person never gets to finish the thought.</t>
        </is>
      </c>
      <c r="N209" s="165" t="inlineStr">
        <is>
          <t>→ Feeds into 'Use scaling or solution-focused questioning' and into Ethical Practice — recognising non-verbal withdrawal.</t>
        </is>
      </c>
      <c r="O209" s="225" t="inlineStr">
        <is>
          <t>Not started</t>
        </is>
      </c>
      <c r="P209" s="165" t="inlineStr">
        <is>
          <t>WATCH FOR — how long your supervisor waits after asking a question or after a young person stops speaking, and what the young person does in that gap. Count silently.</t>
        </is>
      </c>
      <c r="Q209" s="139" t="inlineStr">
        <is>
          <t>Year 1</t>
        </is>
      </c>
      <c r="R209" s="226" t="inlineStr">
        <is>
          <t>26/10/2026</t>
        </is>
      </c>
      <c r="S209" s="226" t="inlineStr">
        <is>
          <t>16/11/2026</t>
        </is>
      </c>
      <c r="T209" s="226" t="inlineStr">
        <is>
          <t>14/12/2026</t>
        </is>
      </c>
      <c r="U209" s="139" t="inlineStr">
        <is>
          <t>Reflective note · Log sheet tagged 3. Intervention</t>
        </is>
      </c>
    </row>
    <row r="210" outlineLevel="2" ht="120" customHeight="1" s="128">
      <c r="A210" s="139" t="inlineStr">
        <is>
          <t>MICRO-SKILL</t>
        </is>
      </c>
      <c r="B210" s="139" t="inlineStr">
        <is>
          <t>3. Intervention</t>
        </is>
      </c>
      <c r="C210" s="139" t="inlineStr">
        <is>
          <t>Foundations in counselling skills</t>
        </is>
      </c>
      <c r="D210" s="139" t="inlineStr">
        <is>
          <t>Block 1 · The micro-techniques</t>
        </is>
      </c>
      <c r="E210" s="223" t="inlineStr">
        <is>
          <t>Use scaling or solution-focused questioning</t>
        </is>
      </c>
      <c r="F210" s="139" t="inlineStr">
        <is>
          <t>CORU SoP 5.18</t>
        </is>
      </c>
      <c r="G210" s="227" t="inlineStr">
        <is>
          <t>The Reference sheet describes solution-focused approaches as widely used in Irish educational psychology, within trainee competence with supervision, and well suited to school work. Scaling questions, the miracle question, exception-finding and identifying what already works give a pupil interview a defensible structure (Ratner, George &amp; Iveson, 2012). CORU SoP 5.18 is mapped. You used this framework at Roscommon; the aim now is to use it deliberately. Without a technique, an interview drifts into a conversation that may be pleasant but is hard to use.</t>
        </is>
      </c>
      <c r="H210" s="165" t="inlineStr">
        <is>
          <t>WATCH FOR — how your supervisor introduces a scale (0 to 10, or a visual ladder for younger children), asks 'what makes it a 4 and not a 2?', and asks 'what would one point higher look like?'. Notice how they adapt the miracle question for a younger child.
WRITE DOWN — the exact wording of the scaling and exception questions and the young person's answers.
ASK AFTERWARDS — 'when would you not use the miracle question with a child?'</t>
        </is>
      </c>
      <c r="I210" s="165" t="inlineStr">
        <is>
          <t>YOU TAKE — the scaling segment of a pupil interview, using wording and a visual scale prepared and checked with your supervisor.
THEY HOLD — the rest of the interview, and the decision about whether a solution-focused approach suits this young person at all (for example, where there is recent loss or trauma, which is outside your competence).
WHY THAT SPLIT — scaling is a bounded technique you can practise safely. Choosing the approach depends on the formulation and on knowing when a young person's difficulties need more than you can offer.</t>
        </is>
      </c>
      <c r="J210" s="165" t="inlineStr">
        <is>
          <t>YOU RUN IT — use a full solution-focused structure in a pupil interview — best hopes, scaling, exceptions, next small step — with your supervisor present.
WHAT THEY ARE WATCHING FOR — using the scale as a rating and moving on without the follow-up questions; pushing past a young person's problem talk so fast that they feel unheard.
STEPPING IN LOOKS LIKE — 'you got a 3 — ask what's keeping it at 3 and not lower. That's where the strengths are.'</t>
        </is>
      </c>
      <c r="K210" s="207" t="inlineStr">
        <is>
          <t>YOU DO IT ALONE — conduct a pupil interview structured by a named solution-focused technique, adapted to age, and record what the technique produced.
PASS TEST — You have a technique, not just a conversation
EVIDENCE TO FILE — the interview record and a note on the technique used and its adaptations. Log against 3. Intervention.
WHAT FAILURE LOOKS LIKE — an interview note that reads 'chatted about school, seems happy enough', with nothing that can inform a plan.</t>
        </is>
      </c>
      <c r="L210" s="165" t="inlineStr">
        <is>
          <t>YOU CAN TEACH IT — you can explain the core solution-focused techniques, how to adapt scaling for a young child (faces, a ladder, a number line on the floor), and when the approach is not appropriate, citing Ratner, George and Iveson (2012).
WHEN IT GOES WRONG — you can say what to do when a young person answers '0' or 'nothing is working': acknowledge it, ask how they are coping at all, and if risk may be present, follow the risk route the same day and bring it to supervision.</t>
        </is>
      </c>
      <c r="M210" s="224" t="inlineStr">
        <is>
          <t>Asking the scaling question and moving on without the follow-up questions that make it useful.</t>
        </is>
      </c>
      <c r="N210" s="165" t="inlineStr">
        <is>
          <t>→ Feeds into 'Recognise when the work exceeds your competence' and into Intervention planning with the young person.</t>
        </is>
      </c>
      <c r="O210" s="225" t="inlineStr">
        <is>
          <t>Not started</t>
        </is>
      </c>
      <c r="P210" s="165" t="inlineStr">
        <is>
          <t>WATCH FOR — how your supervisor introduces a scale (0 to 10, or a visual ladder for younger children), asks 'what makes it a 4 and not a 2?', and asks 'what would one point higher look like?'. Notice how they adapt the miracle question for a younger child.</t>
        </is>
      </c>
      <c r="Q210" s="139" t="inlineStr">
        <is>
          <t>Year 1</t>
        </is>
      </c>
      <c r="R210" s="226" t="inlineStr">
        <is>
          <t>26/10/2026</t>
        </is>
      </c>
      <c r="S210" s="226" t="inlineStr">
        <is>
          <t>16/11/2026</t>
        </is>
      </c>
      <c r="T210" s="226" t="inlineStr">
        <is>
          <t>14/12/2026</t>
        </is>
      </c>
      <c r="U210" s="139" t="inlineStr">
        <is>
          <t>Interview record · technique note · Log sheet tagged 3. Intervention</t>
        </is>
      </c>
    </row>
    <row r="211" outlineLevel="2" ht="43.5" customHeight="1" s="128">
      <c r="A211" s="220" t="inlineStr">
        <is>
          <t>BLOCK</t>
        </is>
      </c>
      <c r="B211" s="220" t="inlineStr">
        <is>
          <t>3. Intervention</t>
        </is>
      </c>
      <c r="C211" s="220" t="inlineStr">
        <is>
          <t>Foundations in counselling skills</t>
        </is>
      </c>
      <c r="D211" s="221" t="inlineStr">
        <is>
          <t>Block 2 · Knowing your limit</t>
        </is>
      </c>
      <c r="E211" s="222" t="inlineStr">
        <is>
          <t>Where educational psychology counselling stops and therapy begins.</t>
        </is>
      </c>
      <c r="F211" s="220" t="inlineStr">
        <is>
          <t>2 hours, once · Weeks 3–6</t>
        </is>
      </c>
      <c r="G211" s="220" t="n"/>
      <c r="H211" s="220" t="n"/>
      <c r="I211" s="220" t="n"/>
      <c r="J211" s="220" t="n"/>
      <c r="K211" s="220" t="n"/>
      <c r="L211" s="220" t="n"/>
      <c r="M211" s="222" t="n"/>
      <c r="N211" s="220" t="n"/>
      <c r="O211" s="220" t="n"/>
      <c r="P211" s="220" t="inlineStr">
        <is>
          <t>How you build it: Agree the boundary with your supervisor explicitly, in writing if possible.</t>
        </is>
      </c>
      <c r="Q211" s="220" t="n"/>
      <c r="R211" s="220" t="n"/>
      <c r="S211" s="220" t="n"/>
      <c r="T211" s="220" t="n"/>
      <c r="U211" s="220" t="n"/>
    </row>
    <row r="212" outlineLevel="2" ht="120" customHeight="1" s="128">
      <c r="A212" s="139" t="inlineStr">
        <is>
          <t>MICRO-SKILL</t>
        </is>
      </c>
      <c r="B212" s="139" t="inlineStr">
        <is>
          <t>3. Intervention</t>
        </is>
      </c>
      <c r="C212" s="139" t="inlineStr">
        <is>
          <t>Foundations in counselling skills</t>
        </is>
      </c>
      <c r="D212" s="139" t="inlineStr">
        <is>
          <t>Block 2 · Knowing your limit</t>
        </is>
      </c>
      <c r="E212" s="223" t="inlineStr">
        <is>
          <t>Recognise when the work exceeds your competence</t>
        </is>
      </c>
      <c r="F212" s="139" t="inlineStr">
        <is>
          <t>CORU SoP 1.2 · PSI Code 2.2.2</t>
        </is>
      </c>
      <c r="G212" s="227" t="inlineStr">
        <is>
          <t>You can listen, contain and help someone think; you cannot deliver therapy, treat a mental health condition, or work with trauma (Reference sheet). PSI Code 2.2.2 and CORU SoP 1.2 are mapped here — read the Code's wording on Part B of the Reference sheet. Drifting into therapy with a parent because it felt unkind to stop is one of the Reference sheet's named errors, and crossing this boundary is among the more serious things a trainee can do. Any disclosure of self-harm, suicidal thinking or abuse goes through the child protection and risk route the same day; supervision follows action.</t>
        </is>
      </c>
      <c r="H212" s="165" t="inlineStr">
        <is>
          <t>WATCH FOR — the moment in a meeting when your supervisor recognises the conversation moving outside the purpose of the work (a parent's own mental health, a child's trauma history) and how they acknowledge it, contain it and redirect.
WRITE DOWN — the signal they noticed and the words they used to redirect, without identifying details.
ASK AFTERWARDS — 'how early do you name the limit — and how do you do it without the person feeling pushed away?'</t>
        </is>
      </c>
      <c r="I212" s="165" t="inlineStr">
        <is>
          <t>YOU TAKE — writing out in advance, for each case, what your role is and is not, and preparing a sentence you can use to name the limit kindly.
THEY HOLD — conversations likely to move into risk, trauma or a parent's own mental health, and any decision about what to do next.
WHY THAT SPLIT — preparing the boundary is something you can do before the meeting. Holding a person in distress while redirecting them, and judging risk, needs experience you are not expected to have yet.</t>
        </is>
      </c>
      <c r="J212" s="165" t="inlineStr">
        <is>
          <t>YOU RUN IT — lead a meeting where the boundary may be tested, supervisor present; name the purpose at the start, and redirect if the conversation moves beyond it.
WHAT THEY ARE WATCHING FOR — continuing because it feels unkind to stop; offering advice on a parent's own difficulties; asking a child questions that open up trauma.
STEPPING IN LOOKS LIKE — 'it sounds like you've been carrying a lot yourself. That matters, and it deserves proper support — can we talk about who could help you with that?'</t>
        </is>
      </c>
      <c r="K212" s="207" t="inlineStr">
        <is>
          <t>YOU DO IT ALONE — state your role at the start, recognise when the conversation is moving beyond it, name the limit kindly before you are in it, and route risk disclosures through the child protection and risk route the same day.
PASS TEST — You named your limit before reaching it
EVIDENCE TO FILE — the case note recording the redirection and any onward action, and the supervision note. Log against 3. Intervention and 6. Ethical Practice.
WHAT FAILURE LOOKS LIKE — a parent meeting that became a weekly listening session about the parent's own depression, with no referral made.</t>
        </is>
      </c>
      <c r="L212" s="165" t="inlineStr">
        <is>
          <t>YOU CAN TEACH IT — you can explain where a trainee's competence ends, why (PSI Code 2.2.2, 2.2.3), what the early signals are, and how to name the limit without rejecting the person.
WHEN IT GOES WRONG — you can say what to do when you realise you have already crossed the line: stop, tell your supervisor the same day, agree how to close that thread with the person and where to refer, and record it.</t>
        </is>
      </c>
      <c r="M212" s="224" t="inlineStr">
        <is>
          <t>Continuing into therapy with a parent or child because stopping felt unkind.</t>
        </is>
      </c>
      <c r="N212" s="165" t="inlineStr">
        <is>
          <t>→ Feeds into 'Know the onward referral route and use it' and into Ethical Practice — working within competence.</t>
        </is>
      </c>
      <c r="O212" s="225" t="inlineStr">
        <is>
          <t>Not started</t>
        </is>
      </c>
      <c r="P212" s="165" t="inlineStr">
        <is>
          <t>WATCH FOR — the moment in a meeting when your supervisor recognises the conversation moving outside the purpose of the work (a parent's own mental health, a child's trauma history) and how they acknowledge it, contain it and redirect.</t>
        </is>
      </c>
      <c r="Q212" s="139" t="inlineStr">
        <is>
          <t>Year 1</t>
        </is>
      </c>
      <c r="R212" s="226" t="inlineStr">
        <is>
          <t>26/10/2026</t>
        </is>
      </c>
      <c r="S212" s="226" t="inlineStr">
        <is>
          <t>16/11/2026</t>
        </is>
      </c>
      <c r="T212" s="226" t="inlineStr">
        <is>
          <t>14/12/2026</t>
        </is>
      </c>
      <c r="U212" s="139" t="inlineStr">
        <is>
          <t>Case note · supervision note · Log sheet tagged 3. Intervention and 6. Ethical Practice</t>
        </is>
      </c>
    </row>
    <row r="213" outlineLevel="2" ht="120" customHeight="1" s="128">
      <c r="A213" s="139" t="inlineStr">
        <is>
          <t>MICRO-SKILL</t>
        </is>
      </c>
      <c r="B213" s="139" t="inlineStr">
        <is>
          <t>3. Intervention</t>
        </is>
      </c>
      <c r="C213" s="139" t="inlineStr">
        <is>
          <t>Foundations in counselling skills</t>
        </is>
      </c>
      <c r="D213" s="139" t="inlineStr">
        <is>
          <t>Block 2 · Knowing your limit</t>
        </is>
      </c>
      <c r="E213" s="223" t="inlineStr">
        <is>
          <t>Know the onward referral route and use it</t>
        </is>
      </c>
      <c r="F213" s="139" t="inlineStr">
        <is>
          <t>PSI Code 3.4.3</t>
        </is>
      </c>
      <c r="G213" s="227" t="inlineStr">
        <is>
          <t>PSI Code 3.4.3 is mapped here. When a conversation moves beyond your competence, the Reference sheet says you must have a name to give rather than a vague suggestion to 'see someone', and the routes must be written out in advance. In Ireland these may include the GP, HSE CAMHS (usually via GP), HSE Primary Care psychology, a Children's Disability Network Team, Tusla, and for any child protection concern the school's DLP. Referral criteria and waiting times vary — check each locally. A vague signpost leaves the person with nowhere to go.</t>
        </is>
      </c>
      <c r="H213" s="165" t="inlineStr">
        <is>
          <t>WATCH FOR — how your supervisor signposts: the service named, how to access it, whether a referral is made or the family self-refers, and how they check the family understood.
WRITE DOWN — for each route: who it is for, how to access it, whether a GP letter is needed, and what the family should expect. Note the service's own list of crisis lines — check numbers there before giving any out.
ASK AFTERWARDS — 'which referral routes in this area actually work, and which look good on paper?'</t>
        </is>
      </c>
      <c r="I213" s="165" t="inlineStr">
        <is>
          <t>YOU TAKE — building a referral route sheet for your Cavan area before the placement starts on 05/10/2026: services, access routes, criteria, and the DLP for each of your schools.
THEY HOLD — decisions to refer, and making referrals on the service's behalf.
WHY THAT SPLIT — compiling the sheet is research you can own. A referral commits the service, needs consent, and relies on your supervisor's judgement about which route is right.</t>
        </is>
      </c>
      <c r="J213" s="165" t="inlineStr">
        <is>
          <t>YOU RUN IT — signpost or propose a referral yourself in a meeting, supervisor present: name the service, explain how to access it, and check the parent or young person knows the next step.
WHAT THEY ARE WATCHING FOR — 'you might want to talk to someone'; recommending a service without knowing its criteria; forgetting the same-day risk route when self-harm or abuse is mentioned.
STEPPING IN LOOKS LIKE — 'the GP is the way in to CAMHS here — would it help if we wrote a short note you could bring?'</t>
        </is>
      </c>
      <c r="K213" s="207" t="inlineStr">
        <is>
          <t>YOU DO IT ALONE — when the work exceeds your competence, stop and refer, naming a specific route, how to access it and what happens next; for risk, use the child protection and risk route the same day, then bring it to supervision.
PASS TEST — You referred rather than continued
EVIDENCE TO FILE — the case note of the referral or signpost and the route sheet. Log against 3. Intervention and 5. Working with Others.
WHAT FAILURE LOOKS LIKE — a parent told to 'look into some counselling' who leaves with no name, no number and no plan.</t>
        </is>
      </c>
      <c r="L213" s="165" t="inlineStr">
        <is>
          <t>YOU CAN TEACH IT — you can explain the main referral routes in the Irish system, how to access each, and how to signpost in a way a family can act on.
WHEN IT GOES WRONG — you can say what to do when a referral is refused or the wait is long: tell the family honestly, identify interim supports with your supervisor, and record it.</t>
        </is>
      </c>
      <c r="M213" s="224" t="inlineStr">
        <is>
          <t>Signposting vaguely ('talk to someone') with no named service or route.</t>
        </is>
      </c>
      <c r="N213" s="165" t="inlineStr">
        <is>
          <t>→ Feeds into 'Close the relationship properly' and into Working with Others — interagency practice.</t>
        </is>
      </c>
      <c r="O213" s="225" t="inlineStr">
        <is>
          <t>Not started</t>
        </is>
      </c>
      <c r="P213" s="165" t="inlineStr">
        <is>
          <t>WATCH FOR — how your supervisor signposts: the service named, how to access it, whether a referral is made or the family self-refers, and how they check the family understood.</t>
        </is>
      </c>
      <c r="Q213" s="139" t="inlineStr">
        <is>
          <t>Year 1</t>
        </is>
      </c>
      <c r="R213" s="226" t="inlineStr">
        <is>
          <t>26/10/2026</t>
        </is>
      </c>
      <c r="S213" s="226" t="inlineStr">
        <is>
          <t>16/11/2026</t>
        </is>
      </c>
      <c r="T213" s="226" t="inlineStr">
        <is>
          <t>14/12/2026</t>
        </is>
      </c>
      <c r="U213" s="139" t="inlineStr">
        <is>
          <t>Referral route sheet · case note · Log sheet tagged 3. Intervention and 5. Working with Others</t>
        </is>
      </c>
    </row>
    <row r="214" outlineLevel="2" ht="43.5" customHeight="1" s="128">
      <c r="A214" s="220" t="inlineStr">
        <is>
          <t>BLOCK</t>
        </is>
      </c>
      <c r="B214" s="220" t="inlineStr">
        <is>
          <t>3. Intervention</t>
        </is>
      </c>
      <c r="C214" s="220" t="inlineStr">
        <is>
          <t>Foundations in counselling skills</t>
        </is>
      </c>
      <c r="D214" s="221" t="inlineStr">
        <is>
          <t>Block 3 · Ending well</t>
        </is>
      </c>
      <c r="E214" s="222" t="inlineStr">
        <is>
          <t>Concluding a relationship rather than letting it lapse.</t>
        </is>
      </c>
      <c r="F214" s="220" t="inlineStr">
        <is>
          <t>Habit · Ongoing all year</t>
        </is>
      </c>
      <c r="G214" s="220" t="n"/>
      <c r="H214" s="220" t="n"/>
      <c r="I214" s="220" t="n"/>
      <c r="J214" s="220" t="n"/>
      <c r="K214" s="220" t="n"/>
      <c r="L214" s="220" t="n"/>
      <c r="M214" s="222" t="n"/>
      <c r="N214" s="220" t="n"/>
      <c r="O214" s="220" t="n"/>
      <c r="P214" s="220" t="inlineStr">
        <is>
          <t>How you build it: Plan the ending at session one. Say how many sessions there will be.</t>
        </is>
      </c>
      <c r="Q214" s="220" t="n"/>
      <c r="R214" s="220" t="n"/>
      <c r="S214" s="220" t="n"/>
      <c r="T214" s="220" t="n"/>
      <c r="U214" s="220" t="n"/>
    </row>
    <row r="215" outlineLevel="2" ht="120" customHeight="1" s="128">
      <c r="A215" s="139" t="inlineStr">
        <is>
          <t>MICRO-SKILL</t>
        </is>
      </c>
      <c r="B215" s="139" t="inlineStr">
        <is>
          <t>3. Intervention</t>
        </is>
      </c>
      <c r="C215" s="139" t="inlineStr">
        <is>
          <t>Foundations in counselling skills</t>
        </is>
      </c>
      <c r="D215" s="139" t="inlineStr">
        <is>
          <t>Block 3 · Ending well</t>
        </is>
      </c>
      <c r="E215" s="223" t="inlineStr">
        <is>
          <t>Close the relationship properly</t>
        </is>
      </c>
      <c r="F215" s="139" t="inlineStr">
        <is>
          <t>CORU SoP 5.21 · PSI Code 3.4.4</t>
        </is>
      </c>
      <c r="G215" s="227" t="inlineStr">
        <is>
          <t>The Reference sheet says to signal the ending before it arrives, summarise what was said and what happens next, and be explicit about what you will and will not do and what will be written down and who will see it. An unclear ending leaves a parent expecting contact that is not coming, which does more damage than a blunt but clear one. CORU SoP 5.21 and PSI Code 3.4.4 are mapped here. For a trainee, placement end is a fixed ending: in Cavan, 18/12/2026.</t>
        </is>
      </c>
      <c r="H215" s="165" t="inlineStr">
        <is>
          <t>WATCH FOR — how your supervisor ends a session and ends an involvement: the signal ('we have about ten minutes left'), the summary, what happens next, and who the family contacts after.
WRITE DOWN — the words used for each part, and anything written down for the family.
ASK AFTERWARDS — 'how do you end with a young person who has told you a lot, without it feeling like being dropped?'</t>
        </is>
      </c>
      <c r="I215" s="165" t="inlineStr">
        <is>
          <t>YOU TAKE — the summary and 'what happens next' part at the end of a session your supervisor led.
THEY HOLD — ending the involvement with the family and handing on to whoever holds the case after you.
WHY THAT SPLIT — summarising is a learnable micro-skill. Ending a relationship, especially for a trainee who is leaving, means managing expectations and case transfer, which your supervisor holds.</t>
        </is>
      </c>
      <c r="J215" s="165" t="inlineStr">
        <is>
          <t>YOU RUN IT — end your own sessions, supervisor present: signal the end, summarise, state what you will and will not do, what gets written and who sees it, and who to contact.
WHAT THEY ARE WATCHING FOR — running out of time and ending abruptly; promising contact you cannot deliver; not telling a young person that you are leaving at the end of the placement.
STEPPING IN LOOKS LIKE — 'before you finish, tell him who he can go to in school after you've gone.'</t>
        </is>
      </c>
      <c r="K215" s="207" t="inlineStr">
        <is>
          <t>YOU DO IT ALONE — close every session and every involvement with a signalled ending, a summary, clear next steps, what is recorded and who sees it, and a named contact after you leave.
PASS TEST — There was an ending, not a lapse
EVIDENCE TO FILE — the closing case note, the handover note, and the letter or summary given to the family. Log against 3. Intervention.
WHAT FAILURE LOOKS LIKE — a parent phones the service in January asking when the trainee is coming back, and nobody told her.</t>
        </is>
      </c>
      <c r="L215" s="165" t="inlineStr">
        <is>
          <t>YOU CAN TEACH IT — you can explain the components of a good ending, why an unclear ending harms more than a clear one, and how to plan endings from the start of a time-limited placement.
WHEN IT GOES WRONG — you can say what to do when an involvement ended without closure: tell your supervisor, contact the family with a clear summary and next step, and record it.</t>
        </is>
      </c>
      <c r="M215" s="224" t="inlineStr">
        <is>
          <t>Letting contact lapse without a signalled ending, summary and named next contact.</t>
        </is>
      </c>
      <c r="N215" s="165" t="inlineStr">
        <is>
          <t>→ Feeds into Working with Others — case transfer — and into Ethical Practice — record-keeping.</t>
        </is>
      </c>
      <c r="O215" s="225" t="inlineStr">
        <is>
          <t>Not started</t>
        </is>
      </c>
      <c r="P215" s="165" t="inlineStr">
        <is>
          <t>WATCH FOR — how your supervisor ends a session and ends an involvement: the signal ('we have about ten minutes left'), the summary, what happens next, and who the family contacts after.</t>
        </is>
      </c>
      <c r="Q215" s="139" t="inlineStr">
        <is>
          <t>Year 1</t>
        </is>
      </c>
      <c r="R215" s="226" t="inlineStr">
        <is>
          <t>26/10/2026</t>
        </is>
      </c>
      <c r="S215" s="226" t="inlineStr">
        <is>
          <t>16/11/2026</t>
        </is>
      </c>
      <c r="T215" s="226" t="inlineStr">
        <is>
          <t>14/12/2026</t>
        </is>
      </c>
      <c r="U215" s="139" t="inlineStr">
        <is>
          <t>Closing case note · handover note · Log sheet tagged 3. Intervention</t>
        </is>
      </c>
    </row>
    <row r="216" outlineLevel="2" ht="19.5" customHeight="1" s="128">
      <c r="A216" s="219" t="inlineStr">
        <is>
          <t>MACRO SKILL</t>
        </is>
      </c>
      <c r="B216" s="219" t="inlineStr">
        <is>
          <t>3. Intervention</t>
        </is>
      </c>
      <c r="C216" s="219" t="inlineStr">
        <is>
          <t>Write recommendations naming the Continuum of Support level</t>
        </is>
      </c>
      <c r="D216" s="219" t="n"/>
      <c r="E216" s="219" t="inlineStr">
        <is>
          <t>3 blocks · 8 micro-skills</t>
        </is>
      </c>
      <c r="F216" s="219" t="inlineStr">
        <is>
          <t>CORU 5.34 · 5.35 · 3.8</t>
        </is>
      </c>
      <c r="G216" s="219" t="n"/>
      <c r="H216" s="219" t="n"/>
      <c r="I216" s="219" t="n"/>
      <c r="J216" s="219" t="n"/>
      <c r="K216" s="219" t="n"/>
      <c r="L216" s="219" t="n"/>
      <c r="M216" s="219" t="n"/>
      <c r="N216" s="219" t="n"/>
      <c r="O216" s="219" t="n"/>
      <c r="P216" s="219" t="n"/>
      <c r="Q216" s="219" t="inlineStr">
        <is>
          <t>Year 1</t>
        </is>
      </c>
      <c r="R216" s="219" t="n"/>
      <c r="S216" s="219" t="n"/>
      <c r="T216" s="219" t="n"/>
      <c r="U216" s="219" t="n"/>
    </row>
    <row r="217" outlineLevel="2" ht="43.5" customHeight="1" s="128">
      <c r="A217" s="220" t="inlineStr">
        <is>
          <t>BLOCK</t>
        </is>
      </c>
      <c r="B217" s="220" t="inlineStr">
        <is>
          <t>3. Intervention</t>
        </is>
      </c>
      <c r="C217" s="220" t="inlineStr">
        <is>
          <t>Write recommendations naming the Continuum of Support level</t>
        </is>
      </c>
      <c r="D217" s="221" t="inlineStr">
        <is>
          <t>Block 1 · Knowing the Continuum</t>
        </is>
      </c>
      <c r="E217" s="222" t="inlineStr">
        <is>
          <t>What classroom support, school support and school support plus each mean in practice.</t>
        </is>
      </c>
      <c r="F217" s="220" t="inlineStr">
        <is>
          <t>5–6 hours, once · Weeks 1–2</t>
        </is>
      </c>
      <c r="G217" s="220" t="n"/>
      <c r="H217" s="220" t="n"/>
      <c r="I217" s="220" t="n"/>
      <c r="J217" s="220" t="n"/>
      <c r="K217" s="220" t="n"/>
      <c r="L217" s="220" t="n"/>
      <c r="M217" s="222" t="n"/>
      <c r="N217" s="220" t="n"/>
      <c r="O217" s="220" t="n"/>
      <c r="P217" s="220" t="inlineStr">
        <is>
          <t>How you build it: Read the NEPS Continuum documents. Map one school onto them.</t>
        </is>
      </c>
      <c r="Q217" s="220" t="n"/>
      <c r="R217" s="220" t="n"/>
      <c r="S217" s="220" t="n"/>
      <c r="T217" s="220" t="n"/>
      <c r="U217" s="220" t="n"/>
    </row>
    <row r="218" outlineLevel="2" ht="120" customHeight="1" s="128">
      <c r="A218" s="139" t="inlineStr">
        <is>
          <t>MICRO-SKILL</t>
        </is>
      </c>
      <c r="B218" s="139" t="inlineStr">
        <is>
          <t>3. Intervention</t>
        </is>
      </c>
      <c r="C218" s="139" t="inlineStr">
        <is>
          <t>Write recommendations naming the Continuum of Support level</t>
        </is>
      </c>
      <c r="D218" s="139" t="inlineStr">
        <is>
          <t>Block 1 · Knowing the Continuum</t>
        </is>
      </c>
      <c r="E218" s="223" t="inlineStr">
        <is>
          <t>State the Continuum level for each recommendation</t>
        </is>
      </c>
      <c r="F218" s="139" t="inlineStr">
        <is>
          <t>NEPS Continuum of Support</t>
        </is>
      </c>
      <c r="G218" s="227" t="inlineStr">
        <is>
          <t>Irish schools allocate support through the NEPS Continuum of Support: Classroom Support, School Support and School Support Plus (NEPS, Special Educational Needs: A Continuum of Support — Guidelines for Teachers, 2007; post-primary guidelines 2010). A recommendation with no level leaves the principal and SET to guess which pot of time it comes from, and the guess is usually the lowest one. Naming the level also tells the school which paperwork follows — a Classroom Support Plan or a Student Support File with review dates.</t>
        </is>
      </c>
      <c r="H218" s="165" t="inlineStr">
        <is>
          <t>WATCH FOR — where in your supervisor's reports the level appears: in a heading above each group of recommendations, in each sentence, or once in the summary. Notice whether they justify the level against what has already been tried at the level below.
WRITE DOWN — for two or three of their reports, each recommendation and the level attached to it, and any recommendation that has no level.
ASK AFTERWARDS — 'how do you decide between School Support and School Support Plus when the school has already been doing small-group work for a term?'</t>
        </is>
      </c>
      <c r="I218" s="165" t="inlineStr">
        <is>
          <t>YOU TAKE — drafting the recommendations section of a supervised case with the level stated in each recommendation, and a one-line justification for any recommendation at School Support Plus.
THEY HOLD — the final call on the level, because they know how this school and this SENO respond to each level and what has been agreed at previous consultations.
WHY THAT SPLIT — attaching a level is a mechanical habit you can build now. Judging the level against local history and resource needs knowledge of the school you do not yet have.</t>
        </is>
      </c>
      <c r="J218" s="165" t="inlineStr">
        <is>
          <t>YOU RUN IT — write the full recommendations section with levels and justifications and bring it to supervision before the report goes out.
WHAT THEY ARE WATCHING FOR — a level named without saying why it is not the one below, and a School Support Plus recommendation with no evidence of what happened at School Support first.
STEPPING IN LOOKS LIKE — 'you've said School Support Plus. What has the SET already done at School Support, for how long, and what changed?'</t>
        </is>
      </c>
      <c r="K218" s="207" t="inlineStr">
        <is>
          <t>YOU DO IT ALONE — every recommendation in every report you write carries a named Continuum level, with a justification wherever the level is higher than the child's current one.
PASS TEST — The level appears in the text
EVIDENCE TO FILE — the recommendations section of an anonymised report extract, with levels visible. Log against 3. Intervention.
WHAT FAILURE LOOKS LIKE — 'X would benefit from additional literacy support' with no level, so the school files it and nothing changes in the timetable.</t>
        </is>
      </c>
      <c r="L218" s="165" t="inlineStr">
        <is>
          <t>YOU CAN TEACH IT — you can explain the three levels, who leads each, what documentation each generates, and why a level must be justified against the one below — citing the NEPS Continuum guidelines rather than memory.
WHEN IT GOES WRONG — you can say what to do when a report has already gone out without levels: send a short addendum to the principal and SET naming the level for each recommendation, and log the correction with your supervisor.</t>
        </is>
      </c>
      <c r="M218" s="224" t="inlineStr">
        <is>
          <t>Recommendations with no Continuum level, so the school cannot tell which resource they draw on.</t>
        </is>
      </c>
      <c r="N218" s="165" t="inlineStr">
        <is>
          <t>→ Feeds into 'Check the school can actually resource it', 'Name who delivers', and into the Student Support File review.</t>
        </is>
      </c>
      <c r="O218" s="225" t="inlineStr">
        <is>
          <t>Not started</t>
        </is>
      </c>
      <c r="P218" s="165" t="inlineStr">
        <is>
          <t>WATCH FOR — where in your supervisor's reports the level appears: in a heading above each group of recommendations, in each sentence, or once in the summary. Notice whether they justify the level against what has already been tried at the level below.</t>
        </is>
      </c>
      <c r="Q218" s="139" t="inlineStr">
        <is>
          <t>Year 1</t>
        </is>
      </c>
      <c r="R218" s="226" t="inlineStr">
        <is>
          <t>26/10/2026</t>
        </is>
      </c>
      <c r="S218" s="226" t="inlineStr">
        <is>
          <t>16/11/2026</t>
        </is>
      </c>
      <c r="T218" s="226" t="inlineStr">
        <is>
          <t>14/12/2026</t>
        </is>
      </c>
      <c r="U218" s="139" t="inlineStr">
        <is>
          <t>Report — recommendations · Appendix 5 · Log sheet tagged 3. Intervention</t>
        </is>
      </c>
    </row>
    <row r="219" outlineLevel="2" ht="120" customHeight="1" s="128">
      <c r="A219" s="139" t="inlineStr">
        <is>
          <t>MICRO-SKILL</t>
        </is>
      </c>
      <c r="B219" s="139" t="inlineStr">
        <is>
          <t>3. Intervention</t>
        </is>
      </c>
      <c r="C219" s="139" t="inlineStr">
        <is>
          <t>Write recommendations naming the Continuum of Support level</t>
        </is>
      </c>
      <c r="D219" s="139" t="inlineStr">
        <is>
          <t>Block 1 · Knowing the Continuum</t>
        </is>
      </c>
      <c r="E219" s="223" t="inlineStr">
        <is>
          <t>Check the school can actually resource it</t>
        </is>
      </c>
      <c r="F219" s="139" t="inlineStr">
        <is>
          <t>CORU SoP 5.35</t>
        </is>
      </c>
      <c r="G219" s="227" t="inlineStr">
        <is>
          <t>A recommendation the school cannot staff becomes a line in a file that nobody delivers, and the family reads it as a promise broken. Special education teaching hours are allocated to schools under the Department of Education's SET allocation model (Circulars 0013/2017 primary and 0014/2017 post-primary — check for the current circular before quoting), and the principal deploys them. CORU SoP 5.35 is the standard mapped here. Asking before you write is how you keep recommendations honest.</t>
        </is>
      </c>
      <c r="H219" s="165" t="inlineStr">
        <is>
          <t>WATCH FOR — when your supervisor asks the principal or SET what is possible: before the assessment, during the planning meeting, or after the draft. Notice the questions — how many SET hours are free, which groups already run, whether an SNA is attached to the class.
WRITE DOWN — the resource questions they ask and the answers the school gives, anonymised.
ASK AFTERWARDS — 'when a child needs something the school genuinely cannot provide, how do you write that without setting the school up to fail?'</t>
        </is>
      </c>
      <c r="I219" s="165" t="inlineStr">
        <is>
          <t>YOU TAKE — preparing a short list of resource questions for the SET before the feedback meeting: existing groups, available time, programmes already bought in, staff trained in them.
THEY HOLD — the conversation with the principal about deployment, and any recommendation that the school seek resource from outside, such as through the SENO.
WHY THAT SPLIT — factual questions to the SET are safe for you to ask. Asking a principal to re-deploy staff is negotiation that relies on a relationship your supervisor holds.</t>
        </is>
      </c>
      <c r="J219" s="165" t="inlineStr">
        <is>
          <t>YOU RUN IT — check each draft recommendation with the SET before the report is finalised, and adjust wording where the resource does not exist.
WHAT THEY ARE WATCHING FOR — recommending a named programme (for example a specific reading intervention) that the school has never bought, has no trained staff for, or cannot timetable.
STEPPING IN LOOKS LIKE — 'before this goes in — did you ask whether anyone in the school is trained in that? Who would deliver it next Monday?'</t>
        </is>
      </c>
      <c r="K219" s="207" t="inlineStr">
        <is>
          <t>YOU DO IT ALONE — before finalising recommendations, confirm with the SET or principal that each one can be resourced, and record that you asked.
PASS TEST — You asked before recommending
EVIDENCE TO FILE — a note on the case file of the date and who you checked with. Log against 3. Intervention.
WHAT FAILURE LOOKS LIKE — daily one-to-one precision teaching recommended for a child in a school whose SET time is fully committed, discovered at the review when nothing has happened.</t>
        </is>
      </c>
      <c r="L219" s="165" t="inlineStr">
        <is>
          <t>YOU CAN TEACH IT — you can explain how SET hours reach a school, who decides their deployment, and the difference between recommending within the school's resource and recommending that the school seek more.
WHEN IT GOES WRONG — you can say what to do when a child's need exceeds what the school can provide: say so plainly, recommend the achievable version first, and name the route for further resource separately, with your supervisor's agreement.</t>
        </is>
      </c>
      <c r="M219" s="224" t="inlineStr">
        <is>
          <t>Recommending an intervention without asking whether anyone in the school can deliver it.</t>
        </is>
      </c>
      <c r="N219" s="165" t="inlineStr">
        <is>
          <t>→ Feeds into 'Name who delivers', 'Name how often and for how long', and 'Limit the number so they can be acted on'.</t>
        </is>
      </c>
      <c r="O219" s="225" t="inlineStr">
        <is>
          <t>Not started</t>
        </is>
      </c>
      <c r="P219" s="165" t="inlineStr">
        <is>
          <t>WATCH FOR — when your supervisor asks the principal or SET what is possible: before the assessment, during the planning meeting, or after the draft. Notice the questions — how many SET hours are free, which groups already run, whether an SNA is attached to the class.</t>
        </is>
      </c>
      <c r="Q219" s="139" t="inlineStr">
        <is>
          <t>Year 1</t>
        </is>
      </c>
      <c r="R219" s="226" t="inlineStr">
        <is>
          <t>26/10/2026</t>
        </is>
      </c>
      <c r="S219" s="226" t="inlineStr">
        <is>
          <t>16/11/2026</t>
        </is>
      </c>
      <c r="T219" s="226" t="inlineStr">
        <is>
          <t>14/12/2026</t>
        </is>
      </c>
      <c r="U219" s="139" t="inlineStr">
        <is>
          <t>Case file note of resource check · Appendix 5 · Log sheet tagged 3. Intervention</t>
        </is>
      </c>
    </row>
    <row r="220" outlineLevel="2" ht="43.5" customHeight="1" s="128">
      <c r="A220" s="220" t="inlineStr">
        <is>
          <t>BLOCK</t>
        </is>
      </c>
      <c r="B220" s="220" t="inlineStr">
        <is>
          <t>3. Intervention</t>
        </is>
      </c>
      <c r="C220" s="220" t="inlineStr">
        <is>
          <t>Write recommendations naming the Continuum of Support level</t>
        </is>
      </c>
      <c r="D220" s="221" t="inlineStr">
        <is>
          <t>Block 2 · Writing them so they happen</t>
        </is>
      </c>
      <c r="E220" s="222" t="inlineStr">
        <is>
          <t>Specificity — who, what, how often, how long, measured how, reviewed when.</t>
        </is>
      </c>
      <c r="F220" s="220" t="inlineStr">
        <is>
          <t>20 minutes per case · Weeks 7–12</t>
        </is>
      </c>
      <c r="G220" s="220" t="n"/>
      <c r="H220" s="220" t="n"/>
      <c r="I220" s="220" t="n"/>
      <c r="J220" s="220" t="n"/>
      <c r="K220" s="220" t="n"/>
      <c r="L220" s="220" t="n"/>
      <c r="M220" s="222" t="n"/>
      <c r="N220" s="220" t="n"/>
      <c r="O220" s="220" t="n"/>
      <c r="P220" s="220" t="inlineStr">
        <is>
          <t>How you build it: Ask your supervisor to strike out anything unresourceable. Fastest way to learn what is realistic.</t>
        </is>
      </c>
      <c r="Q220" s="220" t="n"/>
      <c r="R220" s="220" t="n"/>
      <c r="S220" s="220" t="n"/>
      <c r="T220" s="220" t="n"/>
      <c r="U220" s="220" t="n"/>
    </row>
    <row r="221" outlineLevel="2" ht="120" customHeight="1" s="128">
      <c r="A221" s="139" t="inlineStr">
        <is>
          <t>MICRO-SKILL</t>
        </is>
      </c>
      <c r="B221" s="139" t="inlineStr">
        <is>
          <t>3. Intervention</t>
        </is>
      </c>
      <c r="C221" s="139" t="inlineStr">
        <is>
          <t>Write recommendations naming the Continuum of Support level</t>
        </is>
      </c>
      <c r="D221" s="139" t="inlineStr">
        <is>
          <t>Block 2 · Writing them so they happen</t>
        </is>
      </c>
      <c r="E221" s="223" t="inlineStr">
        <is>
          <t>Name who delivers</t>
        </is>
      </c>
      <c r="F221" s="139" t="inlineStr">
        <is>
          <t>CORU SoP 5.34</t>
        </is>
      </c>
      <c r="G221" s="227" t="inlineStr">
        <is>
          <t>'The school should' is the most common phrase in recommendations and the least likely to be acted on, because it belongs to nobody. Addressing each recommendation to a role — class teacher, SET, SNA, principal, parent — is one of the features the Reference sheet lists as predicting implementation. CORU SoP 5.34 is the standard mapped here. Name a role, not a person, because staff move mid-year.</t>
        </is>
      </c>
      <c r="H221" s="165" t="inlineStr">
        <is>
          <t>WATCH FOR — how your supervisor words the first few words of each recommendation. Many start with the role: 'The class teacher will…', 'The SET will…'. Notice whether parents are given recommendations too, and how those are phrased.
WRITE DOWN — any recommendation in their reports that is addressed to 'the school', 'staff' or nobody, and what they would change.
ASK AFTERWARDS — 'why do you name the role rather than the teacher's name, and when would you name the person?'</t>
        </is>
      </c>
      <c r="I221" s="165" t="inlineStr">
        <is>
          <t>YOU TAKE — rewriting a draft set of recommendations so that each begins with a named role and contains one verb that role can do.
THEY HOLD — decisions about which role is appropriate where the school's structure is unclear, for example whether an SNA can be asked to deliver a teaching task.
WHY THAT SPLIT — the rewording is a discipline you can practise at once. Knowing the limits of each role (the SNA scheme is for care needs — check the current NCSE/DE guidance) needs supervision.</t>
        </is>
      </c>
      <c r="J221" s="165" t="inlineStr">
        <is>
          <t>YOU RUN IT — write the recommendations with roles attached and walk through them with the SET before the report is finalised, asking 'is this the right person for this?'
WHAT THEY ARE WATCHING FOR — teaching tasks assigned to an SNA, and recommendations addressed to 'home and school' that neither side owns.
STEPPING IN LOOKS LIKE — 'who, specifically, does this on Monday morning? If you can't answer, the sentence isn't finished.'</t>
        </is>
      </c>
      <c r="K221" s="207" t="inlineStr">
        <is>
          <t>YOU DO IT ALONE — every recommendation you write opens with the role responsible for it.
PASS TEST — Responsibility assigned to a role
EVIDENCE TO FILE — recommendations section of an anonymised report extract. Log against 3. Intervention.
WHAT FAILURE LOOKS LIKE — 'Visual supports should be used throughout the day' — nobody makes them, nobody uses them, and at review everyone thought someone else was doing it.</t>
        </is>
      </c>
      <c r="L221" s="165" t="inlineStr">
        <is>
          <t>YOU CAN TEACH IT — you can explain why ownership predicts implementation, what each school role can and cannot be asked to do, and how to write a parent recommendation that does not sound like homework.
WHEN IT GOES WRONG — you can say what to do when the named role is vacant or on leave: revise the recommendation with the principal, name the covering role, and adjust the review date if needed.</t>
        </is>
      </c>
      <c r="M221" s="224" t="inlineStr">
        <is>
          <t>Addressing recommendations to 'the school', so nobody owns them.</t>
        </is>
      </c>
      <c r="N221" s="165" t="inlineStr">
        <is>
          <t>→ Feeds into 'Name how often and for how long', and into 'Agree next steps and who does what' in the feedback session.</t>
        </is>
      </c>
      <c r="O221" s="225" t="inlineStr">
        <is>
          <t>Not started</t>
        </is>
      </c>
      <c r="P221" s="165" t="inlineStr">
        <is>
          <t>WATCH FOR — how your supervisor words the first few words of each recommendation. Many start with the role: 'The class teacher will…', 'The SET will…'. Notice whether parents are given recommendations too, and how those are phrased.</t>
        </is>
      </c>
      <c r="Q221" s="139" t="inlineStr">
        <is>
          <t>Year 1</t>
        </is>
      </c>
      <c r="R221" s="226" t="inlineStr">
        <is>
          <t>26/10/2026</t>
        </is>
      </c>
      <c r="S221" s="226" t="inlineStr">
        <is>
          <t>16/11/2026</t>
        </is>
      </c>
      <c r="T221" s="226" t="inlineStr">
        <is>
          <t>14/12/2026</t>
        </is>
      </c>
      <c r="U221" s="139" t="inlineStr">
        <is>
          <t>Report — recommendations · Appendix 5 · Log sheet tagged 3. Intervention</t>
        </is>
      </c>
    </row>
    <row r="222" outlineLevel="2" ht="120" customHeight="1" s="128">
      <c r="A222" s="139" t="inlineStr">
        <is>
          <t>MICRO-SKILL</t>
        </is>
      </c>
      <c r="B222" s="139" t="inlineStr">
        <is>
          <t>3. Intervention</t>
        </is>
      </c>
      <c r="C222" s="139" t="inlineStr">
        <is>
          <t>Write recommendations naming the Continuum of Support level</t>
        </is>
      </c>
      <c r="D222" s="139" t="inlineStr">
        <is>
          <t>Block 2 · Writing them so they happen</t>
        </is>
      </c>
      <c r="E222" s="223" t="inlineStr">
        <is>
          <t>Name how often and for how long</t>
        </is>
      </c>
      <c r="F222" s="139" t="inlineStr">
        <is>
          <t>CORU SoP 5.34 · PSI Code 2.3.2</t>
        </is>
      </c>
      <c r="G222" s="227" t="inlineStr">
        <is>
          <t>Dose matters: implementation research finds that how much of an intervention is delivered affects outcome (Durlak &amp; DuPre, 2008, American Journal of Community Psychology). 'Regular phonological awareness work' could mean five minutes a fortnight or twenty minutes daily, and the school will pick the version that fits its timetable. CORU SoP 5.34 and PSI Code 2.3.2 are the standards mapped here. Without frequency and duration you also cannot tell at review whether the intervention failed or was never delivered.</t>
        </is>
      </c>
      <c r="H222" s="165" t="inlineStr">
        <is>
          <t>WATCH FOR — whether your supervisor gives frequency (times per week), session length (minutes), and total duration (weeks or until a review date), and where they take the figures from — a programme manual, research, or what the school can manage.
WRITE DOWN — the dosage in each recommendation you see, and any recommendation without one.
ASK AFTERWARDS — 'where did the three times a week for ten weeks come from — the programme, the evidence, or the timetable?'</t>
        </is>
      </c>
      <c r="I222" s="165" t="inlineStr">
        <is>
          <t>YOU TAKE — adding frequency, session length and duration to each draft recommendation, and noting the source for each figure (programme manual, published study, or negotiated with the SET).
THEY HOLD — judgement where the evidence-based dose is more than the school can give, and what compromise is still worth recommending.
WHY THAT SPLIT — finding the stated dose is research you can do. Deciding how far below it an intervention stops being worth doing is a clinical judgement.</t>
        </is>
      </c>
      <c r="J222" s="165" t="inlineStr">
        <is>
          <t>YOU RUN IT — write dosage into every recommendation and explain in supervision where each figure came from.
WHAT THEY ARE WATCHING FOR — invented precision ('15 minutes, four times weekly') with no source, and dosages that add up across recommendations to more SET time than the child could receive.
STEPPING IN LOOKS LIKE — 'add these up for me. How many minutes a week is this child out of class?'</t>
        </is>
      </c>
      <c r="K222" s="207" t="inlineStr">
        <is>
          <t>YOU DO IT ALONE — each recommendation that involves direct work states how often, for how long each time, and for how many weeks.
PASS TEST — Dosage specified
EVIDENCE TO FILE — recommendations section of an anonymised report extract. Log against 3. Intervention.
WHAT FAILURE LOOKS LIKE — at the review the SET says the programme 'didn't work', and it emerges it ran once a week for four weeks when the manual assumes daily sessions.</t>
        </is>
      </c>
      <c r="L222" s="165" t="inlineStr">
        <is>
          <t>YOU CAN TEACH IT — you can explain dosage as frequency × session length × duration, why it matters for fidelity (Durlak &amp; DuPre, 2008), and how to find the intended dose in a programme manual.
WHEN IT GOES WRONG — you can say what to do when a review shows the dose was not delivered: record it as an implementation gap, not an intervention failure, and agree a realistic dose before judging effect.</t>
        </is>
      </c>
      <c r="M222" s="224" t="inlineStr">
        <is>
          <t>Writing 'regular' or 'ongoing' instead of a frequency and a duration.</t>
        </is>
      </c>
      <c r="N222" s="165" t="inlineStr">
        <is>
          <t>→ Feeds into 'State how progress will be measured' and 'Set a review date'.</t>
        </is>
      </c>
      <c r="O222" s="225" t="inlineStr">
        <is>
          <t>Not started</t>
        </is>
      </c>
      <c r="P222" s="165" t="inlineStr">
        <is>
          <t>WATCH FOR — whether your supervisor gives frequency (times per week), session length (minutes), and total duration (weeks or until a review date), and where they take the figures from — a programme manual, research, or what the school can manage.</t>
        </is>
      </c>
      <c r="Q222" s="139" t="inlineStr">
        <is>
          <t>Year 1</t>
        </is>
      </c>
      <c r="R222" s="226" t="inlineStr">
        <is>
          <t>26/10/2026</t>
        </is>
      </c>
      <c r="S222" s="226" t="inlineStr">
        <is>
          <t>16/11/2026</t>
        </is>
      </c>
      <c r="T222" s="226" t="inlineStr">
        <is>
          <t>14/12/2026</t>
        </is>
      </c>
      <c r="U222" s="139" t="inlineStr">
        <is>
          <t>Report — recommendations · Appendix 5 · Log sheet tagged 3. Intervention</t>
        </is>
      </c>
    </row>
    <row r="223" outlineLevel="2" ht="120" customHeight="1" s="128">
      <c r="A223" s="139" t="inlineStr">
        <is>
          <t>MICRO-SKILL</t>
        </is>
      </c>
      <c r="B223" s="139" t="inlineStr">
        <is>
          <t>3. Intervention</t>
        </is>
      </c>
      <c r="C223" s="139" t="inlineStr">
        <is>
          <t>Write recommendations naming the Continuum of Support level</t>
        </is>
      </c>
      <c r="D223" s="139" t="inlineStr">
        <is>
          <t>Block 2 · Writing them so they happen</t>
        </is>
      </c>
      <c r="E223" s="223" t="inlineStr">
        <is>
          <t>Limit the number so they can be acted on</t>
        </is>
      </c>
      <c r="F223" s="139" t="inlineStr">
        <is>
          <t>CORU SoP 5.34</t>
        </is>
      </c>
      <c r="G223" s="227" t="inlineStr">
        <is>
          <t>A class teacher with 28 children cannot act on fifteen recommendations, so she picks the easiest two, which may not be the most important. The Reference sheet's rule is that five actionable recommendations beat fifteen aspirational ones, sequenced with a small number first. CORU SoP 5.34 is the standard mapped here. Prioritising is also a test of your formulation: if you cannot say which recommendation matters most, you have not yet decided what is driving the difficulty.</t>
        </is>
      </c>
      <c r="H223" s="165" t="inlineStr">
        <is>
          <t>WATCH FOR — how many recommendations your supervisor typically writes, whether they number or group them, and whether they mark any as 'first' or 'priority'.
WRITE DOWN — the count per report, and how they handle the extra ideas that did not make the list — an appendix of strategies, a handout, or nothing.
ASK AFTERWARDS — 'how do you decide what to leave out when everything in the list would help?'</t>
        </is>
      </c>
      <c r="I223" s="165" t="inlineStr">
        <is>
          <t>YOU TAKE — drafting the full list of possible recommendations, then ranking them by how directly each addresses the formulation and how feasible each is.
THEY HOLD — the cut: which five survive, and whether the rest go in a strategy appendix or are dropped.
WHY THAT SPLIT — generating and ranking is your formulation work made visible. Cutting well needs a sense of what a school actually does with a long list, which comes from seeing reviews.</t>
        </is>
      </c>
      <c r="J223" s="165" t="inlineStr">
        <is>
          <t>YOU RUN IT — bring no more than five to seven recommendations to supervision, each linked to a named part of the formulation, with the first two marked as priorities.
WHAT THEY ARE WATCHING FOR — a long list kept because each item felt worth including, and generic strategies that are not linked to this child's formulation.
STEPPING IN LOOKS LIKE — 'if the teacher only did one of these, which one would you want it to be — and why is it number four?'</t>
        </is>
      </c>
      <c r="K223" s="207" t="inlineStr">
        <is>
          <t>YOU DO IT ALONE — write a recommendations section that is short, prioritised and sequenced, with any additional strategies moved to an appendix or handout.
PASS TEST — Five that happen beat fifteen that do not
EVIDENCE TO FILE — recommendations section of an anonymised report extract. Log against 3. Intervention.
WHAT FAILURE LOOKS LIKE — two pages of recommendations; at review the teacher has done three, none of them the ones that addressed the core difficulty.</t>
        </is>
      </c>
      <c r="L223" s="165" t="inlineStr">
        <is>
          <t>YOU CAN TEACH IT — you can explain why fewer recommendations are implemented more, how to link each one to the formulation, and how to use an appendix for everything that is useful but not essential.
WHEN IT GOES WRONG — you can say what to do when a school or parent asks for 'everything that might help': give the prioritised list, add the strategy bank separately, and say plainly which items come first.</t>
        </is>
      </c>
      <c r="M223" s="224" t="inlineStr">
        <is>
          <t>A long, unprioritised list, so the school chooses the easiest items rather than the important ones.</t>
        </is>
      </c>
      <c r="N223" s="165" t="inlineStr">
        <is>
          <t>→ Feeds into 'State how progress will be measured', and into Formulation — linking each recommendation to a hypothesis.</t>
        </is>
      </c>
      <c r="O223" s="225" t="inlineStr">
        <is>
          <t>Not started</t>
        </is>
      </c>
      <c r="P223" s="165" t="inlineStr">
        <is>
          <t>WATCH FOR — how many recommendations your supervisor typically writes, whether they number or group them, and whether they mark any as 'first' or 'priority'.</t>
        </is>
      </c>
      <c r="Q223" s="139" t="inlineStr">
        <is>
          <t>Year 1</t>
        </is>
      </c>
      <c r="R223" s="226" t="inlineStr">
        <is>
          <t>26/10/2026</t>
        </is>
      </c>
      <c r="S223" s="226" t="inlineStr">
        <is>
          <t>16/11/2026</t>
        </is>
      </c>
      <c r="T223" s="226" t="inlineStr">
        <is>
          <t>14/12/2026</t>
        </is>
      </c>
      <c r="U223" s="139" t="inlineStr">
        <is>
          <t>Report — recommendations · Appendix 5 · Log sheet tagged 3. Intervention</t>
        </is>
      </c>
    </row>
    <row r="224" outlineLevel="2" ht="43.5" customHeight="1" s="128">
      <c r="A224" s="220" t="inlineStr">
        <is>
          <t>BLOCK</t>
        </is>
      </c>
      <c r="B224" s="220" t="inlineStr">
        <is>
          <t>3. Intervention</t>
        </is>
      </c>
      <c r="C224" s="220" t="inlineStr">
        <is>
          <t>Write recommendations naming the Continuum of Support level</t>
        </is>
      </c>
      <c r="D224" s="221" t="inlineStr">
        <is>
          <t>Block 3 · Building in evaluation</t>
        </is>
      </c>
      <c r="E224" s="222" t="inlineStr">
        <is>
          <t>A measure, a measurer and a date on every substantial recommendation.</t>
        </is>
      </c>
      <c r="F224" s="220" t="inlineStr">
        <is>
          <t>5 minutes per report · Weeks 7–12</t>
        </is>
      </c>
      <c r="G224" s="220" t="n"/>
      <c r="H224" s="220" t="n"/>
      <c r="I224" s="220" t="n"/>
      <c r="J224" s="220" t="n"/>
      <c r="K224" s="220" t="n"/>
      <c r="L224" s="220" t="n"/>
      <c r="M224" s="222" t="n"/>
      <c r="N224" s="220" t="n"/>
      <c r="O224" s="220" t="n"/>
      <c r="P224" s="220" t="inlineStr">
        <is>
          <t>How you build it: One sentence per recommendation. Non-negotiable.</t>
        </is>
      </c>
      <c r="Q224" s="220" t="n"/>
      <c r="R224" s="220" t="n"/>
      <c r="S224" s="220" t="n"/>
      <c r="T224" s="220" t="n"/>
      <c r="U224" s="220" t="n"/>
    </row>
    <row r="225" outlineLevel="2" ht="120" customHeight="1" s="128">
      <c r="A225" s="139" t="inlineStr">
        <is>
          <t>MICRO-SKILL</t>
        </is>
      </c>
      <c r="B225" s="139" t="inlineStr">
        <is>
          <t>3. Intervention</t>
        </is>
      </c>
      <c r="C225" s="139" t="inlineStr">
        <is>
          <t>Write recommendations naming the Continuum of Support level</t>
        </is>
      </c>
      <c r="D225" s="139" t="inlineStr">
        <is>
          <t>Block 3 · Building in evaluation</t>
        </is>
      </c>
      <c r="E225" s="223" t="inlineStr">
        <is>
          <t>State how progress will be measured</t>
        </is>
      </c>
      <c r="F225" s="139" t="inlineStr">
        <is>
          <t>CORU SoP 3.8 · PSI Code 3.1.2</t>
        </is>
      </c>
      <c r="G225" s="227" t="inlineStr">
        <is>
          <t>A recommendation with no measure cannot be evaluated, so it continues or stops on impression. CORU SoP 3.8 and PSI Code 3.1.2 are the standards mapped here, and the Reference sheet names the evaluation line as the element most often omitted in trainee reports. The NEPS Continuum expects support plans at School Support and School Support Plus to include targets and review (NEPS Continuum guidelines — read the source for the exact wording). A measure with no named person to take it is not taken.</t>
        </is>
      </c>
      <c r="H225" s="165" t="inlineStr">
        <is>
          <t>WATCH FOR — the measures your supervisor names: a curriculum-based probe, a re-administered subtest, a frequency count, a teacher rating, the child's own scaling. Notice who they name to collect it and when.
WRITE DOWN — for each recommendation, the measure and the measurer, and any that have neither.
ASK AFTERWARDS — 'how do you choose a measure the teacher will actually take, rather than the one you would ideally want?'</t>
        </is>
      </c>
      <c r="I225" s="165" t="inlineStr">
        <is>
          <t>YOU TAKE — proposing a baseline and a measure for each recommendation, chosen from what the school already collects where possible (for example standardised test results, reading records, attendance).
THEY HOLD — whether the measure is sensitive enough to show change in the time available, and whether it is fair to ask the school to collect it.
WHY THAT SPLIT — matching a measure to a target is a skill you can practise. Knowing which measures actually move over one term comes from seeing many reviews.</t>
        </is>
      </c>
      <c r="J225" s="165" t="inlineStr">
        <is>
          <t>YOU RUN IT — write the measure and the measurer into each recommendation and check with the SET that it is realistic.
WHAT THEY ARE WATCHING FOR — a full standardised retest proposed after six weeks (too insensitive, and possibly practice effects — check the test manual for retest interval), and 'teacher observation' with no defined behaviour.
STEPPING IN LOOKS LIKE — 'what number will the SET write down in March, and what number would tell us it worked?'</t>
        </is>
      </c>
      <c r="K225" s="207" t="inlineStr">
        <is>
          <t>YOU DO IT ALONE — each recommendation states the baseline where known, the measure, who takes it, and when.
PASS TEST — A measure and a measurer named
EVIDENCE TO FILE — recommendations section of an anonymised report extract, and the agreed measures on the Student Support File where you contributed. Log against 3. Intervention.
WHAT FAILURE LOOKS LIKE — at review everyone agrees the child 'seems more settled', nobody has data, and the support is withdrawn or continued on opinion.</t>
        </is>
      </c>
      <c r="L225" s="165" t="inlineStr">
        <is>
          <t>YOU CAN TEACH IT — you can explain the difference between an outcome measure and an implementation check, how to choose one sensitive enough for a term, and why naming the measurer matters as much as naming the measure.
WHEN IT GOES WRONG — you can say what to do when the measure was not collected: agree a simpler one at review, take a baseline then, and set a new date rather than judging the intervention on nothing.</t>
        </is>
      </c>
      <c r="M225" s="224" t="inlineStr">
        <is>
          <t>Recommending an intervention with no measure and no named person to collect it.</t>
        </is>
      </c>
      <c r="N225" s="165" t="inlineStr">
        <is>
          <t>→ Feeds into 'Set a review date', and into evaluation of intervention outcomes.</t>
        </is>
      </c>
      <c r="O225" s="225" t="inlineStr">
        <is>
          <t>Not started</t>
        </is>
      </c>
      <c r="P225" s="165" t="inlineStr">
        <is>
          <t>WATCH FOR — the measures your supervisor names: a curriculum-based probe, a re-administered subtest, a frequency count, a teacher rating, the child's own scaling. Notice who they name to collect it and when.</t>
        </is>
      </c>
      <c r="Q225" s="139" t="inlineStr">
        <is>
          <t>Year 1</t>
        </is>
      </c>
      <c r="R225" s="226" t="inlineStr">
        <is>
          <t>26/10/2026</t>
        </is>
      </c>
      <c r="S225" s="226" t="inlineStr">
        <is>
          <t>16/11/2026</t>
        </is>
      </c>
      <c r="T225" s="226" t="inlineStr">
        <is>
          <t>14/12/2026</t>
        </is>
      </c>
      <c r="U225" s="139" t="inlineStr">
        <is>
          <t>Report — recommendations · Student Support File contribution · Appendix 5 · Log sheet tagged 3. Intervention</t>
        </is>
      </c>
    </row>
    <row r="226" outlineLevel="2" ht="120" customHeight="1" s="128">
      <c r="A226" s="139" t="inlineStr">
        <is>
          <t>MICRO-SKILL</t>
        </is>
      </c>
      <c r="B226" s="139" t="inlineStr">
        <is>
          <t>3. Intervention</t>
        </is>
      </c>
      <c r="C226" s="139" t="inlineStr">
        <is>
          <t>Write recommendations naming the Continuum of Support level</t>
        </is>
      </c>
      <c r="D226" s="139" t="inlineStr">
        <is>
          <t>Block 3 · Building in evaluation</t>
        </is>
      </c>
      <c r="E226" s="223" t="inlineStr">
        <is>
          <t>Set a review date</t>
        </is>
      </c>
      <c r="F226" s="139" t="inlineStr">
        <is>
          <t>PSI Code 2.3.2</t>
        </is>
      </c>
      <c r="G226" s="227" t="inlineStr">
        <is>
          <t>Without a date, review happens when someone remembers, which is usually at the next crisis. The Continuum of Support is described by NEPS as a problem-solving cycle of assessment, planning, intervention and review (NEPS Continuum guidelines — read the source for how review is framed at each level). PSI Code 2.3.2 is the standard mapped here. A dated review also protects the child from an intervention continuing for a year after it has stopped working.</t>
        </is>
      </c>
      <c r="H226" s="165" t="inlineStr">
        <is>
          <t>WATCH FOR — whether your supervisor writes an actual date or a term ('end of Term 2'), who they expect to convene the review, and whether they plan to attend.
WRITE DOWN — the review points in their reports, and whether they line up with the school's own Student Support File review cycle.
ASK AFTERWARDS — 'when you set a review for a school you might not be back in, who makes sure it happens?'</t>
        </is>
      </c>
      <c r="I226" s="165" t="inlineStr">
        <is>
          <t>YOU TAKE — proposing a review date for each case, checked against the school calendar (mid-term breaks, Christmas, exam periods at post-primary), and naming who convenes it.
THEY HOLD — whether the EP attends the review or the school runs it alone, which depends on service time allocation to the school.
WHY THAT SPLIT — picking a workable date is practical and yours. Committing service time to a review is a caseload decision your supervisor makes.</t>
        </is>
      </c>
      <c r="J226" s="165" t="inlineStr">
        <is>
          <t>YOU RUN IT — write the review date into the report and the feedback record, and put it in your own diary if you are attending.
WHAT THEY ARE WATCHING FOR — a date too soon for the dose to have had effect, or one that falls after your placement ends with no handover. Cavan runs 05/10/2026–18/12/2026, so a February review needs a named person in the service.
STEPPING IN LOOKS LIKE — 'you'll be gone by then. Who in the school, and who here, will know this review is due?'</t>
        </is>
      </c>
      <c r="K226" s="207" t="inlineStr">
        <is>
          <t>YOU DO IT ALONE — every report and consultation record you write ends with a review date in DD/MM/YYYY and the role responsible for convening it.
PASS TEST — There is a date
EVIDENCE TO FILE — report and consultation record, anonymised extract. Log against 3. Intervention.
WHAT FAILURE LOOKS LIKE — 'to be reviewed in due course', and the next time the child is discussed is a re-referral eighteen months later.</t>
        </is>
      </c>
      <c r="L226" s="165" t="inlineStr">
        <is>
          <t>YOU CAN TEACH IT — you can explain how review fits the Continuum's cycle, how to choose a date that allows the dose to work, and how to hand review over when your placement ends.
WHEN IT GOES WRONG — you can say what to do when a review date passes unheld: contact the school, reset a date, and record in the case file that the original review did not happen.</t>
        </is>
      </c>
      <c r="M226" s="224" t="inlineStr">
        <is>
          <t>'To be reviewed' with no date and no one responsible for convening it.</t>
        </is>
      </c>
      <c r="N226" s="165" t="inlineStr">
        <is>
          <t>→ Feeds into 'Agree actions with a review point' in consultation, and into the Student Support File review cycle.</t>
        </is>
      </c>
      <c r="O226" s="225" t="inlineStr">
        <is>
          <t>Not started</t>
        </is>
      </c>
      <c r="P226" s="165" t="inlineStr">
        <is>
          <t>WATCH FOR — whether your supervisor writes an actual date or a term ('end of Term 2'), who they expect to convene the review, and whether they plan to attend.</t>
        </is>
      </c>
      <c r="Q226" s="139" t="inlineStr">
        <is>
          <t>Year 1</t>
        </is>
      </c>
      <c r="R226" s="226" t="inlineStr">
        <is>
          <t>26/10/2026</t>
        </is>
      </c>
      <c r="S226" s="226" t="inlineStr">
        <is>
          <t>16/11/2026</t>
        </is>
      </c>
      <c r="T226" s="226" t="inlineStr">
        <is>
          <t>14/12/2026</t>
        </is>
      </c>
      <c r="U226" s="139" t="inlineStr">
        <is>
          <t>Report — recommendations · consultation record · Appendix 5 · Log sheet tagged 3. Intervention</t>
        </is>
      </c>
    </row>
    <row r="227" outlineLevel="2" ht="120" customHeight="1" s="128">
      <c r="A227" s="139" t="inlineStr">
        <is>
          <t>MICRO-SKILL</t>
        </is>
      </c>
      <c r="B227" s="139" t="inlineStr">
        <is>
          <t>3. Intervention</t>
        </is>
      </c>
      <c r="C227" s="139" t="inlineStr">
        <is>
          <t>Write recommendations naming the Continuum of Support level</t>
        </is>
      </c>
      <c r="D227" s="139" t="inlineStr">
        <is>
          <t>Block 3 · Building in evaluation</t>
        </is>
      </c>
      <c r="E227" s="223" t="inlineStr">
        <is>
          <t>Build at least one on a strength</t>
        </is>
      </c>
      <c r="F227" s="139" t="inlineStr">
        <is>
          <t>CORU SoP 1.3</t>
        </is>
      </c>
      <c r="G227" s="227" t="inlineStr">
        <is>
          <t>Recommendations that only compensate for deficit tell the child, the family and the school that the child is a list of problems. CORU SoP 1.3 is the standard mapped here. Strength-based assessment argues that strengths are also leverage for intervention (Buckley &amp; Epstein, 2004, California School Psychologist). A child who is a confident talker but a weak reader may learn more through oral rehearsal before writing than through more of the reading she already avoids.</t>
        </is>
      </c>
      <c r="H227" s="165" t="inlineStr">
        <is>
          <t>WATCH FOR — whether your supervisor's recommendations use any strength found in the assessment, and how — as a route into the difficulty, as a role in class, or as a source of confidence.
WRITE DOWN — the strengths named in the findings of their reports, and which of them reappear in the recommendations.
ASK AFTERWARDS — 'how do you turn a strength into a recommendation rather than a nice sentence in the summary?'</t>
        </is>
      </c>
      <c r="I227" s="165" t="inlineStr">
        <is>
          <t>YOU TAKE — listing the child's strengths from all sources (parent, teacher, child, testing) and drafting one recommendation that uses a strength as the means of intervention.
THEY HOLD — whether the strength is robust enough to build on, or a single observation that should not carry a recommendation.
WHY THAT SPLIT — finding strengths is part of your assessment. Judging whether one is reliable enough to lean on needs experience of how often apparent strengths hold up.</t>
        </is>
      </c>
      <c r="J227" s="165" t="inlineStr">
        <is>
          <t>YOU RUN IT — bring your recommendations to supervision with at least one explicitly built on a named strength, and say which evidence shows that strength.
WHAT THEY ARE WATCHING FOR — a strength that is generic ('she is a lovely girl') or used only as praise, rather than as the means of intervention.
STEPPING IN LOOKS LIKE — 'you say he's good at drawing. How could that be how he plans a story, rather than a reward after it?'</t>
        </is>
      </c>
      <c r="K227" s="207" t="inlineStr">
        <is>
          <t>YOU DO IT ALONE — at least one recommendation in each report uses a specific, evidenced strength as the route to change.
PASS TEST — Not only compensation for deficit
EVIDENCE TO FILE — the strength-based recommendation in an anonymised report extract. Log against 3. Intervention.
WHAT FAILURE LOOKS LIKE — a strengths paragraph in the findings that is never used again, and ten recommendations that each describe something the child cannot do.</t>
        </is>
      </c>
      <c r="L227" s="165" t="inlineStr">
        <is>
          <t>YOU CAN TEACH IT — you can explain the difference between naming a strength and building on it, cite the strength-based assessment literature, and give two examples of strengths used as intervention routes.
WHEN IT GOES WRONG — you can say what to do when the assessment found few strengths: go back to the parent and child, ask what they enjoy and are proud of, and treat the gap as a gap in your assessment.</t>
        </is>
      </c>
      <c r="M227" s="224" t="inlineStr">
        <is>
          <t>A strengths section in the findings that never reaches the recommendations.</t>
        </is>
      </c>
      <c r="N227" s="165" t="inlineStr">
        <is>
          <t>→ Feeds into 'Name strengths specifically rather than as preamble' in feedback, and into Formulation — protective factors.</t>
        </is>
      </c>
      <c r="O227" s="225" t="inlineStr">
        <is>
          <t>Not started</t>
        </is>
      </c>
      <c r="P227" s="165" t="inlineStr">
        <is>
          <t>WATCH FOR — whether your supervisor's recommendations use any strength found in the assessment, and how — as a route into the difficulty, as a role in class, or as a source of confidence.</t>
        </is>
      </c>
      <c r="Q227" s="139" t="inlineStr">
        <is>
          <t>Year 1</t>
        </is>
      </c>
      <c r="R227" s="226" t="inlineStr">
        <is>
          <t>26/10/2026</t>
        </is>
      </c>
      <c r="S227" s="226" t="inlineStr">
        <is>
          <t>16/11/2026</t>
        </is>
      </c>
      <c r="T227" s="226" t="inlineStr">
        <is>
          <t>14/12/2026</t>
        </is>
      </c>
      <c r="U227" s="139" t="inlineStr">
        <is>
          <t>Report — recommendations · Appendix 5 · Log sheet tagged 3. Intervention</t>
        </is>
      </c>
    </row>
    <row r="228" outlineLevel="2" ht="19.5" customHeight="1" s="128">
      <c r="A228" s="219" t="inlineStr">
        <is>
          <t>MACRO SKILL</t>
        </is>
      </c>
      <c r="B228" s="219" t="inlineStr">
        <is>
          <t>3. Intervention</t>
        </is>
      </c>
      <c r="C228" s="219" t="inlineStr">
        <is>
          <t>Observe and deliver parental feedback sessions</t>
        </is>
      </c>
      <c r="D228" s="219" t="n"/>
      <c r="E228" s="219" t="inlineStr">
        <is>
          <t>3 blocks · 10 micro-skills</t>
        </is>
      </c>
      <c r="F228" s="219" t="inlineStr">
        <is>
          <t>CORU 2.1 · 5.27 · 2.14</t>
        </is>
      </c>
      <c r="G228" s="219" t="n"/>
      <c r="H228" s="219" t="n"/>
      <c r="I228" s="219" t="n"/>
      <c r="J228" s="219" t="n"/>
      <c r="K228" s="219" t="n"/>
      <c r="L228" s="219" t="n"/>
      <c r="M228" s="219" t="n"/>
      <c r="N228" s="219" t="n"/>
      <c r="O228" s="219" t="n"/>
      <c r="P228" s="219" t="n"/>
      <c r="Q228" s="219" t="inlineStr">
        <is>
          <t>Year 1</t>
        </is>
      </c>
      <c r="R228" s="219" t="n"/>
      <c r="S228" s="219" t="n"/>
      <c r="T228" s="219" t="n"/>
      <c r="U228" s="219" t="n"/>
    </row>
    <row r="229" outlineLevel="2" ht="43.5" customHeight="1" s="128">
      <c r="A229" s="220" t="inlineStr">
        <is>
          <t>BLOCK</t>
        </is>
      </c>
      <c r="B229" s="220" t="inlineStr">
        <is>
          <t>3. Intervention</t>
        </is>
      </c>
      <c r="C229" s="220" t="inlineStr">
        <is>
          <t>Observe and deliver parental feedback sessions</t>
        </is>
      </c>
      <c r="D229" s="221" t="inlineStr">
        <is>
          <t>Block 1 · Structuring the session</t>
        </is>
      </c>
      <c r="E229" s="222" t="inlineStr">
        <is>
          <t>The order — opening, overall picture, detail, strengths, recommendations, next steps.</t>
        </is>
      </c>
      <c r="F229" s="220" t="inlineStr">
        <is>
          <t>3 hours plus observation · Weeks 3–6</t>
        </is>
      </c>
      <c r="G229" s="220" t="n"/>
      <c r="H229" s="220" t="n"/>
      <c r="I229" s="220" t="n"/>
      <c r="J229" s="220" t="n"/>
      <c r="K229" s="220" t="n"/>
      <c r="L229" s="220" t="n"/>
      <c r="M229" s="222" t="n"/>
      <c r="N229" s="220" t="n"/>
      <c r="O229" s="220" t="n"/>
      <c r="P229" s="220" t="inlineStr">
        <is>
          <t>How you build it: Observe two of your supervisor's. Write down their order. Use it.</t>
        </is>
      </c>
      <c r="Q229" s="220" t="n"/>
      <c r="R229" s="220" t="n"/>
      <c r="S229" s="220" t="n"/>
      <c r="T229" s="220" t="n"/>
      <c r="U229" s="220" t="n"/>
    </row>
    <row r="230" outlineLevel="2" ht="120" customHeight="1" s="128">
      <c r="A230" s="139" t="inlineStr">
        <is>
          <t>MICRO-SKILL</t>
        </is>
      </c>
      <c r="B230" s="139" t="inlineStr">
        <is>
          <t>3. Intervention</t>
        </is>
      </c>
      <c r="C230" s="139" t="inlineStr">
        <is>
          <t>Observe and deliver parental feedback sessions</t>
        </is>
      </c>
      <c r="D230" s="139" t="inlineStr">
        <is>
          <t>Block 1 · Structuring the session</t>
        </is>
      </c>
      <c r="E230" s="223" t="inlineStr">
        <is>
          <t>Plan the first three sentences</t>
        </is>
      </c>
      <c r="F230" s="139" t="inlineStr">
        <is>
          <t>CORU SoP 2.1</t>
        </is>
      </c>
      <c r="G230" s="227" t="inlineStr">
        <is>
          <t>The opening sets whether a parent can listen for the rest of the session. Parents often arrive braced for a verdict, and until they know the headline they may hear little else (Reference sheet, 'Structuring the session'). CORU SoP 2.1 is the standard mapped here. An improvised opening drifts into test descriptions and pleasantries, and the parent spends ten minutes waiting for the point.</t>
        </is>
      </c>
      <c r="H230" s="165" t="inlineStr">
        <is>
          <t>WATCH FOR — your supervisor's exact first three sentences in a feedback session: the welcome, the check on what the parent already knows and wants, and the sign-post of what the session will cover.
WRITE DOWN — those sentences as close to verbatim as you can, straight after, and how the parent's posture changed once the plan was clear.
ASK AFTERWARDS — 'do you script your opening, and does it change when you know the news is hard?'</t>
        </is>
      </c>
      <c r="I230" s="165" t="inlineStr">
        <is>
          <t>YOU TAKE — writing the first three sentences for a supervised feedback session and saying them aloud in supervision beforehand.
THEY HOLD — the session itself, and the decision to adapt the opening if the parent arrives upset, late or with someone unexpected.
WHY THAT SPLIT — the script is preparation you can own. Changing course when the room is not what you planned needs the confidence of someone who has done many sessions.</t>
        </is>
      </c>
      <c r="J230" s="165" t="inlineStr">
        <is>
          <t>YOU RUN IT — open the session yourself, with your supervisor present, using your planned three sentences, then hand to the structure you agreed.
WHAT THEY ARE WATCHING FOR — an opening that is all warm-up and no sign-post, or that jumps to test names before asking what the parent wants from today.
STEPPING IN LOOKS LIKE — 'before we go on — can I check what you were hoping we'd get to today?'</t>
        </is>
      </c>
      <c r="K230" s="207" t="inlineStr">
        <is>
          <t>YOU DO IT ALONE — before every feedback session, write and rehearse the first three sentences: welcome, check what they know and want, say what the session will cover and roughly how long.
PASS TEST — You knew how you would open
EVIDENCE TO FILE — your session plan (no identifying details) and a reflective note. Log against 3. Intervention.
WHAT FAILURE LOOKS LIKE — five minutes about the weather and the test battery, and a parent who interrupts with 'so is it dyslexia or not?'</t>
        </is>
      </c>
      <c r="L230" s="165" t="inlineStr">
        <is>
          <t>YOU CAN TEACH IT — you can explain why the opening matters, what the three sentences need to do, and how to adapt them when the parent arrives angry, tearful or with a question already.
WHEN IT GOES WRONG — you can say what to do when the opening falls flat: pause, name it ('I've started with a lot — can I check what matters most to you today?'), and restart from their answer.</t>
        </is>
      </c>
      <c r="M230" s="224" t="inlineStr">
        <is>
          <t>Improvising the opening, so the parent waits through preamble for the point.</t>
        </is>
      </c>
      <c r="N230" s="165" t="inlineStr">
        <is>
          <t>→ Feeds into 'Ask what the parent hopes to hear before starting' and 'Give the overall picture before the detail'.</t>
        </is>
      </c>
      <c r="O230" s="225" t="inlineStr">
        <is>
          <t>Not started</t>
        </is>
      </c>
      <c r="P230" s="165" t="inlineStr">
        <is>
          <t>WATCH FOR — your supervisor's exact first three sentences in a feedback session: the welcome, the check on what the parent already knows and wants, and the sign-post of what the session will cover.</t>
        </is>
      </c>
      <c r="Q230" s="139" t="inlineStr">
        <is>
          <t>Year 1</t>
        </is>
      </c>
      <c r="R230" s="226" t="inlineStr">
        <is>
          <t>26/10/2026</t>
        </is>
      </c>
      <c r="S230" s="226" t="inlineStr">
        <is>
          <t>16/11/2026</t>
        </is>
      </c>
      <c r="T230" s="226" t="inlineStr">
        <is>
          <t>14/12/2026</t>
        </is>
      </c>
      <c r="U230" s="139" t="inlineStr">
        <is>
          <t>Session plan · reflective note · Appendix 5 · Log sheet tagged 3. Intervention</t>
        </is>
      </c>
    </row>
    <row r="231" outlineLevel="2" ht="120" customHeight="1" s="128">
      <c r="A231" s="139" t="inlineStr">
        <is>
          <t>MICRO-SKILL</t>
        </is>
      </c>
      <c r="B231" s="139" t="inlineStr">
        <is>
          <t>3. Intervention</t>
        </is>
      </c>
      <c r="C231" s="139" t="inlineStr">
        <is>
          <t>Observe and deliver parental feedback sessions</t>
        </is>
      </c>
      <c r="D231" s="139" t="inlineStr">
        <is>
          <t>Block 1 · Structuring the session</t>
        </is>
      </c>
      <c r="E231" s="223" t="inlineStr">
        <is>
          <t>Give the overall picture before the detail</t>
        </is>
      </c>
      <c r="F231" s="139" t="inlineStr">
        <is>
          <t>CORU SoP 5.27</t>
        </is>
      </c>
      <c r="G231" s="227" t="inlineStr">
        <is>
          <t>Parents sit through explanation waiting for the verdict and hear none of it (Reference sheet, 'Structuring the session'). The same principle — say the headline, then explain — appears in breaking-news protocols in medicine, for example SPIKES (Baile et al., 2000, The Oncologist). CORU SoP 5.27 is the standard mapped here: communication suited to the audience. Leading with scores puts a number between the parent and their child.</t>
        </is>
      </c>
      <c r="H231" s="165" t="inlineStr">
        <is>
          <t>WATCH FOR — when your supervisor gives the headline: which minute of the session, in what words, and whether any number is mentioned before it.
WRITE DOWN — the headline sentence verbatim, and the order in which detail followed — findings, what it means day to day, recommendations.
ASK AFTERWARDS — 'how do you boil a twelve-page report into one sentence a parent can repeat at home?'</t>
        </is>
      </c>
      <c r="I231" s="165" t="inlineStr">
        <is>
          <t>YOU TAKE — drafting the one- or two-sentence headline for a supervised case and the order of the detail beneath it.
THEY HOLD — delivery of the headline in the session, particularly where it names a diagnosis or a significant difficulty.
WHY THAT SPLIT — distilling the formulation into a sentence tests your understanding and is safe to practise. Delivering significant news for the first time is the moment your supervisor should hold until you have watched it done.</t>
        </is>
      </c>
      <c r="J231" s="165" t="inlineStr">
        <is>
          <t>YOU RUN IT — deliver the headline yourself within the first few minutes, in plain words, then walk through the supporting detail.
WHAT THEY ARE WATCHING FOR — a percentile or standard score in the first sentence, and a headline so hedged the parent cannot tell what you found.
STEPPING IN LOOKS LIKE — 'so, in a sentence, what we found is that…' — finishing the headline for you.</t>
        </is>
      </c>
      <c r="K231" s="207" t="inlineStr">
        <is>
          <t>YOU DO IT ALONE — state the overall picture in plain language near the start, before any scores, then give the detail in the order you planned.
PASS TEST — You did not lead with scores
EVIDENCE TO FILE — session plan with headline, and a reflective note. Log against 3. Intervention.
WHAT FAILURE LOOKS LIKE — twenty minutes of subtest results, then the parent asks 'but what does this mean?' and there is no time left to answer.</t>
        </is>
      </c>
      <c r="L231" s="165" t="inlineStr">
        <is>
          <t>YOU CAN TEACH IT — you can explain why headline-first works, how to write one sentence that is honest and not alarming, and how to translate a percentile into a comparison with other children or with classroom demand.
WHEN IT GOES WRONG — you can say what to do when you realise mid-session you have buried the headline: stop, say 'let me give you the main point', and state it before continuing.</t>
        </is>
      </c>
      <c r="M231" s="224" t="inlineStr">
        <is>
          <t>Leading with test scores so the parent never hears the overall picture.</t>
        </is>
      </c>
      <c r="N231" s="165" t="inlineStr">
        <is>
          <t>→ Feeds into 'Avoid jargon and check understanding repeatedly' and 'Deliver difficult information clearly'.</t>
        </is>
      </c>
      <c r="O231" s="225" t="inlineStr">
        <is>
          <t>Not started</t>
        </is>
      </c>
      <c r="P231" s="165" t="inlineStr">
        <is>
          <t>WATCH FOR — when your supervisor gives the headline: which minute of the session, in what words, and whether any number is mentioned before it.</t>
        </is>
      </c>
      <c r="Q231" s="139" t="inlineStr">
        <is>
          <t>Year 1</t>
        </is>
      </c>
      <c r="R231" s="226" t="inlineStr">
        <is>
          <t>26/10/2026</t>
        </is>
      </c>
      <c r="S231" s="226" t="inlineStr">
        <is>
          <t>16/11/2026</t>
        </is>
      </c>
      <c r="T231" s="226" t="inlineStr">
        <is>
          <t>14/12/2026</t>
        </is>
      </c>
      <c r="U231" s="139" t="inlineStr">
        <is>
          <t>Session plan · reflective note · Appendix 5 · Log sheet tagged 3. Intervention</t>
        </is>
      </c>
    </row>
    <row r="232" outlineLevel="2" ht="120" customHeight="1" s="128">
      <c r="A232" s="139" t="inlineStr">
        <is>
          <t>MICRO-SKILL</t>
        </is>
      </c>
      <c r="B232" s="139" t="inlineStr">
        <is>
          <t>3. Intervention</t>
        </is>
      </c>
      <c r="C232" s="139" t="inlineStr">
        <is>
          <t>Observe and deliver parental feedback sessions</t>
        </is>
      </c>
      <c r="D232" s="139" t="inlineStr">
        <is>
          <t>Block 1 · Structuring the session</t>
        </is>
      </c>
      <c r="E232" s="223" t="inlineStr">
        <is>
          <t>Agree next steps and who does what</t>
        </is>
      </c>
      <c r="F232" s="139" t="inlineStr">
        <is>
          <t>CORU SoP 2.16</t>
        </is>
      </c>
      <c r="G232" s="227" t="inlineStr">
        <is>
          <t>A feedback session that ends in understanding but no action is a conversation, not an intervention. CORU SoP 2.16 is the standard mapped here. Parents often leave feedback meetings with a report and no idea what happens next — who will contact them, when the school plan starts, whether they need to do anything. Agreeing actions in the room is also where you learn which recommendations the family will actually take up.</t>
        </is>
      </c>
      <c r="H232" s="165" t="inlineStr">
        <is>
          <t>WATCH FOR — how your supervisor closes: whether they summarise actions aloud, name who does each, give dates, and check the parent agrees.
WRITE DOWN — the actions agreed, the person or role holding each, and whether anything was written down for the parent to take away.
ASK AFTERWARDS — 'what do you do when a parent agrees to everything in the room and you suspect none of it will happen?'</t>
        </is>
      </c>
      <c r="I232" s="165" t="inlineStr">
        <is>
          <t>YOU TAKE — writing the action summary during the session and reading it back at the end, with roles and dates.
THEY HOLD — negotiation where parent and school disagree about who should do something, or where the parent wants a referral the service cannot make.
WHY THAT SPLIT — summarising is a skill you can practise safely and is useful to your supervisor. Negotiating between parent and school expectations draws on authority you do not yet hold.</t>
        </is>
      </c>
      <c r="J232" s="165" t="inlineStr">
        <is>
          <t>YOU RUN IT — close the session yourself: summarise the agreed actions, name who holds each, check the parent agrees, and say when the written report will arrive.
WHAT THEY ARE WATCHING FOR — every action falling to the school with none for home, or a list of actions with no dates.
STEPPING IN LOOKS LIKE — 'and from your side at home — is there one thing from today you'd like to try?'</t>
        </is>
      </c>
      <c r="K232" s="207" t="inlineStr">
        <is>
          <t>YOU DO IT ALONE — end each feedback session with actions agreed aloud, each assigned to a person or role, and confirmed in writing afterwards.
PASS TEST — Someone left with an action
EVIDENCE TO FILE — the post-session note or letter, anonymised. Log against 3. Intervention.
WHAT FAILURE LOOKS LIKE — a parent rings the school three weeks later asking what is happening, and the school thought the psychologist was following up.</t>
        </is>
      </c>
      <c r="L232" s="165" t="inlineStr">
        <is>
          <t>YOU CAN TEACH IT — you can explain how to close a session so that each person leaves with a job, why home actions must be small and specific, and how the written follow-up locks in what was said.
WHEN IT GOES WRONG — you can say what to do when the session ends without agreement: say so honestly, agree the next contact date, and write down what was and was not agreed.</t>
        </is>
      </c>
      <c r="M232" s="224" t="inlineStr">
        <is>
          <t>Ending the session with a shared understanding but no named actions.</t>
        </is>
      </c>
      <c r="N232" s="165" t="inlineStr">
        <is>
          <t>→ Feeds into 'Name who delivers' in recommendations, and into Working with Others — home-school links.</t>
        </is>
      </c>
      <c r="O232" s="225" t="inlineStr">
        <is>
          <t>Not started</t>
        </is>
      </c>
      <c r="P232" s="165" t="inlineStr">
        <is>
          <t>WATCH FOR — how your supervisor closes: whether they summarise actions aloud, name who does each, give dates, and check the parent agrees.</t>
        </is>
      </c>
      <c r="Q232" s="139" t="inlineStr">
        <is>
          <t>Year 1</t>
        </is>
      </c>
      <c r="R232" s="226" t="inlineStr">
        <is>
          <t>26/10/2026</t>
        </is>
      </c>
      <c r="S232" s="226" t="inlineStr">
        <is>
          <t>16/11/2026</t>
        </is>
      </c>
      <c r="T232" s="226" t="inlineStr">
        <is>
          <t>14/12/2026</t>
        </is>
      </c>
      <c r="U232" s="139" t="inlineStr">
        <is>
          <t>Post-session note · Appendix 5 · Log sheet tagged 3. Intervention</t>
        </is>
      </c>
    </row>
    <row r="233" outlineLevel="2" ht="43.5" customHeight="1" s="128">
      <c r="A233" s="220" t="inlineStr">
        <is>
          <t>BLOCK</t>
        </is>
      </c>
      <c r="B233" s="220" t="inlineStr">
        <is>
          <t>3. Intervention</t>
        </is>
      </c>
      <c r="C233" s="220" t="inlineStr">
        <is>
          <t>Observe and deliver parental feedback sessions</t>
        </is>
      </c>
      <c r="D233" s="221" t="inlineStr">
        <is>
          <t>Block 2 · Translating</t>
        </is>
      </c>
      <c r="E233" s="222" t="inlineStr">
        <is>
          <t>Saying it so a parent could repeat it accurately to someone else.</t>
        </is>
      </c>
      <c r="F233" s="220" t="inlineStr">
        <is>
          <t>Habit · Weeks 7–12</t>
        </is>
      </c>
      <c r="G233" s="220" t="n"/>
      <c r="H233" s="220" t="n"/>
      <c r="I233" s="220" t="n"/>
      <c r="J233" s="220" t="n"/>
      <c r="K233" s="220" t="n"/>
      <c r="L233" s="220" t="n"/>
      <c r="M233" s="222" t="n"/>
      <c r="N233" s="220" t="n"/>
      <c r="O233" s="220" t="n"/>
      <c r="P233" s="220" t="inlineStr">
        <is>
          <t>How you build it: Rewrite three technical sentences in plain words before every feedback session.</t>
        </is>
      </c>
      <c r="Q233" s="220" t="n"/>
      <c r="R233" s="220" t="n"/>
      <c r="S233" s="220" t="n"/>
      <c r="T233" s="220" t="n"/>
      <c r="U233" s="220" t="n"/>
    </row>
    <row r="234" outlineLevel="2" ht="120" customHeight="1" s="128">
      <c r="A234" s="139" t="inlineStr">
        <is>
          <t>MICRO-SKILL</t>
        </is>
      </c>
      <c r="B234" s="139" t="inlineStr">
        <is>
          <t>3. Intervention</t>
        </is>
      </c>
      <c r="C234" s="139" t="inlineStr">
        <is>
          <t>Observe and deliver parental feedback sessions</t>
        </is>
      </c>
      <c r="D234" s="139" t="inlineStr">
        <is>
          <t>Block 2 · Translating</t>
        </is>
      </c>
      <c r="E234" s="223" t="inlineStr">
        <is>
          <t>Avoid jargon and check understanding repeatedly</t>
        </is>
      </c>
      <c r="F234" s="139" t="inlineStr">
        <is>
          <t>PSI Code 4.3.1</t>
        </is>
      </c>
      <c r="G234" s="227" t="inlineStr">
        <is>
          <t>Terms such as 'working memory', 'standard score' or 'below average range' mean one thing to you and something else, or nothing, to a parent. PSI Code 4.3.1 is the clause mapped here. A single 'does that make sense?' invites a polite yes. Teach-back — asking the person to say it back in their own words — is a well-studied way to check understanding in health communication (Schillinger et al., 2003, Archives of Internal Medicine).</t>
        </is>
      </c>
      <c r="H234" s="165" t="inlineStr">
        <is>
          <t>WATCH FOR — every technical term your supervisor uses in a session and whether they explain it the first time; and each point where they check understanding, and how.
WRITE DOWN — the words that needed explaining and the exact phrasing of their checks ('what will you tell your partner when you get home?').
ASK AFTERWARDS — 'how do you know when a parent has understood and is not just being polite?'</t>
        </is>
      </c>
      <c r="I234" s="165" t="inlineStr">
        <is>
          <t>YOU TAKE — writing a plain-English version of the key terms for the case, and planning at least two teach-back points in the session.
THEY HOLD — delivery, and reading the parent's response to decide whether to go back over something.
WHY THAT SPLIT — plain-language translation is preparation you can do well now. Reading whether someone has understood, especially through politeness or distress, is learned by watching.</t>
        </is>
      </c>
      <c r="J234" s="165" t="inlineStr">
        <is>
          <t>YOU RUN IT — deliver a section of the feedback, stopping at planned points to ask the parent to say back what they have heard.
WHAT THEY ARE WATCHING FOR — only one check at the end, closed questions ('is that clear?'), and jargon slipping back in when you get nervous.
STEPPING IN LOOKS LIKE — 'can I just check — when we say working memory, what does that mean for her in the classroom?'</t>
        </is>
      </c>
      <c r="K234" s="207" t="inlineStr">
        <is>
          <t>YOU DO IT ALONE — explain technical terms at first use, and check understanding with open questions at more than one point in the session.
PASS TEST — You checked more than once
EVIDENCE TO FILE — session plan with planned checks marked, and reflective note. Log against 3. Intervention.
WHAT FAILURE LOOKS LIKE — the parent nodded throughout, then tells the class teacher the next day that the psychologist said her son has a low IQ.</t>
        </is>
      </c>
      <c r="L234" s="165" t="inlineStr">
        <is>
          <t>YOU CAN TEACH IT — you can explain teach-back, give plain-language versions of common assessment terms, and say why 'does that make sense?' is a poor check.
WHEN IT GOES WRONG — you can say what to do when a check reveals a misunderstanding: thank them for saying it, re-explain differently rather than louder, and check again.</t>
        </is>
      </c>
      <c r="M234" s="224" t="inlineStr">
        <is>
          <t>Checking understanding once, at the end, with a question that invites a polite yes.</t>
        </is>
      </c>
      <c r="N234" s="165" t="inlineStr">
        <is>
          <t>→ Feeds into 'Deliver difficult information clearly', and into report writing for the actual reader.</t>
        </is>
      </c>
      <c r="O234" s="225" t="inlineStr">
        <is>
          <t>Not started</t>
        </is>
      </c>
      <c r="P234" s="165" t="inlineStr">
        <is>
          <t>WATCH FOR — every technical term your supervisor uses in a session and whether they explain it the first time; and each point where they check understanding, and how.</t>
        </is>
      </c>
      <c r="Q234" s="139" t="inlineStr">
        <is>
          <t>Year 1</t>
        </is>
      </c>
      <c r="R234" s="226" t="inlineStr">
        <is>
          <t>26/10/2026</t>
        </is>
      </c>
      <c r="S234" s="226" t="inlineStr">
        <is>
          <t>16/11/2026</t>
        </is>
      </c>
      <c r="T234" s="226" t="inlineStr">
        <is>
          <t>14/12/2026</t>
        </is>
      </c>
      <c r="U234" s="139" t="inlineStr">
        <is>
          <t>Session plan · reflective note · Appendix 5 · Log sheet tagged 3. Intervention</t>
        </is>
      </c>
    </row>
    <row r="235" outlineLevel="2" ht="120" customHeight="1" s="128">
      <c r="A235" s="139" t="inlineStr">
        <is>
          <t>MICRO-SKILL</t>
        </is>
      </c>
      <c r="B235" s="139" t="inlineStr">
        <is>
          <t>3. Intervention</t>
        </is>
      </c>
      <c r="C235" s="139" t="inlineStr">
        <is>
          <t>Observe and deliver parental feedback sessions</t>
        </is>
      </c>
      <c r="D235" s="139" t="inlineStr">
        <is>
          <t>Block 2 · Translating</t>
        </is>
      </c>
      <c r="E235" s="223" t="inlineStr">
        <is>
          <t>Name strengths specifically rather than as preamble</t>
        </is>
      </c>
      <c r="F235" s="139" t="inlineStr">
        <is>
          <t>CORU SoP 1.3</t>
        </is>
      </c>
      <c r="G235" s="227" t="inlineStr">
        <is>
          <t>Parents recognise the formula: two nice sentences, then 'however'. When strengths are generic they are heard as softening, and the parent waits for the bad news. CORU SoP 1.3 is the standard mapped here. Strength-based feedback, as argued by Buckley and Epstein (2004), treats strengths as information about the child as real as the difficulties. A specific strength also tells a parent you have seen their child, not just their scores.</t>
        </is>
      </c>
      <c r="H235" s="165" t="inlineStr">
        <is>
          <t>WATCH FOR — where in the session your supervisor names strengths, how specific they are ('she explained the story's ending better than most children her age' versus 'she's lovely'), and whether strengths reappear later in the recommendations.
WRITE DOWN — each strength named, and the evidence it rested on.
ASK AFTERWARDS — 'how do you name a strength so it doesn't sound like the warm-up before the bad news?'</t>
        </is>
      </c>
      <c r="I235" s="165" t="inlineStr">
        <is>
          <t>YOU TAKE — drafting two or three specific strengths for the case, each with the evidence behind it (an observation, a subtest, something the child said).
THEY HOLD — where in the session strengths are placed, which depends on how the parent is likely to receive the main finding.
WHY THAT SPLIT — finding and wording evidenced strengths is your assessment work. Positioning them in a hard conversation is a judgement about this parent that your supervisor is better placed to make.</t>
        </is>
      </c>
      <c r="J235" s="165" t="inlineStr">
        <is>
          <t>YOU RUN IT — name the strengths yourself during the session, weaving them into the findings rather than bunching them at the start.
WHAT THEY ARE WATCHING FOR — 'she's a lovely girl, however…', and strengths so general they could describe any child.
STEPPING IN LOOKS LIKE — 'tell mum what you noticed about how he kept going on that puzzle when it got hard.'</t>
        </is>
      </c>
      <c r="K235" s="207" t="inlineStr">
        <is>
          <t>YOU DO IT ALONE — name strengths that are specific to this child, evidenced, and connected to the findings or recommendations.
PASS TEST — It does not sound like a formula
EVIDENCE TO FILE — session plan and reflective note. Log against 3. Intervention.
WHAT FAILURE LOOKS LIKE — the parent's face tightens as soon as you start praising, because they know the 'but' is coming.</t>
        </is>
      </c>
      <c r="L235" s="165" t="inlineStr">
        <is>
          <t>YOU CAN TEACH IT — you can explain the difference between strengths as preamble and strengths as findings, and show how one strength can be carried into a recommendation.
WHEN IT GOES WRONG — you can say what to do when a parent dismisses a strength ('she's only like that with you'): take it seriously, ask where else it shows, and treat the difference as information.</t>
        </is>
      </c>
      <c r="M235" s="224" t="inlineStr">
        <is>
          <t>Using generic praise as a warm-up before the difficulties.</t>
        </is>
      </c>
      <c r="N235" s="165" t="inlineStr">
        <is>
          <t>→ Feeds into 'Build at least one on a strength' in recommendations.</t>
        </is>
      </c>
      <c r="O235" s="225" t="inlineStr">
        <is>
          <t>Not started</t>
        </is>
      </c>
      <c r="P235" s="165" t="inlineStr">
        <is>
          <t>WATCH FOR — where in the session your supervisor names strengths, how specific they are ('she explained the story's ending better than most children her age' versus 'she's lovely'), and whether strengths reappear later in the recommendations.</t>
        </is>
      </c>
      <c r="Q235" s="139" t="inlineStr">
        <is>
          <t>Year 1</t>
        </is>
      </c>
      <c r="R235" s="226" t="inlineStr">
        <is>
          <t>26/10/2026</t>
        </is>
      </c>
      <c r="S235" s="226" t="inlineStr">
        <is>
          <t>16/11/2026</t>
        </is>
      </c>
      <c r="T235" s="226" t="inlineStr">
        <is>
          <t>14/12/2026</t>
        </is>
      </c>
      <c r="U235" s="139" t="inlineStr">
        <is>
          <t>Session plan · reflective note · Appendix 5 · Log sheet tagged 3. Intervention</t>
        </is>
      </c>
    </row>
    <row r="236" outlineLevel="2" ht="43.5" customHeight="1" s="128">
      <c r="A236" s="220" t="inlineStr">
        <is>
          <t>BLOCK</t>
        </is>
      </c>
      <c r="B236" s="220" t="inlineStr">
        <is>
          <t>3. Intervention</t>
        </is>
      </c>
      <c r="C236" s="220" t="inlineStr">
        <is>
          <t>Observe and deliver parental feedback sessions</t>
        </is>
      </c>
      <c r="D236" s="221" t="inlineStr">
        <is>
          <t>Block 3 · Holding the room</t>
        </is>
      </c>
      <c r="E236" s="222" t="inlineStr">
        <is>
          <t>What to do with distress, disagreement, and questions you cannot answer.</t>
        </is>
      </c>
      <c r="F236" s="220" t="inlineStr">
        <is>
          <t>3 hours, then practice · Ongoing all year</t>
        </is>
      </c>
      <c r="G236" s="220" t="n"/>
      <c r="H236" s="220" t="n"/>
      <c r="I236" s="220" t="n"/>
      <c r="J236" s="220" t="n"/>
      <c r="K236" s="220" t="n"/>
      <c r="L236" s="220" t="n"/>
      <c r="M236" s="222" t="n"/>
      <c r="N236" s="220" t="n"/>
      <c r="O236" s="220" t="n"/>
      <c r="P236" s="220" t="inlineStr">
        <is>
          <t>How you build it: Ask your supervisor for their three sentences for each. Have your own.</t>
        </is>
      </c>
      <c r="Q236" s="220" t="n"/>
      <c r="R236" s="220" t="n"/>
      <c r="S236" s="220" t="n"/>
      <c r="T236" s="220" t="n"/>
      <c r="U236" s="220" t="n"/>
    </row>
    <row r="237" outlineLevel="2" ht="120" customHeight="1" s="128">
      <c r="A237" s="139" t="inlineStr">
        <is>
          <t>MICRO-SKILL</t>
        </is>
      </c>
      <c r="B237" s="139" t="inlineStr">
        <is>
          <t>3. Intervention</t>
        </is>
      </c>
      <c r="C237" s="139" t="inlineStr">
        <is>
          <t>Observe and deliver parental feedback sessions</t>
        </is>
      </c>
      <c r="D237" s="139" t="inlineStr">
        <is>
          <t>Block 3 · Holding the room</t>
        </is>
      </c>
      <c r="E237" s="223" t="inlineStr">
        <is>
          <t>Ask what the parent hopes to hear before starting</t>
        </is>
      </c>
      <c r="F237" s="139" t="inlineStr">
        <is>
          <t>CORU SoP 2.14 · PSI Code 1.4.1</t>
        </is>
      </c>
      <c r="G237" s="227" t="inlineStr">
        <is>
          <t>Parents arrive with a question — is it autism, will she get an SNA, is it my fault — and until it is addressed they may not hear anything else. Asking takes two minutes and reshapes the session (Reference sheet, 'Structuring the session'). CORU SoP 2.14 and PSI Code 1.4.1 are the standards mapped here; 2.14 concerns awareness of power in the relationship. Asking hands the parent some control over a meeting that is otherwise yours.</t>
        </is>
      </c>
      <c r="H237" s="165" t="inlineStr">
        <is>
          <t>WATCH FOR — whether and how your supervisor asks the parent what they are hoping for, and how the answer changes what they say next.
WRITE DOWN — the wording of the question, the parent's answer (anonymised), and any part of the plan the supervisor dropped or moved as a result.
ASK AFTERWARDS — 'what do you do when what the parent hopes to hear is not what you are about to tell them?'</t>
        </is>
      </c>
      <c r="I237" s="165" t="inlineStr">
        <is>
          <t>YOU TAKE — asking the question at the start of a supervised session and noting the answer.
THEY HOLD — adjusting the session in response, especially when the parent's hope is for something the findings do not support, such as a diagnosis or a resource.
WHY THAT SPLIT — asking is simple and should be yours early. Responding to a hope you are about to disappoint needs skill you will learn by watching them do it.</t>
        </is>
      </c>
      <c r="J237" s="165" t="inlineStr">
        <is>
          <t>YOU RUN IT — ask the question, then adjust your planned order so the parent's main concern is addressed early.
WHAT THEY ARE WATCHING FOR — asking and then ignoring the answer, carrying on with the planned script.
STEPPING IN LOOKS LIKE — 'you mentioned you were wondering about secondary school — shall we come to that now?'</t>
        </is>
      </c>
      <c r="K237" s="207" t="inlineStr">
        <is>
          <t>YOU DO IT ALONE — open every feedback session by asking what the parent wants to know or hopes to hear, and let the answer shape the order.
PASS TEST — You asked
EVIDENCE TO FILE — reflective note recording that you asked and how it changed the session. Log against 3. Intervention.
WHAT FAILURE LOOKS LIKE — at the end of an hour the parent says 'but you haven't told me whether she can get exemption from Irish', which was the only thing they came to ask.</t>
        </is>
      </c>
      <c r="L237" s="165" t="inlineStr">
        <is>
          <t>YOU CAN TEACH IT — you can explain why asking first matters for power and listening, and how to respond when the hope and the findings do not match.
WHEN IT GOES WRONG — you can say what to do when the parent's question is outside what you can answer (a resource decision, a diagnosis you cannot make): say so early, name who can, and do not let the whole session wait for it.</t>
        </is>
      </c>
      <c r="M237" s="224" t="inlineStr">
        <is>
          <t>Delivering a prepared script without finding out what the parent came to hear.</t>
        </is>
      </c>
      <c r="N237" s="165" t="inlineStr">
        <is>
          <t>→ Feeds into 'Answer the question actually asked' and 'Deliver difficult information clearly'.</t>
        </is>
      </c>
      <c r="O237" s="225" t="inlineStr">
        <is>
          <t>Not started</t>
        </is>
      </c>
      <c r="P237" s="165" t="inlineStr">
        <is>
          <t>WATCH FOR — whether and how your supervisor asks the parent what they are hoping for, and how the answer changes what they say next.</t>
        </is>
      </c>
      <c r="Q237" s="139" t="inlineStr">
        <is>
          <t>Year 1</t>
        </is>
      </c>
      <c r="R237" s="226" t="inlineStr">
        <is>
          <t>26/10/2026</t>
        </is>
      </c>
      <c r="S237" s="226" t="inlineStr">
        <is>
          <t>16/11/2026</t>
        </is>
      </c>
      <c r="T237" s="226" t="inlineStr">
        <is>
          <t>14/12/2026</t>
        </is>
      </c>
      <c r="U237" s="139" t="inlineStr">
        <is>
          <t>Reflective note · Appendix 5 · Log sheet tagged 3. Intervention</t>
        </is>
      </c>
    </row>
    <row r="238" outlineLevel="2" ht="120" customHeight="1" s="128">
      <c r="A238" s="139" t="inlineStr">
        <is>
          <t>MICRO-SKILL</t>
        </is>
      </c>
      <c r="B238" s="139" t="inlineStr">
        <is>
          <t>3. Intervention</t>
        </is>
      </c>
      <c r="C238" s="139" t="inlineStr">
        <is>
          <t>Observe and deliver parental feedback sessions</t>
        </is>
      </c>
      <c r="D238" s="139" t="inlineStr">
        <is>
          <t>Block 3 · Holding the room</t>
        </is>
      </c>
      <c r="E238" s="223" t="inlineStr">
        <is>
          <t>Deliver difficult information clearly</t>
        </is>
      </c>
      <c r="F238" s="139" t="inlineStr">
        <is>
          <t>PSI Code 1.3.4</t>
        </is>
      </c>
      <c r="G238" s="227" t="inlineStr">
        <is>
          <t>When the news is hard, the temptation is to soften it until it disappears, and the parent leaves reassured about something that is not reassuring. PSI Code 1.3.4 is the clause mapped here — read it for its exact wording. Clear delivery is kinder in the long run: a parent who hears it later from a school, a CDNT or a report they read alone at the kitchen table loses trust in everyone. SPIKES (Baile et al., 2000) is one structure from medicine worth knowing.</t>
        </is>
      </c>
      <c r="H238" s="165" t="inlineStr">
        <is>
          <t>WATCH FOR — how your supervisor words the hardest sentence: whether they warn first ('I have some news that may be hard to hear'), say it plainly, and then stop.
WRITE DOWN — the exact words used for the difficult finding, and what they did immediately after.
ASK AFTERWARDS — 'how do you stop yourself softening it so much that the parent doesn't hear it?'</t>
        </is>
      </c>
      <c r="I238" s="165" t="inlineStr">
        <is>
          <t>YOU TAKE — writing the difficult sentence in advance, plainly, and rehearsing it in supervision.
THEY HOLD — delivery of the news itself on your early cases, and the decision about whether a second meeting is needed.
WHY THAT SPLIT — writing a clear sentence is the preparation. Saying it to a parent for the first time, and handling what follows, is the part to watch done well before you do it.</t>
        </is>
      </c>
      <c r="J238" s="165" t="inlineStr">
        <is>
          <t>YOU RUN IT — deliver the difficult finding yourself, with your supervisor present, using your rehearsed words, then pause.
WHAT THEY ARE WATCHING FOR — hedging so heavy ('there may perhaps be some indication of some difficulties') that the parent cannot tell what was found.
STEPPING IN LOOKS LIKE — 'to be clear — what we're saying is that…', restating it plainly.</t>
        </is>
      </c>
      <c r="K238" s="207" t="inlineStr">
        <is>
          <t>YOU DO IT ALONE — deliver a difficult finding in plain words, warn before it, pause after it, and check what the parent heard.
PASS TEST — The parent left knowing
EVIDENCE TO FILE — reflective note and supervision record. Log against 3. Intervention.
WHAT FAILURE LOOKS LIKE — the parent tells the school afterwards that 'the psychologist said he's grand', when the report says he has a significant language difficulty.</t>
        </is>
      </c>
      <c r="L238" s="165" t="inlineStr">
        <is>
          <t>YOU CAN TEACH IT — you can explain warn–say–pause–check, why softening harms, and the difference between being gentle in manner and being unclear in content.
WHEN IT GOES WRONG — you can say what to do when you learn the parent did not take in the message: contact them, offer a follow-up, and say it again plainly — with your supervisor's agreement.</t>
        </is>
      </c>
      <c r="M238" s="224" t="inlineStr">
        <is>
          <t>Softening difficult news until the parent does not know what was found.</t>
        </is>
      </c>
      <c r="N238" s="165" t="inlineStr">
        <is>
          <t>→ Feeds into 'Hold silence when someone is upset' and 'Say what you do not know'.</t>
        </is>
      </c>
      <c r="O238" s="225" t="inlineStr">
        <is>
          <t>Not started</t>
        </is>
      </c>
      <c r="P238" s="165" t="inlineStr">
        <is>
          <t>WATCH FOR — how your supervisor words the hardest sentence: whether they warn first ('I have some news that may be hard to hear'), say it plainly, and then stop.</t>
        </is>
      </c>
      <c r="Q238" s="139" t="inlineStr">
        <is>
          <t>Year 1</t>
        </is>
      </c>
      <c r="R238" s="226" t="inlineStr">
        <is>
          <t>26/10/2026</t>
        </is>
      </c>
      <c r="S238" s="226" t="inlineStr">
        <is>
          <t>16/11/2026</t>
        </is>
      </c>
      <c r="T238" s="226" t="inlineStr">
        <is>
          <t>14/12/2026</t>
        </is>
      </c>
      <c r="U238" s="139" t="inlineStr">
        <is>
          <t>Reflective note · supervision record · Appendix 5 · Log sheet tagged 3. Intervention</t>
        </is>
      </c>
    </row>
    <row r="239" outlineLevel="2" ht="120" customHeight="1" s="128">
      <c r="A239" s="139" t="inlineStr">
        <is>
          <t>MICRO-SKILL</t>
        </is>
      </c>
      <c r="B239" s="139" t="inlineStr">
        <is>
          <t>3. Intervention</t>
        </is>
      </c>
      <c r="C239" s="139" t="inlineStr">
        <is>
          <t>Observe and deliver parental feedback sessions</t>
        </is>
      </c>
      <c r="D239" s="139" t="inlineStr">
        <is>
          <t>Block 3 · Holding the room</t>
        </is>
      </c>
      <c r="E239" s="223" t="inlineStr">
        <is>
          <t>Hold silence when someone is upset</t>
        </is>
      </c>
      <c r="F239" s="139" t="inlineStr">
        <is>
          <t>CORU SoP 2.2</t>
        </is>
      </c>
      <c r="G239" s="227" t="inlineStr">
        <is>
          <t>When a parent cries or goes quiet, the instinct is to fill the silence with more findings, reassurance or recommendations. The Reference sheet names filling a silence after difficult news as a core error. CORU SoP 2.2 is the standard mapped here. Silence gives the parent time to take in what was said and decide what to ask. Filling it tells them the session matters more than their reaction.</t>
        </is>
      </c>
      <c r="H239" s="165" t="inlineStr">
        <is>
          <t>WATCH FOR — what your supervisor does in the seconds after difficult news: whether they speak, how long they wait, whether they offer tissues or water, what their first words are when they do speak.
WRITE DOWN — roughly how long the silence lasted, and the first sentence after it.
ASK AFTERWARDS — 'how long do you wait, and how do you know when to speak?'</t>
        </is>
      </c>
      <c r="I239" s="165" t="inlineStr">
        <is>
          <t>YOU TAKE — the rest of the session after your supervisor has delivered difficult news, with the explicit task of not speaking until the parent does.
THEY HOLD — the difficult news itself, and any response to strong emotion such as anger.
WHY THAT SPLIT — holding silence is best practised while someone else carries the main responsibility. Your only job is to tolerate the discomfort without rescuing it.</t>
        </is>
      </c>
      <c r="J239" s="165" t="inlineStr">
        <is>
          <t>YOU RUN IT — deliver news yourself and then hold the silence, offering only a brief acknowledgement ('this is hard to hear') if needed.
WHAT THEY ARE WATCHING FOR — you rushing on to the recommendations, or filling the gap with reassurance you cannot stand behind ('she'll be absolutely fine').
STEPPING IN LOOKS LIKE — a small gesture to wait, or 'take your time — there's no hurry today.'</t>
        </is>
      </c>
      <c r="K239" s="207" t="inlineStr">
        <is>
          <t>YOU DO IT ALONE — after difficult information, stop talking, acknowledge briefly if needed, and let the parent speak first.
PASS TEST — You did not fill it
EVIDENCE TO FILE — reflective note. Log against 3. Intervention.
WHAT FAILURE LOOKS LIKE — the parent starts to cry and you begin describing the reading programme, and they hear nothing more that day.</t>
        </is>
      </c>
      <c r="L239" s="165" t="inlineStr">
        <is>
          <t>YOU CAN TEACH IT — you can explain why silence helps, what a brief acknowledgement sounds like, and how to manage your own discomfort in the pause.
WHEN IT GOES WRONG — you can say what to do when a parent is too upset to continue: offer to stop, agree a second meeting, make sure they are safe to leave, and send the written summary later.</t>
        </is>
      </c>
      <c r="M239" s="224" t="inlineStr">
        <is>
          <t>Filling the silence after difficult news with more information.</t>
        </is>
      </c>
      <c r="N239" s="165" t="inlineStr">
        <is>
          <t>→ Feeds into 'Answer the question actually asked' and into supervision on the emotional impact of the work.</t>
        </is>
      </c>
      <c r="O239" s="225" t="inlineStr">
        <is>
          <t>Not started</t>
        </is>
      </c>
      <c r="P239" s="165" t="inlineStr">
        <is>
          <t>WATCH FOR — what your supervisor does in the seconds after difficult news: whether they speak, how long they wait, whether they offer tissues or water, what their first words are when they do speak.</t>
        </is>
      </c>
      <c r="Q239" s="139" t="inlineStr">
        <is>
          <t>Year 1</t>
        </is>
      </c>
      <c r="R239" s="226" t="inlineStr">
        <is>
          <t>26/10/2026</t>
        </is>
      </c>
      <c r="S239" s="226" t="inlineStr">
        <is>
          <t>16/11/2026</t>
        </is>
      </c>
      <c r="T239" s="226" t="inlineStr">
        <is>
          <t>14/12/2026</t>
        </is>
      </c>
      <c r="U239" s="139" t="inlineStr">
        <is>
          <t>Reflective note · Appendix 5 · Log sheet tagged 3. Intervention</t>
        </is>
      </c>
    </row>
    <row r="240" outlineLevel="2" ht="120" customHeight="1" s="128">
      <c r="A240" s="139" t="inlineStr">
        <is>
          <t>MICRO-SKILL</t>
        </is>
      </c>
      <c r="B240" s="139" t="inlineStr">
        <is>
          <t>3. Intervention</t>
        </is>
      </c>
      <c r="C240" s="139" t="inlineStr">
        <is>
          <t>Observe and deliver parental feedback sessions</t>
        </is>
      </c>
      <c r="D240" s="139" t="inlineStr">
        <is>
          <t>Block 3 · Holding the room</t>
        </is>
      </c>
      <c r="E240" s="223" t="inlineStr">
        <is>
          <t>Answer the question actually asked</t>
        </is>
      </c>
      <c r="F240" s="139" t="inlineStr">
        <is>
          <t>CORU SoP 2.11</t>
        </is>
      </c>
      <c r="G240" s="227" t="inlineStr">
        <is>
          <t>Parents often ask a hard question — 'will he ever read?', 'did I cause this?', 'will she go to a mainstream secondary?' — and the easy move is to answer an adjacent, safer one. CORU SoP 2.11 is the standard mapped here. Answering a different question tells the parent the real one cannot be spoken, and they carry it home alone. You may not know the answer, but you can still answer the question.</t>
        </is>
      </c>
      <c r="H240" s="165" t="inlineStr">
        <is>
          <t>WATCH FOR — the questions parents ask in your supervisor's sessions, and whether the answer given addresses that exact question or a related one.
WRITE DOWN — each hard question (anonymised) and the first sentence of the answer.
ASK AFTERWARDS — 'when a parent asks if it's their fault, what do you actually say?'</t>
        </is>
      </c>
      <c r="I240" s="165" t="inlineStr">
        <is>
          <t>YOU TAKE — anticipating the three hardest questions a parent might ask in a supervised case and drafting honest answers.
THEY HOLD — answering those questions in the session on your early cases.
WHY THAT SPLIT — preparing answers is safe and useful. Answering a parent's fear in the moment, with no time to think, is where you need to have seen it done.</t>
        </is>
      </c>
      <c r="J240" s="165" t="inlineStr">
        <is>
          <t>YOU RUN IT — take the question-and-answer part of the session yourself, with your supervisor present.
WHAT THEY ARE WATCHING FOR — sliding from 'will he ever read?' to a description of the reading programme, or from 'is it my fault?' to general information about causes.
STEPPING IN LOOKS LIKE — 'I think what mum is asking is whether she did something to cause this — is that right?'</t>
        </is>
      </c>
      <c r="K240" s="207" t="inlineStr">
        <is>
          <t>YOU DO IT ALONE — when a parent asks a question, check you have understood it, answer that question, and say so if you cannot.
PASS TEST — Not the easier adjacent one
EVIDENCE TO FILE — reflective note. Log against 3. Intervention.
WHAT FAILURE LOOKS LIKE — the parent asks the same question three times in different words, and leaves without an answer.</t>
        </is>
      </c>
      <c r="L240" s="165" t="inlineStr">
        <is>
          <t>YOU CAN TEACH IT — you can explain why we drift to adjacent questions, how to check the question before answering ('is what you're asking…?'), and how to answer honestly when the true answer is 'I don't know'.
WHEN IT GOES WRONG — you can say what to do when you realise afterwards you answered the wrong question: contact the parent and say 'I don't think I answered what you asked me — can I try now?'</t>
        </is>
      </c>
      <c r="M240" s="224" t="inlineStr">
        <is>
          <t>Answering a safer related question instead of the one the parent asked.</t>
        </is>
      </c>
      <c r="N240" s="165" t="inlineStr">
        <is>
          <t>→ Feeds into 'Say what you do not know'.</t>
        </is>
      </c>
      <c r="O240" s="225" t="inlineStr">
        <is>
          <t>Not started</t>
        </is>
      </c>
      <c r="P240" s="165" t="inlineStr">
        <is>
          <t>WATCH FOR — the questions parents ask in your supervisor's sessions, and whether the answer given addresses that exact question or a related one.</t>
        </is>
      </c>
      <c r="Q240" s="139" t="inlineStr">
        <is>
          <t>Year 1</t>
        </is>
      </c>
      <c r="R240" s="226" t="inlineStr">
        <is>
          <t>26/10/2026</t>
        </is>
      </c>
      <c r="S240" s="226" t="inlineStr">
        <is>
          <t>16/11/2026</t>
        </is>
      </c>
      <c r="T240" s="226" t="inlineStr">
        <is>
          <t>14/12/2026</t>
        </is>
      </c>
      <c r="U240" s="139" t="inlineStr">
        <is>
          <t>Reflective note · Appendix 5 · Log sheet tagged 3. Intervention</t>
        </is>
      </c>
    </row>
    <row r="241" outlineLevel="2" ht="120" customHeight="1" s="128">
      <c r="A241" s="139" t="inlineStr">
        <is>
          <t>MICRO-SKILL</t>
        </is>
      </c>
      <c r="B241" s="139" t="inlineStr">
        <is>
          <t>3. Intervention</t>
        </is>
      </c>
      <c r="C241" s="139" t="inlineStr">
        <is>
          <t>Observe and deliver parental feedback sessions</t>
        </is>
      </c>
      <c r="D241" s="139" t="inlineStr">
        <is>
          <t>Block 3 · Holding the room</t>
        </is>
      </c>
      <c r="E241" s="223" t="inlineStr">
        <is>
          <t>Say what you do not know</t>
        </is>
      </c>
      <c r="F241" s="139" t="inlineStr">
        <is>
          <t>PSI Code 4.1.3</t>
        </is>
      </c>
      <c r="G241" s="227" t="inlineStr">
        <is>
          <t>Parents ask about prognosis, cause and the future, and the honest answer is often uncertain. PSI Code 4.1.3 is the clause mapped here — read it for its exact wording. Claiming certainty you do not have leaves the family planning around a guess, and damages trust when it turns out wrong. Saying 'I don't know, and here is how we will find out' is a professional answer, not a failure.</t>
        </is>
      </c>
      <c r="H241" s="165" t="inlineStr">
        <is>
          <t>WATCH FOR — how your supervisor words uncertainty: what they say they do not know, and what they add to it (what would help find out, when it will be clearer).
WRITE DOWN — the phrases they use ('we can't tell yet', 'the research doesn't give a clear answer for a child like her').
ASK AFTERWARDS — 'how do you say you don't know without the parent losing confidence in the assessment?'</t>
        </is>
      </c>
      <c r="I241" s="165" t="inlineStr">
        <is>
          <t>YOU TAKE — listing, before the session, what the assessment cannot answer (prognosis, cause, whether a diagnosis would be made by another service) and drafting how to say each.
THEY HOLD — questions about other services' decisions (CDNT, CAMHS, NCSE) where a wrong answer from you would mislead.
WHY THAT SPLIT — knowing the limits of your assessment is your job. Other services' thresholds and waiting times change, and your supervisor is more likely to be current on them.</t>
        </is>
      </c>
      <c r="J241" s="165" t="inlineStr">
        <is>
          <t>YOU RUN IT — answer parent questions yourself, naming uncertainty where it exists and saying how it could be reduced.
WHAT THEY ARE WATCHING FOR — guessing to fill the gap (for example about CDNT waiting times or whether a diagnosis would follow), and over-hedging answers you do know.
STEPPING IN LOOKS LIKE — 'that's a fair question, and we honestly don't know yet — what would help us know is…'</t>
        </is>
      </c>
      <c r="K241" s="207" t="inlineStr">
        <is>
          <t>YOU DO IT ALONE — say plainly when you do not know, separate it from what you do know, and say what would reduce the uncertainty.
PASS TEST — Uncertainty admitted
EVIDENCE TO FILE — reflective note, and the limitations section of the report. Log against 3. Intervention and 6. Ethical Practice.
WHAT FAILURE LOOKS LIKE — you tell a parent 'she'll catch up by secondary school' and she doesn't, and the parent later quotes you to the school.</t>
        </is>
      </c>
      <c r="L241" s="165" t="inlineStr">
        <is>
          <t>YOU CAN TEACH IT — you can explain the difference between uncertainty and incompetence, how to express uncertainty with a plan attached, and which questions EPs are and are not in a position to answer.
WHEN IT GOES WRONG — you can say what to do when you gave an answer you should not have: correct it in writing, tell your supervisor, and record it.</t>
        </is>
      </c>
      <c r="M241" s="224" t="inlineStr">
        <is>
          <t>Guessing at an answer rather than saying you do not know.</t>
        </is>
      </c>
      <c r="N241" s="165" t="inlineStr">
        <is>
          <t>→ Feeds into Ethical Practice — working within competence — and 'State what you did not assess and what that limits'.</t>
        </is>
      </c>
      <c r="O241" s="225" t="inlineStr">
        <is>
          <t>Not started</t>
        </is>
      </c>
      <c r="P241" s="165" t="inlineStr">
        <is>
          <t>WATCH FOR — how your supervisor words uncertainty: what they say they do not know, and what they add to it (what would help find out, when it will be clearer).</t>
        </is>
      </c>
      <c r="Q241" s="139" t="inlineStr">
        <is>
          <t>Year 1</t>
        </is>
      </c>
      <c r="R241" s="226" t="inlineStr">
        <is>
          <t>26/10/2026</t>
        </is>
      </c>
      <c r="S241" s="226" t="inlineStr">
        <is>
          <t>16/11/2026</t>
        </is>
      </c>
      <c r="T241" s="226" t="inlineStr">
        <is>
          <t>14/12/2026</t>
        </is>
      </c>
      <c r="U241" s="139" t="inlineStr">
        <is>
          <t>Reflective note · report limitations · Appendix 5 · Log sheet tagged 3. Intervention and 6. Ethical Practice</t>
        </is>
      </c>
    </row>
    <row r="242" outlineLevel="2" ht="19.5" customHeight="1" s="128">
      <c r="A242" s="219" t="inlineStr">
        <is>
          <t>MACRO SKILL</t>
        </is>
      </c>
      <c r="B242" s="219" t="inlineStr">
        <is>
          <t>3. Intervention</t>
        </is>
      </c>
      <c r="C242" s="219" t="inlineStr">
        <is>
          <t>Observe and then contribute to teacher consultation</t>
        </is>
      </c>
      <c r="D242" s="219" t="n"/>
      <c r="E242" s="219" t="inlineStr">
        <is>
          <t>3 blocks · 6 micro-skills</t>
        </is>
      </c>
      <c r="F242" s="219" t="inlineStr">
        <is>
          <t>CORU 5.38 · 5.40 · 5.22</t>
        </is>
      </c>
      <c r="G242" s="219" t="n"/>
      <c r="H242" s="219" t="n"/>
      <c r="I242" s="219" t="n"/>
      <c r="J242" s="219" t="n"/>
      <c r="K242" s="219" t="n"/>
      <c r="L242" s="219" t="n"/>
      <c r="M242" s="219" t="n"/>
      <c r="N242" s="219" t="n"/>
      <c r="O242" s="219" t="n"/>
      <c r="P242" s="219" t="n"/>
      <c r="Q242" s="219" t="inlineStr">
        <is>
          <t>Year 1</t>
        </is>
      </c>
      <c r="R242" s="219" t="n"/>
      <c r="S242" s="219" t="n"/>
      <c r="T242" s="219" t="n"/>
      <c r="U242" s="219" t="n"/>
    </row>
    <row r="243" outlineLevel="2" ht="43.5" customHeight="1" s="128">
      <c r="A243" s="220" t="inlineStr">
        <is>
          <t>BLOCK</t>
        </is>
      </c>
      <c r="B243" s="220" t="inlineStr">
        <is>
          <t>3. Intervention</t>
        </is>
      </c>
      <c r="C243" s="220" t="inlineStr">
        <is>
          <t>Observe and then contribute to teacher consultation</t>
        </is>
      </c>
      <c r="D243" s="221" t="inlineStr">
        <is>
          <t>Block 1 · Learning one model</t>
        </is>
      </c>
      <c r="E243" s="222" t="inlineStr">
        <is>
          <t>A structured consultation model with named stages you can follow.</t>
        </is>
      </c>
      <c r="F243" s="220" t="inlineStr">
        <is>
          <t>4–5 hours plus practice · Weeks 3–6</t>
        </is>
      </c>
      <c r="G243" s="220" t="n"/>
      <c r="H243" s="220" t="n"/>
      <c r="I243" s="220" t="n"/>
      <c r="J243" s="220" t="n"/>
      <c r="K243" s="220" t="n"/>
      <c r="L243" s="220" t="n"/>
      <c r="M243" s="222" t="n"/>
      <c r="N243" s="220" t="n"/>
      <c r="O243" s="220" t="n"/>
      <c r="P243" s="220" t="inlineStr">
        <is>
          <t>How you build it: Read one model properly. Follow it explicitly for five consultations.</t>
        </is>
      </c>
      <c r="Q243" s="220" t="n"/>
      <c r="R243" s="220" t="n"/>
      <c r="S243" s="220" t="n"/>
      <c r="T243" s="220" t="n"/>
      <c r="U243" s="220" t="n"/>
    </row>
    <row r="244" outlineLevel="2" ht="120" customHeight="1" s="128">
      <c r="A244" s="139" t="inlineStr">
        <is>
          <t>MICRO-SKILL</t>
        </is>
      </c>
      <c r="B244" s="139" t="inlineStr">
        <is>
          <t>3. Intervention</t>
        </is>
      </c>
      <c r="C244" s="139" t="inlineStr">
        <is>
          <t>Observe and then contribute to teacher consultation</t>
        </is>
      </c>
      <c r="D244" s="139" t="inlineStr">
        <is>
          <t>Block 1 · Learning one model</t>
        </is>
      </c>
      <c r="E244" s="223" t="inlineStr">
        <is>
          <t>Use a named consultation model</t>
        </is>
      </c>
      <c r="F244" s="139" t="inlineStr">
        <is>
          <t>CORU SoP 5.38</t>
        </is>
      </c>
      <c r="G244" s="227" t="inlineStr">
        <is>
          <t>Without a model, consultation becomes a chat that ends in advice. A named model gives you a sequence to return to when the conversation drifts. Problem-solving consultation (Bergan &amp; Kratochwill, 1990, Behavioral Consultation and Therapy), consultation as a framework for EP practice (Wagner, 2000, Educational Psychology in Practice) and solution-focused approaches (Rhodes &amp; Ajmal, 1995, Solution Focused Thinking in Schools) are three. CORU SoP 5.38 is the standard mapped here. The Reference sheet's advice: pick one and use it repeatedly.</t>
        </is>
      </c>
      <c r="H244" s="165" t="inlineStr">
        <is>
          <t>WATCH FOR — which model your supervisor is using, even if they do not name it: do they move through problem identification, analysis, plan, evaluation; or start from exceptions and preferred futures?
WRITE DOWN — the stages you can see in the meeting, and the question that moved it from one stage to the next.
ASK AFTERWARDS — 'which model were you working from there, and where did you depart from it?'</t>
        </is>
      </c>
      <c r="I244" s="165" t="inlineStr">
        <is>
          <t>YOU TAKE — choosing one model, reading its core source, and preparing a one-page prompt sheet of its stages and key questions before a supervised consultation.
THEY HOLD — leading the consultation, while you track the stages on your sheet.
WHY THAT SPLIT — learning a model's structure is reading and preparation. Following it in a live meeting while also listening to a teacher is the harder skill, best learned by tracking someone else first.</t>
        </is>
      </c>
      <c r="J244" s="165" t="inlineStr">
        <is>
          <t>YOU RUN IT — lead a consultation using your chosen model, with your supervisor present.
WHAT THEY ARE WATCHING FOR — skipping from problem statement straight to plan, which is where problem-solving consultation most often fails (Reference sheet; see Gutkin &amp; Curtis, 2009, for the evidence).
STEPPING IN LOOKS LIKE — 'before we talk about what to do — can we get a clearer picture of when this happens?'</t>
        </is>
      </c>
      <c r="K244" s="207" t="inlineStr">
        <is>
          <t>YOU DO IT ALONE — use one named model consistently in your consultations and be able to say which stage each part of the meeting was.
PASS TEST — You can say which one
EVIDENCE TO FILE — consultation record with the model named, anonymised. Log against 3. Intervention.
WHAT FAILURE LOOKS LIKE — asked in supervision which model you used, you say 'just a general chat, really', and cannot describe how the meeting was structured.</t>
        </is>
      </c>
      <c r="L244" s="165" t="inlineStr">
        <is>
          <t>YOU CAN TEACH IT — you can explain the stages of your chosen model, cite its source, say why problem identification carries so much weight, and compare it briefly with one other model.
WHEN IT GOES WRONG — you can say what to do when the model does not fit a meeting (for example a crisis): name the departure in your record, deal with the immediate need, and return to the model at the next meeting.</t>
        </is>
      </c>
      <c r="M244" s="224" t="inlineStr">
        <is>
          <t>Running consultations as unstructured conversations with no model you can name.</t>
        </is>
      </c>
      <c r="N244" s="165" t="inlineStr">
        <is>
          <t>→ Feeds into 'Contract at the start', 'Ask questions that open rather than close', and Systemic Change.</t>
        </is>
      </c>
      <c r="O244" s="225" t="inlineStr">
        <is>
          <t>Not started</t>
        </is>
      </c>
      <c r="P244" s="165" t="inlineStr">
        <is>
          <t>WATCH FOR — which model your supervisor is using, even if they do not name it: do they move through problem identification, analysis, plan, evaluation; or start from exceptions and preferred futures?</t>
        </is>
      </c>
      <c r="Q244" s="139" t="inlineStr">
        <is>
          <t>Year 1</t>
        </is>
      </c>
      <c r="R244" s="226" t="inlineStr">
        <is>
          <t>26/10/2026</t>
        </is>
      </c>
      <c r="S244" s="226" t="inlineStr">
        <is>
          <t>16/11/2026</t>
        </is>
      </c>
      <c r="T244" s="226" t="inlineStr">
        <is>
          <t>14/12/2026</t>
        </is>
      </c>
      <c r="U244" s="139" t="inlineStr">
        <is>
          <t>Consultation record · Appendix 5 · Log sheet tagged 3. Intervention</t>
        </is>
      </c>
    </row>
    <row r="245" outlineLevel="2" ht="120" customHeight="1" s="128">
      <c r="A245" s="139" t="inlineStr">
        <is>
          <t>MICRO-SKILL</t>
        </is>
      </c>
      <c r="B245" s="139" t="inlineStr">
        <is>
          <t>3. Intervention</t>
        </is>
      </c>
      <c r="C245" s="139" t="inlineStr">
        <is>
          <t>Observe and then contribute to teacher consultation</t>
        </is>
      </c>
      <c r="D245" s="139" t="inlineStr">
        <is>
          <t>Block 1 · Learning one model</t>
        </is>
      </c>
      <c r="E245" s="223" t="inlineStr">
        <is>
          <t>Contract at the start</t>
        </is>
      </c>
      <c r="F245" s="139" t="inlineStr">
        <is>
          <t>CORU SoP 5.38</t>
        </is>
      </c>
      <c r="G245" s="227" t="inlineStr">
        <is>
          <t>A teacher who expected an assessment and gets a conversation, or who expected advice and gets questions, will leave frustrated. Contracting — agreeing at the start what the meeting is for, how long it will take and what will come out of it — is part of the consultation process described by Wagner (2000). CORU SoP 5.38 is the standard mapped here. Without it, the teacher's unspoken expectation, usually 'take the child and fix him', governs the meeting.</t>
        </is>
      </c>
      <c r="H245" s="165" t="inlineStr">
        <is>
          <t>WATCH FOR — how your supervisor opens a consultation: whether they say what the meeting is for, how long it will take, what the teacher will leave with, and what happens with the notes.
WRITE DOWN — the opening words, and any moment later where the contract was referred back to ('we said we'd focus on the mornings').
ASK AFTERWARDS — 'what do you do when the teacher clearly expected you to take the child out and assess him?'</t>
        </is>
      </c>
      <c r="I245" s="165" t="inlineStr">
        <is>
          <t>YOU TAKE — writing a short contracting script for your service: purpose, time, roles, what is recorded and who sees it, what happens next.
THEY HOLD — the opening itself, especially with teachers or principals who have strong expectations of what an EP visit is.
WHY THAT SPLIT — scripting the contract is preparation. Holding it with a principal who wants something else is authority you are still building.</t>
        </is>
      </c>
      <c r="J245" s="165" t="inlineStr">
        <is>
          <t>YOU RUN IT — open a supervised consultation with your contract, and check the teacher agrees before moving on.
WHAT THEY ARE WATCHING FOR — a contract rushed through as a formality, and not noticing when the teacher's expectation is different.
STEPPING IN LOOKS LIKE — 'can I just check — what were you hoping to get from today?'</t>
        </is>
      </c>
      <c r="K245" s="207" t="inlineStr">
        <is>
          <t>YOU DO IT ALONE — begin each consultation by agreeing its purpose, time, roles and output, and check the teacher's own expectation.
PASS TEST — Both parties know what this meeting is for
EVIDENCE TO FILE — consultation record showing the agreed purpose. Log against 3. Intervention.
WHAT FAILURE LOOKS LIKE — forty minutes in, the teacher asks 'so when will you be seeing him?', and it is clear she thought this meeting was the preamble to an assessment.</t>
        </is>
      </c>
      <c r="L245" s="165" t="inlineStr">
        <is>
          <t>YOU CAN TEACH IT — you can explain what contracting covers, why it matters in a service where schools expect assessment, and how to renegotiate when the teacher wants something else.
WHEN IT GOES WRONG — you can say what to do when the contract breaks down mid-meeting: stop, name it, re-agree the purpose, and if necessary agree a different meeting for the other need.</t>
        </is>
      </c>
      <c r="M245" s="224" t="inlineStr">
        <is>
          <t>Starting a consultation without agreeing what it is for.</t>
        </is>
      </c>
      <c r="N245" s="165" t="inlineStr">
        <is>
          <t>→ Feeds into 'Ask questions that open rather than close' and 'Agree actions with a review point'.</t>
        </is>
      </c>
      <c r="O245" s="225" t="inlineStr">
        <is>
          <t>Not started</t>
        </is>
      </c>
      <c r="P245" s="165" t="inlineStr">
        <is>
          <t>WATCH FOR — how your supervisor opens a consultation: whether they say what the meeting is for, how long it will take, what the teacher will leave with, and what happens with the notes.</t>
        </is>
      </c>
      <c r="Q245" s="139" t="inlineStr">
        <is>
          <t>Year 1</t>
        </is>
      </c>
      <c r="R245" s="226" t="inlineStr">
        <is>
          <t>26/10/2026</t>
        </is>
      </c>
      <c r="S245" s="226" t="inlineStr">
        <is>
          <t>16/11/2026</t>
        </is>
      </c>
      <c r="T245" s="226" t="inlineStr">
        <is>
          <t>14/12/2026</t>
        </is>
      </c>
      <c r="U245" s="139" t="inlineStr">
        <is>
          <t>Consultation record · Appendix 5 · Log sheet tagged 3. Intervention</t>
        </is>
      </c>
    </row>
    <row r="246" outlineLevel="2" ht="43.5" customHeight="1" s="128">
      <c r="A246" s="220" t="inlineStr">
        <is>
          <t>BLOCK</t>
        </is>
      </c>
      <c r="B246" s="220" t="inlineStr">
        <is>
          <t>3. Intervention</t>
        </is>
      </c>
      <c r="C246" s="220" t="inlineStr">
        <is>
          <t>Observe and then contribute to teacher consultation</t>
        </is>
      </c>
      <c r="D246" s="221" t="inlineStr">
        <is>
          <t>Block 2 · Question technique</t>
        </is>
      </c>
      <c r="E246" s="222" t="inlineStr">
        <is>
          <t>Asking so the other person generates the solution.</t>
        </is>
      </c>
      <c r="F246" s="220" t="inlineStr">
        <is>
          <t>Ongoing · Weeks 7–12</t>
        </is>
      </c>
      <c r="G246" s="220" t="n"/>
      <c r="H246" s="220" t="n"/>
      <c r="I246" s="220" t="n"/>
      <c r="J246" s="220" t="n"/>
      <c r="K246" s="220" t="n"/>
      <c r="L246" s="220" t="n"/>
      <c r="M246" s="222" t="n"/>
      <c r="N246" s="220" t="n"/>
      <c r="O246" s="220" t="n"/>
      <c r="P246" s="220" t="inlineStr">
        <is>
          <t>How you build it: Ask your supervisor to count how many solutions you supplied.</t>
        </is>
      </c>
      <c r="Q246" s="220" t="n"/>
      <c r="R246" s="220" t="n"/>
      <c r="S246" s="220" t="n"/>
      <c r="T246" s="220" t="n"/>
      <c r="U246" s="220" t="n"/>
    </row>
    <row r="247" outlineLevel="2" ht="120" customHeight="1" s="128">
      <c r="A247" s="139" t="inlineStr">
        <is>
          <t>MICRO-SKILL</t>
        </is>
      </c>
      <c r="B247" s="139" t="inlineStr">
        <is>
          <t>3. Intervention</t>
        </is>
      </c>
      <c r="C247" s="139" t="inlineStr">
        <is>
          <t>Observe and then contribute to teacher consultation</t>
        </is>
      </c>
      <c r="D247" s="139" t="inlineStr">
        <is>
          <t>Block 2 · Question technique</t>
        </is>
      </c>
      <c r="E247" s="223" t="inlineStr">
        <is>
          <t>Ask questions that open rather than close</t>
        </is>
      </c>
      <c r="F247" s="139" t="inlineStr">
        <is>
          <t>CORU SoP 5.38 · 5.40</t>
        </is>
      </c>
      <c r="G247" s="227" t="inlineStr">
        <is>
          <t>The presenting concern is rarely the workable problem, and questions — not suggestions — get you from 'he's disruptive' to a defined, observable pattern (Reference sheet, 'Problem identification'). 'Have you tried…?' reads as criticism however it is meant. CORU SoP 5.38 and 5.40 are the standards mapped here. A teacher who generates the solution owns it and is more likely to implement it; one handed a solution is less so (Reference sheet, 'Staying out of the expert role').</t>
        </is>
      </c>
      <c r="H247" s="165" t="inlineStr">
        <is>
          <t>WATCH FOR — the questions your supervisor asks, and how many are open (what, when, how) versus closed or leading ('have you tried a sticker chart?').
WRITE DOWN — the questions that visibly shifted the teacher's thinking — often 'when does it not happen?' or 'what do you think is going on?'
ASK AFTERWARDS — 'how do you stop yourself suggesting something when you can see the answer?'</t>
        </is>
      </c>
      <c r="I247" s="165" t="inlineStr">
        <is>
          <t>YOU TAKE — preparing a bank of opening questions for each stage of your model, and in the meeting asking two or three of them at points your supervisor signals.
THEY HOLD — the flow of the consultation and the decision on when to move to planning.
WHY THAT SPLIT — asking a prepared question is a safe contribution. Knowing when enough has been understood to move on is a judgement that takes many consultations.</t>
        </is>
      </c>
      <c r="J247" s="165" t="inlineStr">
        <is>
          <t>YOU RUN IT — lead the problem-identification and analysis stages with open questions, holding back your own suggestions.
WHAT THEY ARE WATCHING FOR — 'have you tried…?', questions that are suggestions in disguise, and moving to solutions before the problem is defined.
STEPPING IN LOOKS LIKE — 'what do you think is going on for him?' — the question the teacher is rarely asked.</t>
        </is>
      </c>
      <c r="K247" s="207" t="inlineStr">
        <is>
          <t>YOU DO IT ALONE — run a consultation in which your contribution is mainly questions, and the plan comes from the teacher.
PASS TEST — The teacher generated the solution
EVIDENCE TO FILE — consultation record noting who proposed each action. Log against 3. Intervention.
WHAT FAILURE LOOKS LIKE — you leave with a list of your own strategies, the teacher agreed politely, and at review none has been tried.</t>
        </is>
      </c>
      <c r="L247" s="165" t="inlineStr">
        <is>
          <t>YOU CAN TEACH IT — you can explain why open questions build ownership, give examples at each stage of a problem-solving model, and say why 'have you tried' backfires.
WHEN IT GOES WRONG — you can say what to do when the teacher insists on being told what to do: offer two or three options, ask which fits the class, and let them choose and adapt.</t>
        </is>
      </c>
      <c r="M247" s="224" t="inlineStr">
        <is>
          <t>Offering solutions before the problem is defined, or asking 'have you tried…?'</t>
        </is>
      </c>
      <c r="N247" s="165" t="inlineStr">
        <is>
          <t>→ Feeds into 'Identify who holds the problem and who holds the power' and 'Build capacity rather than doing it for them'.</t>
        </is>
      </c>
      <c r="O247" s="225" t="inlineStr">
        <is>
          <t>Not started</t>
        </is>
      </c>
      <c r="P247" s="165" t="inlineStr">
        <is>
          <t>WATCH FOR — the questions your supervisor asks, and how many are open (what, when, how) versus closed or leading ('have you tried a sticker chart?').</t>
        </is>
      </c>
      <c r="Q247" s="139" t="inlineStr">
        <is>
          <t>Year 1</t>
        </is>
      </c>
      <c r="R247" s="226" t="inlineStr">
        <is>
          <t>26/10/2026</t>
        </is>
      </c>
      <c r="S247" s="226" t="inlineStr">
        <is>
          <t>16/11/2026</t>
        </is>
      </c>
      <c r="T247" s="226" t="inlineStr">
        <is>
          <t>14/12/2026</t>
        </is>
      </c>
      <c r="U247" s="139" t="inlineStr">
        <is>
          <t>Consultation record · Appendix 5 · Log sheet tagged 3. Intervention</t>
        </is>
      </c>
    </row>
    <row r="248" outlineLevel="2" ht="120" customHeight="1" s="128">
      <c r="A248" s="139" t="inlineStr">
        <is>
          <t>MICRO-SKILL</t>
        </is>
      </c>
      <c r="B248" s="139" t="inlineStr">
        <is>
          <t>3. Intervention</t>
        </is>
      </c>
      <c r="C248" s="139" t="inlineStr">
        <is>
          <t>Observe and then contribute to teacher consultation</t>
        </is>
      </c>
      <c r="D248" s="139" t="inlineStr">
        <is>
          <t>Block 2 · Question technique</t>
        </is>
      </c>
      <c r="E248" s="223" t="inlineStr">
        <is>
          <t>Identify who holds the problem and who holds the power</t>
        </is>
      </c>
      <c r="F248" s="139" t="inlineStr">
        <is>
          <t>CORU SoP 5.22</t>
        </is>
      </c>
      <c r="G248" s="227" t="inlineStr">
        <is>
          <t>The person most worried about a child is not always the person who can change things. A class teacher may carry the problem while the principal controls timetabling and SET deployment; a parent may carry it while the school holds the resource. CORU SoP 5.22 is the standard mapped here. Consulting with someone who has no power over the change produces plans nobody can implement. Schein's work on process consultation (Schein, 1999, Process Consultation Revisited) is one source on reading these relationships.</t>
        </is>
      </c>
      <c r="H248" s="165" t="inlineStr">
        <is>
          <t>WATCH FOR — who is in the consultation, who is not, who speaks most, and who defers to whom. Notice whether the plan depends on someone who is not present.
WRITE DOWN — for one consultation, who owns the concern, who can change timetabling, staffing or the classroom, and who would have to agree.
ASK AFTERWARDS — 'how do you decide whether the principal needs to be in the room?'</t>
        </is>
      </c>
      <c r="I248" s="165" t="inlineStr">
        <is>
          <t>YOU TAKE — mapping, before the meeting, who holds the concern and who holds each resource the plan might need (class teacher, SET, principal, SNA, parent).
THEY HOLD — the decision to widen the meeting or approach the principal separately.
WHY THAT SPLIT — mapping is analysis you can do from the file. Approaching a principal about who should attend is a relationship move your supervisor makes on behalf of the service.</t>
        </is>
      </c>
      <c r="J248" s="165" t="inlineStr">
        <is>
          <t>YOU RUN IT — lead a consultation and, before agreeing actions, check whether those present can carry them out or need someone else's agreement.
WHAT THEY ARE WATCHING FOR — a plan that needs the principal's agreement, agreed with a class teacher who cannot give it.
STEPPING IN LOOKS LIKE — 'is this something you can decide, or does it need to go to the principal first?'</t>
        </is>
      </c>
      <c r="K248" s="207" t="inlineStr">
        <is>
          <t>YOU DO IT ALONE — before closing a consultation, identify who holds the problem and who holds the power to act, and address the gap.
PASS TEST — You noticed the difference
EVIDENCE TO FILE — consultation record noting who needs to agree, anonymised. Log against 3. Intervention.
WHAT FAILURE LOOKS LIKE — the class teacher agrees to extra SET input, the principal knows nothing about it, and nothing changes.</t>
        </is>
      </c>
      <c r="L248" s="165" t="inlineStr">
        <is>
          <t>YOU CAN TEACH IT — you can explain the difference between holding a problem and holding the power to change it, and how to map this in any school.
WHEN IT GOES WRONG — you can say what to do when the person with power will not engage: record it, discuss it with your supervisor, and plan within what those present can control.</t>
        </is>
      </c>
      <c r="M248" s="224" t="inlineStr">
        <is>
          <t>Agreeing a plan with someone who has no power to carry it out.</t>
        </is>
      </c>
      <c r="N248" s="165" t="inlineStr">
        <is>
          <t>→ Feeds into 'Agree actions with a review point', and into Systemic Change.</t>
        </is>
      </c>
      <c r="O248" s="225" t="inlineStr">
        <is>
          <t>Not started</t>
        </is>
      </c>
      <c r="P248" s="165" t="inlineStr">
        <is>
          <t>WATCH FOR — who is in the consultation, who is not, who speaks most, and who defers to whom. Notice whether the plan depends on someone who is not present.</t>
        </is>
      </c>
      <c r="Q248" s="139" t="inlineStr">
        <is>
          <t>Year 1</t>
        </is>
      </c>
      <c r="R248" s="226" t="inlineStr">
        <is>
          <t>26/10/2026</t>
        </is>
      </c>
      <c r="S248" s="226" t="inlineStr">
        <is>
          <t>16/11/2026</t>
        </is>
      </c>
      <c r="T248" s="226" t="inlineStr">
        <is>
          <t>14/12/2026</t>
        </is>
      </c>
      <c r="U248" s="139" t="inlineStr">
        <is>
          <t>Consultation record · Appendix 5 · Log sheet tagged 3. Intervention</t>
        </is>
      </c>
    </row>
    <row r="249" outlineLevel="2" ht="43.5" customHeight="1" s="128">
      <c r="A249" s="220" t="inlineStr">
        <is>
          <t>BLOCK</t>
        </is>
      </c>
      <c r="B249" s="220" t="inlineStr">
        <is>
          <t>3. Intervention</t>
        </is>
      </c>
      <c r="C249" s="220" t="inlineStr">
        <is>
          <t>Observe and then contribute to teacher consultation</t>
        </is>
      </c>
      <c r="D249" s="221" t="inlineStr">
        <is>
          <t>Block 3 · Closing the loop</t>
        </is>
      </c>
      <c r="E249" s="222" t="inlineStr">
        <is>
          <t>Actions with names and dates, and checking what happened.</t>
        </is>
      </c>
      <c r="F249" s="220" t="inlineStr">
        <is>
          <t>10 minutes per consultation · Weeks 7–12</t>
        </is>
      </c>
      <c r="G249" s="220" t="n"/>
      <c r="H249" s="220" t="n"/>
      <c r="I249" s="220" t="n"/>
      <c r="J249" s="220" t="n"/>
      <c r="K249" s="220" t="n"/>
      <c r="L249" s="220" t="n"/>
      <c r="M249" s="222" t="n"/>
      <c r="N249" s="220" t="n"/>
      <c r="O249" s="220" t="n"/>
      <c r="P249" s="220" t="inlineStr">
        <is>
          <t>How you build it: Diary the review date at the moment you agree it.</t>
        </is>
      </c>
      <c r="Q249" s="220" t="n"/>
      <c r="R249" s="220" t="n"/>
      <c r="S249" s="220" t="n"/>
      <c r="T249" s="220" t="n"/>
      <c r="U249" s="220" t="n"/>
    </row>
    <row r="250" outlineLevel="2" ht="120" customHeight="1" s="128">
      <c r="A250" s="139" t="inlineStr">
        <is>
          <t>MICRO-SKILL</t>
        </is>
      </c>
      <c r="B250" s="139" t="inlineStr">
        <is>
          <t>3. Intervention</t>
        </is>
      </c>
      <c r="C250" s="139" t="inlineStr">
        <is>
          <t>Observe and then contribute to teacher consultation</t>
        </is>
      </c>
      <c r="D250" s="139" t="inlineStr">
        <is>
          <t>Block 3 · Closing the loop</t>
        </is>
      </c>
      <c r="E250" s="223" t="inlineStr">
        <is>
          <t>Agree actions with a review point</t>
        </is>
      </c>
      <c r="F250" s="139" t="inlineStr">
        <is>
          <t>CORU SoP 5.37</t>
        </is>
      </c>
      <c r="G250" s="227" t="inlineStr">
        <is>
          <t>Consultations without a written record and a review date evaporate, and the teacher concludes psychology is talk (Reference sheet, 'Closing the loop'). CORU SoP 5.37 is the standard mapped here. Your placement review named record-keeping and consultation write-up as a development area, and this is the habit that addresses it. Sending the record within 24 hours, as the Reference sheet advises, makes the actions visible to everyone.</t>
        </is>
      </c>
      <c r="H250" s="165" t="inlineStr">
        <is>
          <t>WATCH FOR — how your supervisor closes a consultation: summarising actions, naming who does each, setting a review date, and saying when the record will be sent.
WRITE DOWN — the actions as agreed, the review date, and how soon afterwards the record went out.
ASK AFTERWARDS — 'what do you actually send the teacher, and how long does it take you?'</t>
        </is>
      </c>
      <c r="I250" s="165" t="inlineStr">
        <is>
          <t>YOU TAKE — writing the consultation record for your supervisor's consultation and sending it to them within 24 hours for checking.
THEY HOLD — the closing summary in the meeting and approval of the record before it goes to the school.
WHY THAT SPLIT — the write-up is the named development area and should be yours at once. Your supervisor approves it so you learn what a school needs to see.</t>
        </is>
      </c>
      <c r="J250" s="165" t="inlineStr">
        <is>
          <t>YOU RUN IT — close a consultation yourself: summarise actions, roles and a review date aloud, then send the record within 24 hours.
WHAT THEY ARE WATCHING FOR — actions like 'monitor behaviour' with no specifics, and a record that arrives a week later.
STEPPING IN LOOKS LIKE — 'let's read those back — who, what, by when, and when do we meet again?'</t>
        </is>
      </c>
      <c r="K250" s="207" t="inlineStr">
        <is>
          <t>YOU DO IT ALONE — close every consultation with specific actions, named roles and a dated review, and send the record within 24 hours.
PASS TEST — Specific and dated
EVIDENCE TO FILE — anonymised consultation record, with the date sent. Log against 3. Intervention.
WHAT FAILURE LOOKS LIKE — at the review, nobody can remember what was agreed and you have no record to check.</t>
        </is>
      </c>
      <c r="L250" s="165" t="inlineStr">
        <is>
          <t>YOU CAN TEACH IT — you can explain what a consultation record needs to contain, why it goes out within a day, and how the review date connects to the Student Support File cycle.
WHEN IT GOES WRONG — you can say what to do when a record has not been sent: send it now, apologise briefly, and confirm the review date is still right.</t>
        </is>
      </c>
      <c r="M250" s="224" t="inlineStr">
        <is>
          <t>No written record and no review date after the consultation.</t>
        </is>
      </c>
      <c r="N250" s="165" t="inlineStr">
        <is>
          <t>→ Feeds into 'Set a review date' in recommendations, and into 'Build capacity rather than doing it for them'.</t>
        </is>
      </c>
      <c r="O250" s="225" t="inlineStr">
        <is>
          <t>Not started</t>
        </is>
      </c>
      <c r="P250" s="165" t="inlineStr">
        <is>
          <t>WATCH FOR — how your supervisor closes a consultation: summarising actions, naming who does each, setting a review date, and saying when the record will be sent.</t>
        </is>
      </c>
      <c r="Q250" s="139" t="inlineStr">
        <is>
          <t>Year 1</t>
        </is>
      </c>
      <c r="R250" s="226" t="inlineStr">
        <is>
          <t>26/10/2026</t>
        </is>
      </c>
      <c r="S250" s="226" t="inlineStr">
        <is>
          <t>16/11/2026</t>
        </is>
      </c>
      <c r="T250" s="226" t="inlineStr">
        <is>
          <t>14/12/2026</t>
        </is>
      </c>
      <c r="U250" s="139" t="inlineStr">
        <is>
          <t>Consultation record · Appendix 5 · Log sheet tagged 3. Intervention</t>
        </is>
      </c>
    </row>
    <row r="251" outlineLevel="2" ht="120" customHeight="1" s="128">
      <c r="A251" s="139" t="inlineStr">
        <is>
          <t>MICRO-SKILL</t>
        </is>
      </c>
      <c r="B251" s="139" t="inlineStr">
        <is>
          <t>3. Intervention</t>
        </is>
      </c>
      <c r="C251" s="139" t="inlineStr">
        <is>
          <t>Observe and then contribute to teacher consultation</t>
        </is>
      </c>
      <c r="D251" s="139" t="inlineStr">
        <is>
          <t>Block 3 · Closing the loop</t>
        </is>
      </c>
      <c r="E251" s="223" t="inlineStr">
        <is>
          <t>Build capacity rather than doing it for them</t>
        </is>
      </c>
      <c r="F251" s="139" t="inlineStr">
        <is>
          <t>CORU SoP 5.40</t>
        </is>
      </c>
      <c r="G251" s="227" t="inlineStr">
        <is>
          <t>One psychologist cannot see every child, and consultation is how the work reaches more of them (Reference sheet; Gutkin &amp; Curtis, 2009). CORU SoP 5.40 frames this as building capacity. When you solve the problem for the teacher, the next similar child comes back to you. When the teacher understands the process, they can use it again. The pull toward being the expert is strongest when you are a trainee who wants to be useful.</t>
        </is>
      </c>
      <c r="H251" s="165" t="inlineStr">
        <is>
          <t>WATCH FOR — moments where your supervisor holds back an answer and lets the teacher reach it, and whether they name the process ('what we did there was look for when it doesn't happen').
WRITE DOWN — anything your supervisor did to make the process transferable — a framework handed over, a summary of the steps, a question the teacher can reuse.
ASK AFTERWARDS — 'how do you know a teacher could do this without you next time?'</t>
        </is>
      </c>
      <c r="I251" s="165" t="inlineStr">
        <is>
          <t>YOU TAKE — preparing a short, practical resource for the teacher based on the consultation process (for example the key questions from problem identification), checked by your supervisor.
THEY HOLD — judgement on how much process to make explicit with this teacher, since some welcome it and some find it patronising.
WHY THAT SPLIT — preparing resources is safe and useful. Reading a teacher's appetite for learning the process needs experience of many teachers.</t>
        </is>
      </c>
      <c r="J251" s="165" t="inlineStr">
        <is>
          <t>YOU RUN IT — lead a consultation and, at the end, name the process you used and ask the teacher how they might use it with another child.
WHAT THEY ARE WATCHING FOR — you doing the thinking for the teacher, or delivering a lecture on the model the teacher did not ask for.
STEPPING IN LOOKS LIKE — 'if another child in your class started doing this next month, what would you do first?'</t>
        </is>
      </c>
      <c r="K251" s="207" t="inlineStr">
        <is>
          <t>YOU DO IT ALONE — in each consultation, leave the teacher with a process they can use again, not only a plan for this child.
PASS TEST — They could do it again without you
EVIDENCE TO FILE — consultation record and any resource left with the teacher. Log against 3. Intervention.
WHAT FAILURE LOOKS LIKE — the same teacher refers a second child with the same pattern a term later, without having tried anything from the first consultation.</t>
        </is>
      </c>
      <c r="L251" s="165" t="inlineStr">
        <is>
          <t>YOU CAN TEACH IT — you can explain the difference between solving a problem and building capacity, why it matters for a service with limited time, and how to make a process visible without lecturing.
WHEN IT GOES WRONG — you can say what to do when a school relies on you to solve every problem: raise it with your supervisor, and plan a staff session or a series of consultations that hand the process over.</t>
        </is>
      </c>
      <c r="M251" s="224" t="inlineStr">
        <is>
          <t>Solving the teacher's problem for them, so they cannot solve the next one.</t>
        </is>
      </c>
      <c r="N251" s="165" t="inlineStr">
        <is>
          <t>→ Feeds into Systemic Change, and into 'Use a named consultation model' with the next teacher.</t>
        </is>
      </c>
      <c r="O251" s="225" t="inlineStr">
        <is>
          <t>Not started</t>
        </is>
      </c>
      <c r="P251" s="165" t="inlineStr">
        <is>
          <t>WATCH FOR — moments where your supervisor holds back an answer and lets the teacher reach it, and whether they name the process ('what we did there was look for when it doesn't happen').</t>
        </is>
      </c>
      <c r="Q251" s="139" t="inlineStr">
        <is>
          <t>Year 1</t>
        </is>
      </c>
      <c r="R251" s="226" t="inlineStr">
        <is>
          <t>26/10/2026</t>
        </is>
      </c>
      <c r="S251" s="226" t="inlineStr">
        <is>
          <t>16/11/2026</t>
        </is>
      </c>
      <c r="T251" s="226" t="inlineStr">
        <is>
          <t>14/12/2026</t>
        </is>
      </c>
      <c r="U251" s="139" t="inlineStr">
        <is>
          <t>Consultation record · Appendix 5 · Log sheet tagged 3. Intervention</t>
        </is>
      </c>
    </row>
    <row r="252" ht="21.75" customHeight="1" s="128">
      <c r="A252" s="173" t="inlineStr">
        <is>
          <t>COMPETENCY</t>
        </is>
      </c>
      <c r="B252" s="173" t="inlineStr">
        <is>
          <t>4. Systemic Change</t>
        </is>
      </c>
      <c r="C252" s="173" t="n"/>
      <c r="D252" s="173" t="n"/>
      <c r="E252" s="173" t="inlineStr">
        <is>
          <t>6 macro skills · 17 blocks · 24 micro-skills</t>
        </is>
      </c>
      <c r="F252" s="173" t="n"/>
      <c r="G252" s="173" t="n"/>
      <c r="H252" s="173" t="n"/>
      <c r="I252" s="173" t="n"/>
      <c r="J252" s="173" t="n"/>
      <c r="K252" s="173" t="n"/>
      <c r="L252" s="173" t="n"/>
      <c r="M252" s="173" t="n"/>
      <c r="N252" s="173" t="n"/>
      <c r="O252" s="173" t="n"/>
      <c r="P252" s="173" t="n"/>
      <c r="Q252" s="173" t="n"/>
      <c r="R252" s="173" t="n"/>
      <c r="S252" s="173" t="n"/>
      <c r="T252" s="173" t="n"/>
      <c r="U252" s="173" t="n"/>
    </row>
    <row r="253" ht="19.5" customHeight="1" s="128">
      <c r="A253" s="219" t="inlineStr">
        <is>
          <t>MACRO SKILL</t>
        </is>
      </c>
      <c r="B253" s="219" t="inlineStr">
        <is>
          <t>4. Systemic Change</t>
        </is>
      </c>
      <c r="C253" s="219" t="inlineStr">
        <is>
          <t>Familiarise with SET provision and allocation</t>
        </is>
      </c>
      <c r="D253" s="219" t="n"/>
      <c r="E253" s="219" t="inlineStr">
        <is>
          <t>3 blocks · 4 micro-skills</t>
        </is>
      </c>
      <c r="F253" s="219" t="inlineStr">
        <is>
          <t>CORU 5.13 · 5.5 · 1.13</t>
        </is>
      </c>
      <c r="G253" s="219" t="n"/>
      <c r="H253" s="219" t="n"/>
      <c r="I253" s="219" t="n"/>
      <c r="J253" s="219" t="n"/>
      <c r="K253" s="219" t="n"/>
      <c r="L253" s="219" t="n"/>
      <c r="M253" s="219" t="n"/>
      <c r="N253" s="219" t="n"/>
      <c r="O253" s="219" t="n"/>
      <c r="P253" s="219" t="n"/>
      <c r="Q253" s="219" t="inlineStr">
        <is>
          <t>Year 1</t>
        </is>
      </c>
      <c r="R253" s="219" t="n"/>
      <c r="S253" s="219" t="n"/>
      <c r="T253" s="219" t="n"/>
      <c r="U253" s="219" t="n"/>
    </row>
    <row r="254" outlineLevel="2" ht="43.5" customHeight="1" s="128">
      <c r="A254" s="220" t="inlineStr">
        <is>
          <t>BLOCK</t>
        </is>
      </c>
      <c r="B254" s="220" t="inlineStr">
        <is>
          <t>4. Systemic Change</t>
        </is>
      </c>
      <c r="C254" s="220" t="inlineStr">
        <is>
          <t>Familiarise with SET provision and allocation</t>
        </is>
      </c>
      <c r="D254" s="221" t="inlineStr">
        <is>
          <t>Block 1 · The allocation model</t>
        </is>
      </c>
      <c r="E254" s="222" t="inlineStr">
        <is>
          <t>How SET hours are allocated to schools and what determines the figure.</t>
        </is>
      </c>
      <c r="F254" s="220" t="inlineStr">
        <is>
          <t>4 hours, once · Weeks 1–2</t>
        </is>
      </c>
      <c r="G254" s="220" t="n"/>
      <c r="H254" s="220" t="n"/>
      <c r="I254" s="220" t="n"/>
      <c r="J254" s="220" t="n"/>
      <c r="K254" s="220" t="n"/>
      <c r="L254" s="220" t="n"/>
      <c r="M254" s="222" t="n"/>
      <c r="N254" s="220" t="n"/>
      <c r="O254" s="220" t="n"/>
      <c r="P254" s="220" t="inlineStr">
        <is>
          <t>How you build it: Read the current SET allocation circular. Name the circular number.</t>
        </is>
      </c>
      <c r="Q254" s="220" t="n"/>
      <c r="R254" s="220" t="n"/>
      <c r="S254" s="220" t="n"/>
      <c r="T254" s="220" t="n"/>
      <c r="U254" s="220" t="n"/>
    </row>
    <row r="255" outlineLevel="2" ht="120" customHeight="1" s="128">
      <c r="A255" s="139" t="inlineStr">
        <is>
          <t>MICRO-SKILL</t>
        </is>
      </c>
      <c r="B255" s="139" t="inlineStr">
        <is>
          <t>4. Systemic Change</t>
        </is>
      </c>
      <c r="C255" s="139" t="inlineStr">
        <is>
          <t>Familiarise with SET provision and allocation</t>
        </is>
      </c>
      <c r="D255" s="139" t="inlineStr">
        <is>
          <t>Block 1 · The allocation model</t>
        </is>
      </c>
      <c r="E255" s="223" t="inlineStr">
        <is>
          <t>Understand how SET hours are allocated</t>
        </is>
      </c>
      <c r="F255" s="139" t="inlineStr">
        <is>
          <t>CORU SoP 5.13</t>
        </is>
      </c>
      <c r="G255" s="227" t="inlineStr">
        <is>
          <t>The Reference sheet sets out the principle: special education teaching (SET) hours come to the school as a block under a profiled model, not per child and not per diagnosis, and the school decides how to deploy them. Parents very often believe that a report or a diagnosis 'gets' their child hours. If you say or imply that, you set up a conflict between the family and the school and then leave. The detail of the profile changes, so for how it is calculated this year check the current Department of Education circular and the NCSE guidance rather than working from memory. CORU SoP 5.13 is the standard mapped here.</t>
        </is>
      </c>
      <c r="H255" s="165" t="inlineStr">
        <is>
          <t>WATCH FOR — what your supervisor says when a parent or teacher asks 'will the report get him resource hours?' Listen for the exact words: whether they say 'the school has an allocation', whether they explain that the school decides, and how quickly they move on to what the support should be for. Notice how the explanation changes for a principal and for a parent.
WRITE DOWN — the sentence they use with a parent, as close to word for word as you can, plus the terms this school uses ('resource', 'learning support', 'SET') and what each means here.
ASK AFTERWARDS — 'what do parents most often get wrong about hours, and what's the one sentence that puts it right without making the school look bad?'</t>
        </is>
      </c>
      <c r="I255" s="165" t="inlineStr">
        <is>
          <t>YOU TAKE — reading the NCSE guidance on the allocation model and the current Department of Education SET circular (check it has not been replaced), then drafting a five-sentence plain-English explanation for parents. Your supervisor checks it before you use it.
THEY HOLD — the conversation with any parent who is already in dispute with the school about support, or who has been told elsewhere that a report will secure hours.
WHY THAT SPLIT — getting the model right on paper is safe to practise. A parent in conflict with a school needs someone who knows the history, and one wrong sentence from you becomes 'the psychologist said'.</t>
        </is>
      </c>
      <c r="J255" s="165" t="inlineStr">
        <is>
          <t>YOU RUN IT — explain the allocation model to a parent at a feedback meeting, with your supervisor present, and then move straight on to what the support for their child should look like.
WHAT THEY ARE WATCHING FOR — implying the report or diagnosis unlocks hours; quoting figures or parts of the formula from memory; blaming the school ('they get the hours and decide who gets them'); using 'profiled model' without explaining it.
STEPPING IN LOOKS LIKE — 'can I add something — the school gets its support teaching as one allocation for everyone, so what this report does is help them decide how to use it well for your son.'</t>
        </is>
      </c>
      <c r="K255" s="207" t="inlineStr">
        <is>
          <t>YOU DO IT ALONE — explain in plain words to a parent that SET is allocated to the school and not to the child, that the school decides how it is used through its support planning, and that the report's job is to say what the support should target. Check understanding by asking what they now plan to ask the school.
PASS TEST — You can explain the model to a parent
EVIDENCE TO FILE — a line in the case record noting what was explained; your parent script as a working paper. Log against 4. Systemic Change.
WHAT FAILURE LOOKS LIKE — a parent who goes from your meeting to the principal and says 'the psychologist said he's entitled to so many hours a week'.</t>
        </is>
      </c>
      <c r="L255" s="165" t="inlineStr">
        <is>
          <t>YOU CAN TEACH IT — you can explain to a peer why allocation to schools rather than to children changes how every recommendation must be worded; how SET differs from SNA access and from special class placement; and where to find the current basis of the allocation (the current circular and NCSE guidance, read rather than recalled).
WHEN IT GOES WRONG — if you realise you told a parent something inaccurate, correct it quickly by phone or in writing, tell your supervisor, and give the school a heads-up so they are not caught off guard at the next meeting.</t>
        </is>
      </c>
      <c r="M255" s="224" t="inlineStr">
        <is>
          <t>Telling a parent, or implying in a report, that a diagnosis or assessment will secure a set number of hours for their child.</t>
        </is>
      </c>
      <c r="N255" s="165" t="inlineStr">
        <is>
          <t>→ Feeds into 'Know how the school deploys what it has', 'Cite the specific circular rather than guidance', and the recommendations section of every report.</t>
        </is>
      </c>
      <c r="O255" s="225" t="inlineStr">
        <is>
          <t>Not started</t>
        </is>
      </c>
      <c r="P255" s="165" t="inlineStr">
        <is>
          <t>WATCH FOR — what your supervisor says when a parent or teacher asks 'will the report get him resource hours?' Listen for the exact words: whether they say 'the school has an allocation', whether they explain that the school decides, and how quickly they move on to what the support should be for. Notice how the explanation changes for a principal and for a parent.</t>
        </is>
      </c>
      <c r="Q255" s="139" t="inlineStr">
        <is>
          <t>Year 1</t>
        </is>
      </c>
      <c r="R255" s="226" t="inlineStr">
        <is>
          <t>26/10/2026</t>
        </is>
      </c>
      <c r="S255" s="226" t="inlineStr">
        <is>
          <t>16/11/2026</t>
        </is>
      </c>
      <c r="T255" s="226" t="inlineStr">
        <is>
          <t>14/12/2026</t>
        </is>
      </c>
      <c r="U255" s="139" t="inlineStr">
        <is>
          <t>Case record · parent explanation script · Log sheet tagged 4. Systemic Change</t>
        </is>
      </c>
    </row>
    <row r="256" outlineLevel="2" ht="120" customHeight="1" s="128">
      <c r="A256" s="139" t="inlineStr">
        <is>
          <t>MICRO-SKILL</t>
        </is>
      </c>
      <c r="B256" s="139" t="inlineStr">
        <is>
          <t>4. Systemic Change</t>
        </is>
      </c>
      <c r="C256" s="139" t="inlineStr">
        <is>
          <t>Familiarise with SET provision and allocation</t>
        </is>
      </c>
      <c r="D256" s="139" t="inlineStr">
        <is>
          <t>Block 1 · The allocation model</t>
        </is>
      </c>
      <c r="E256" s="223" t="inlineStr">
        <is>
          <t>Cite the specific circular rather than 'guidance'</t>
        </is>
      </c>
      <c r="F256" s="139" t="inlineStr">
        <is>
          <t>CORU SoP 1.13</t>
        </is>
      </c>
      <c r="G256" s="227" t="inlineStr">
        <is>
          <t>The Reference sheet: circulars change, so check the current Department circular before you cite anything in a report. CORU SoP 1.13 is mapped here; the Reference sheet reads it as requiring you to be aware of current legislation and to seek out new legislation. 'Department guidance says' cannot be checked and is often out of date. A circular number and title let a principal check what you wrote, and make you check it too. This file does not give circular numbers on purpose: look up the current one each time, because a number you learned last year may have been replaced.</t>
        </is>
      </c>
      <c r="H256" s="165" t="inlineStr">
        <is>
          <t>WATCH FOR — whether your supervisor names circulars in reports and meetings or says 'the guidelines'; where they look them up (the Department of Education circulars search on gov.ie, the NCSE website); and how they confirm a circular is still in force (a later circular that replaces it, the issue date).
WRITE DOWN — the circulars the service cites routinely for SET, SNA access and special class or special school placement, with where you found each one and the date you checked it.
ASK AFTERWARDS — 'how do you find out when a circular has been replaced, and has an old one ever caught you out in a meeting?'</t>
        </is>
      </c>
      <c r="I256" s="165" t="inlineStr">
        <is>
          <t>YOU TAKE — building a one-page reference list of the circulars that currently apply to SET, SNA access and special class/school placement: number, title, issue date, link, and the date you last opened it.
THEY HOLD — confirming that list is current for the service, and deciding which circulars are cited in reports and which are only for background.
WHY THAT SPLIT — finding documents is desk research you can do alone. Knowing which ones the service treats as governing, and whether a replacement is expected, is service knowledge you do not yet have.</t>
        </is>
      </c>
      <c r="J256" s="165" t="inlineStr">
        <is>
          <t>YOU RUN IT — draft a report or letter paragraph that refers to allocation, SNA access or placement, citing the circular by number and title; your supervisor reviews it before it goes anywhere.
WHAT THEY ARE WATCHING FOR — 'as per Department guidance'; a number copied from an old report without opening the current version; paraphrasing a paragraph that has since changed; citing a circular for something it does not say.
STEPPING IN LOOKS LIKE — 'which circular is that from, and when did you last open it? Show me the paragraph.'</t>
        </is>
      </c>
      <c r="K256" s="207" t="inlineStr">
        <is>
          <t>YOU DO IT ALONE — whenever you refer in writing to SET allocation, SNA access or placement criteria, name the circular by number and title, having opened the current version on the day you wrote it, and quote only what it actually says.
PASS TEST — You name the circular number
EVIDENCE TO FILE — your dated reference list of circulars; the report paragraph that cites one. Log against 4. Systemic Change and 6. Ethical Practice.
WHAT FAILURE LOOKS LIKE — a report that cites a replaced circular, and the principal points it out at the review meeting in front of the parents.</t>
        </is>
      </c>
      <c r="L256" s="165" t="inlineStr">
        <is>
          <t>YOU CAN TEACH IT — you can show a peer how to find a circular, how to check it is still in force, why 'guidance' is not a citation, and the difference between a Department circular, NCSE guidance and the Education for Persons with Special Educational Needs (EPSEN) Act 2004. You can also explain why this encyclopedia tells you to check rather than giving a number.
WHEN IT GOES WRONG — if you cited an outdated circular in a report already issued, tell your supervisor and agree a correction or addendum. Do not quietly fix it in the next version.</t>
        </is>
      </c>
      <c r="M256" s="224" t="inlineStr">
        <is>
          <t>Writing 'Department guidance states' or copying a circular number from an old report without opening the current version.</t>
        </is>
      </c>
      <c r="N256" s="165" t="inlineStr">
        <is>
          <t>→ Feeds into 'Understand how SET hours are allocated', 'Know the SENO route and what the NCSE can do', and 6. Ethical Practice (keeping knowledge current).</t>
        </is>
      </c>
      <c r="O256" s="225" t="inlineStr">
        <is>
          <t>Not started</t>
        </is>
      </c>
      <c r="P256" s="165" t="inlineStr">
        <is>
          <t>WATCH FOR — whether your supervisor names circulars in reports and meetings or says 'the guidelines'; where they look them up (the Department of Education circulars search on gov.ie, the NCSE website); and how they confirm a circular is still in force (a later circular that replaces it, the issue date).</t>
        </is>
      </c>
      <c r="Q256" s="139" t="inlineStr">
        <is>
          <t>Year 1</t>
        </is>
      </c>
      <c r="R256" s="226" t="inlineStr">
        <is>
          <t>26/10/2026</t>
        </is>
      </c>
      <c r="S256" s="226" t="inlineStr">
        <is>
          <t>16/11/2026</t>
        </is>
      </c>
      <c r="T256" s="226" t="inlineStr">
        <is>
          <t>14/12/2026</t>
        </is>
      </c>
      <c r="U256" s="139" t="inlineStr">
        <is>
          <t>Dated circulars reference list · report paragraph · Log sheet tagged 4. Systemic Change</t>
        </is>
      </c>
    </row>
    <row r="257" outlineLevel="2" ht="43.5" customHeight="1" s="128">
      <c r="A257" s="220" t="inlineStr">
        <is>
          <t>BLOCK</t>
        </is>
      </c>
      <c r="B257" s="220" t="inlineStr">
        <is>
          <t>4. Systemic Change</t>
        </is>
      </c>
      <c r="C257" s="220" t="inlineStr">
        <is>
          <t>Familiarise with SET provision and allocation</t>
        </is>
      </c>
      <c r="D257" s="221" t="inlineStr">
        <is>
          <t>Block 2 · Deployment in practice</t>
        </is>
      </c>
      <c r="E257" s="222" t="inlineStr">
        <is>
          <t>How a school actually uses what it is given, which is a different question.</t>
        </is>
      </c>
      <c r="F257" s="220" t="inlineStr">
        <is>
          <t>3 hours · Weeks 3–6</t>
        </is>
      </c>
      <c r="G257" s="220" t="n"/>
      <c r="H257" s="220" t="n"/>
      <c r="I257" s="220" t="n"/>
      <c r="J257" s="220" t="n"/>
      <c r="K257" s="220" t="n"/>
      <c r="L257" s="220" t="n"/>
      <c r="M257" s="222" t="n"/>
      <c r="N257" s="220" t="n"/>
      <c r="O257" s="220" t="n"/>
      <c r="P257" s="220" t="inlineStr">
        <is>
          <t>How you build it: Ask two SET coordinators how they deploy. Compare.</t>
        </is>
      </c>
      <c r="Q257" s="220" t="n"/>
      <c r="R257" s="220" t="n"/>
      <c r="S257" s="220" t="n"/>
      <c r="T257" s="220" t="n"/>
      <c r="U257" s="220" t="n"/>
    </row>
    <row r="258" outlineLevel="2" ht="120" customHeight="1" s="128">
      <c r="A258" s="139" t="inlineStr">
        <is>
          <t>MICRO-SKILL</t>
        </is>
      </c>
      <c r="B258" s="139" t="inlineStr">
        <is>
          <t>4. Systemic Change</t>
        </is>
      </c>
      <c r="C258" s="139" t="inlineStr">
        <is>
          <t>Familiarise with SET provision and allocation</t>
        </is>
      </c>
      <c r="D258" s="139" t="inlineStr">
        <is>
          <t>Block 2 · Deployment in practice</t>
        </is>
      </c>
      <c r="E258" s="223" t="inlineStr">
        <is>
          <t>Know how the school deploys what it has</t>
        </is>
      </c>
      <c r="F258" s="139" t="inlineStr">
        <is>
          <t>CORU SoP 5.14</t>
        </is>
      </c>
      <c r="G258" s="227" t="inlineStr">
        <is>
          <t>Allocation is what arrives at the school; deployment is what the school does with it. The Reference sheet says the principal and SET team deploy the allocation, usually through a support plan review, with the SENCO or SET coordinator holding the overview. It also warns that recommending 'additional SET time' asks the school to take it from another child. A recommendation that ignores how support is actually deployed either asks for something that does not exist or repeats what is already happening. CORU SoP 5.14 is the standard mapped here.</t>
        </is>
      </c>
      <c r="H258" s="165" t="inlineStr">
        <is>
          <t>WATCH FOR — how your supervisor finds out how support is actually used: in-class or withdrawal, group sizes, who decides which children get what, how often that is reviewed, and whether the timetable matches the plan. Notice the questions they ask the SET coordinator that are not in any form.
WRITE DOWN — for one school, how support is organised this year, who decides, and when it is reviewed. No pupil names in your notes.
ASK AFTERWARDS — 'how do you find out how a school really uses its hours, as opposed to what they tell you at the first planning meeting?'</t>
        </is>
      </c>
      <c r="I258" s="165" t="inlineStr">
        <is>
          <t>YOU TAKE — asking the SET coordinator to walk you through how support is organised this year, and asking to see the SEN policy and, with permission, a Student Support File for a child you are working with.
THEY HOLD — any conversation that questions the school's deployment decisions.
WHY THAT SPLIT — gathering the picture is information-gathering and teaches you the terrain. Questioning deployment is systemic influence, and it depends on a relationship with the principal that your supervisor has built over years and you have not.</t>
        </is>
      </c>
      <c r="J258" s="165" t="inlineStr">
        <is>
          <t>YOU RUN IT — for a child you are assessing, find out exactly what support they currently get (who delivers it, how often, group size, in-class or withdrawal, what targets) and write the recommendations around it. Your supervisor reviews them.
WHAT THEY ARE WATCHING FOR — 'additional SET support' instead of what the support should target; assuming the child gets what the Student Support File says without checking; recommendations the timetable cannot hold.
STEPPING IN LOOKS LIKE — 'what is he actually getting now? Then your recommendation is about what that time should be used for.'</t>
        </is>
      </c>
      <c r="K258" s="207" t="inlineStr">
        <is>
          <t>YOU DO IT ALONE — keep allocation and deployment separate in your notes and reports: find out how support is deployed for this child, and write recommendations about how that time is used, not about how much of it there should be.
PASS TEST — Allocation and deployment are different things
EVIDENCE TO FILE — a note of current provision in the case record; the recommendations section of the report. Log against 4. Systemic Change.
WHAT FAILURE LOOKS LIKE — a report recommending 'increased resource hours', which the principal reads as a psychologist who does not know how schools work.</t>
        </is>
      </c>
      <c r="L258" s="165" t="inlineStr">
        <is>
          <t>YOU CAN TEACH IT — you can explain the difference with an example: the same hours used as withdrawal groups of six on one programme, or as in-class team teaching, with very different results. You can also show how the NEPS Continuum of Support and the Student Support File shape deployment decisions, and why recommendations should name a purpose rather than a quantity.
WHEN IT GOES WRONG — if the school says your recommendation cannot be delivered, ask what could be done within how support is organised now, and revise it with them rather than defending it.</t>
        </is>
      </c>
      <c r="M258" s="224" t="inlineStr">
        <is>
          <t>Recommending 'more SET hours' rather than saying what the existing support time should be used for.</t>
        </is>
      </c>
      <c r="N258" s="165" t="inlineStr">
        <is>
          <t>→ Feeds into 'Map each Continuum level against provision', 'Identify a gap in the continuum', and the recommendations section of every report.</t>
        </is>
      </c>
      <c r="O258" s="225" t="inlineStr">
        <is>
          <t>Not started</t>
        </is>
      </c>
      <c r="P258" s="165" t="inlineStr">
        <is>
          <t>WATCH FOR — how your supervisor finds out how support is actually used: in-class or withdrawal, group sizes, who decides which children get what, how often that is reviewed, and whether the timetable matches the plan. Notice the questions they ask the SET coordinator that are not in any form.</t>
        </is>
      </c>
      <c r="Q258" s="139" t="inlineStr">
        <is>
          <t>Year 1</t>
        </is>
      </c>
      <c r="R258" s="226" t="inlineStr">
        <is>
          <t>26/10/2026</t>
        </is>
      </c>
      <c r="S258" s="226" t="inlineStr">
        <is>
          <t>16/11/2026</t>
        </is>
      </c>
      <c r="T258" s="226" t="inlineStr">
        <is>
          <t>14/12/2026</t>
        </is>
      </c>
      <c r="U258" s="139" t="inlineStr">
        <is>
          <t>Case record — current provision · report recommendations · Log sheet tagged 4. Systemic Change</t>
        </is>
      </c>
    </row>
    <row r="259" outlineLevel="2" ht="43.5" customHeight="1" s="128">
      <c r="A259" s="220" t="inlineStr">
        <is>
          <t>BLOCK</t>
        </is>
      </c>
      <c r="B259" s="220" t="inlineStr">
        <is>
          <t>4. Systemic Change</t>
        </is>
      </c>
      <c r="C259" s="220" t="inlineStr">
        <is>
          <t>Familiarise with SET provision and allocation</t>
        </is>
      </c>
      <c r="D259" s="221" t="inlineStr">
        <is>
          <t>Block 3 · The wider structures</t>
        </is>
      </c>
      <c r="E259" s="222" t="inlineStr">
        <is>
          <t>The SENO role, the NCSE, and what each can and cannot do.</t>
        </is>
      </c>
      <c r="F259" s="220" t="inlineStr">
        <is>
          <t>2–3 hours, once · Weeks 1–2</t>
        </is>
      </c>
      <c r="G259" s="220" t="n"/>
      <c r="H259" s="220" t="n"/>
      <c r="I259" s="220" t="n"/>
      <c r="J259" s="220" t="n"/>
      <c r="K259" s="220" t="n"/>
      <c r="L259" s="220" t="n"/>
      <c r="M259" s="222" t="n"/>
      <c r="N259" s="220" t="n"/>
      <c r="O259" s="220" t="n"/>
      <c r="P259" s="220" t="inlineStr">
        <is>
          <t>How you build it: One page on who does what. Know who to contact for what.</t>
        </is>
      </c>
      <c r="Q259" s="220" t="n"/>
      <c r="R259" s="220" t="n"/>
      <c r="S259" s="220" t="n"/>
      <c r="T259" s="220" t="n"/>
      <c r="U259" s="220" t="n"/>
    </row>
    <row r="260" outlineLevel="2" ht="120" customHeight="1" s="128">
      <c r="A260" s="139" t="inlineStr">
        <is>
          <t>MICRO-SKILL</t>
        </is>
      </c>
      <c r="B260" s="139" t="inlineStr">
        <is>
          <t>4. Systemic Change</t>
        </is>
      </c>
      <c r="C260" s="139" t="inlineStr">
        <is>
          <t>Familiarise with SET provision and allocation</t>
        </is>
      </c>
      <c r="D260" s="139" t="inlineStr">
        <is>
          <t>Block 3 · The wider structures</t>
        </is>
      </c>
      <c r="E260" s="223" t="inlineStr">
        <is>
          <t>Know the SENO route and what the NCSE can do</t>
        </is>
      </c>
      <c r="F260" s="139" t="inlineStr">
        <is>
          <t>CORU SoP 5.5</t>
        </is>
      </c>
      <c r="G260" s="227" t="inlineStr">
        <is>
          <t>The Reference sheet: the Special Educational Needs Organiser (SENO) handles applications for SNA access and for special class or special school placement. That is a different process from SET hours, and trainees routinely mix them up. SNA support is for significant care needs, not learning support. NCSE structures and application routes have changed in recent years, so check the NCSE website for how things work now, including how SNA access is currently decided and how schools reach the local SENO, before you advise anyone. CORU SoP 5.5 is mapped here.</t>
        </is>
      </c>
      <c r="H260" s="165" t="inlineStr">
        <is>
          <t>WATCH FOR — when your supervisor points a school or family to the SENO, what for, and what they say the SENO can and cannot do. Listen for how they separate SNA access (care needs), special class or special school places, and SET (which the school decides).
WRITE DOWN — a simple table: the need, who handles it, and how to make contact. Include the SENO, the principal or SET coordinator, the HSE CDNT, CAMHS, and the NCSE's teacher support services (check current names on the NCSE website).
ASK AFTERWARDS — 'how do you usually work with the SENO for these schools, and what do families most often ask them for that isn't theirs to give?'</t>
        </is>
      </c>
      <c r="I260" s="165" t="inlineStr">
        <is>
          <t>YOU TAKE — finding the NCSE's current information on the SENO role, the special class and special school application process and SNA access, and turning it into a contact table for the Cavan schools.
THEY HOLD — direct contact with the SENO about individual children, and anything said to a parent about whether their child is likely to get a special class place.
WHY THAT SPLIT — reading the process is safe and quick. Anything a psychologist says about eligibility is heard by parents as a promise, and the working relationship with the SENO belongs to the service.</t>
        </is>
      </c>
      <c r="J260" s="165" t="inlineStr">
        <is>
          <t>YOU RUN IT — at a feedback meeting, explain to a parent which route fits their question and who they should contact, with your supervisor present.
WHAT THEY ARE WATCHING FOR — recommending an SNA for a reading difficulty (the Reference sheet calls this a category error); implying the psychologist decides placement; promising a place; sending a parent to the SENO about SET hours the school decides.
STEPPING IN LOOKS LIKE — 'just to be clear, the SENO deals with applications for places and SNA access. The support teaching is something the school organises, so that's a conversation with the principal.'</t>
        </is>
      </c>
      <c r="K260" s="207" t="inlineStr">
        <is>
          <t>YOU DO IT ALONE — for any question a school or parent raises about provision, say who decides it and how to contact them, and word recommendations so the right person can act on them. Where you mean an adult nearby for safety, say that and why, rather than writing 'SNA'.
PASS TEST — You know who to contact and for what
EVIDENCE TO FILE — your contact table (roles, not personal names); the case record entry. Log against 4. Systemic Change.
WHAT FAILURE LOOKS LIKE — a family waiting months on a SENO reply about something the school could have decided in a week.</t>
        </is>
      </c>
      <c r="L260" s="165" t="inlineStr">
        <is>
          <t>YOU CAN TEACH IT — you can explain to a peer the difference between SET, SNA access and special class/school placement, who decides each one, why SNA is about care and not teaching, and where the NCSE's role is set out in law (read the EPSEN Act 2004 and the NCSE's own description of its functions rather than summarising from memory).
WHEN IT GOES WRONG — if a report you drafted sends someone down the wrong route, tell your supervisor, contact the family with the correct route, and correct the report.</t>
        </is>
      </c>
      <c r="M260" s="224" t="inlineStr">
        <is>
          <t>Recommending SNA support for a learning difficulty, or sending a parent to the SENO for something the school decides.</t>
        </is>
      </c>
      <c r="N260" s="165" t="inlineStr">
        <is>
          <t>→ Feeds into 'Cite the specific circular rather than guidance', 'Visit a range of special education settings', and placement recommendations.</t>
        </is>
      </c>
      <c r="O260" s="225" t="inlineStr">
        <is>
          <t>Not started</t>
        </is>
      </c>
      <c r="P260" s="165" t="inlineStr">
        <is>
          <t>WATCH FOR — when your supervisor points a school or family to the SENO, what for, and what they say the SENO can and cannot do. Listen for how they separate SNA access (care needs), special class or special school places, and SET (which the school decides).</t>
        </is>
      </c>
      <c r="Q260" s="139" t="inlineStr">
        <is>
          <t>Year 1</t>
        </is>
      </c>
      <c r="R260" s="226" t="inlineStr">
        <is>
          <t>26/10/2026</t>
        </is>
      </c>
      <c r="S260" s="226" t="inlineStr">
        <is>
          <t>16/11/2026</t>
        </is>
      </c>
      <c r="T260" s="226" t="inlineStr">
        <is>
          <t>14/12/2026</t>
        </is>
      </c>
      <c r="U260" s="139" t="inlineStr">
        <is>
          <t>Contact table · case record · Log sheet tagged 4. Systemic Change</t>
        </is>
      </c>
    </row>
    <row r="261" outlineLevel="2" ht="19.5" customHeight="1" s="128">
      <c r="A261" s="219" t="inlineStr">
        <is>
          <t>MACRO SKILL</t>
        </is>
      </c>
      <c r="B261" s="219" t="inlineStr">
        <is>
          <t>4. Systemic Change</t>
        </is>
      </c>
      <c r="C261" s="219" t="inlineStr">
        <is>
          <t>Map the school's organisation of supports</t>
        </is>
      </c>
      <c r="D261" s="219" t="n"/>
      <c r="E261" s="219" t="inlineStr">
        <is>
          <t>3 blocks · 4 micro-skills</t>
        </is>
      </c>
      <c r="F261" s="219" t="inlineStr">
        <is>
          <t>CORU 5.13 · 5.35 · 5.40</t>
        </is>
      </c>
      <c r="G261" s="219" t="n"/>
      <c r="H261" s="219" t="n"/>
      <c r="I261" s="219" t="n"/>
      <c r="J261" s="219" t="n"/>
      <c r="K261" s="219" t="n"/>
      <c r="L261" s="219" t="n"/>
      <c r="M261" s="219" t="n"/>
      <c r="N261" s="219" t="n"/>
      <c r="O261" s="219" t="n"/>
      <c r="P261" s="219" t="n"/>
      <c r="Q261" s="219" t="inlineStr">
        <is>
          <t>Year 1</t>
        </is>
      </c>
      <c r="R261" s="219" t="n"/>
      <c r="S261" s="219" t="n"/>
      <c r="T261" s="219" t="n"/>
      <c r="U261" s="219" t="n"/>
    </row>
    <row r="262" outlineLevel="2" ht="43.5" customHeight="1" s="128">
      <c r="A262" s="220" t="inlineStr">
        <is>
          <t>BLOCK</t>
        </is>
      </c>
      <c r="B262" s="220" t="inlineStr">
        <is>
          <t>4. Systemic Change</t>
        </is>
      </c>
      <c r="C262" s="220" t="inlineStr">
        <is>
          <t>Map the school's organisation of supports</t>
        </is>
      </c>
      <c r="D262" s="221" t="inlineStr">
        <is>
          <t>Block 1 · Mapping accurately</t>
        </is>
      </c>
      <c r="E262" s="222" t="inlineStr">
        <is>
          <t>Recording what actually exists at each Continuum level in this school.</t>
        </is>
      </c>
      <c r="F262" s="220" t="inlineStr">
        <is>
          <t>6–8 hours for the first · Weeks 3–6</t>
        </is>
      </c>
      <c r="G262" s="220" t="n"/>
      <c r="H262" s="220" t="n"/>
      <c r="I262" s="220" t="n"/>
      <c r="J262" s="220" t="n"/>
      <c r="K262" s="220" t="n"/>
      <c r="L262" s="220" t="n"/>
      <c r="M262" s="222" t="n"/>
      <c r="N262" s="220" t="n"/>
      <c r="O262" s="220" t="n"/>
      <c r="P262" s="220" t="inlineStr">
        <is>
          <t>How you build it: Do one school thoroughly. The first takes six hours; later ones take two.</t>
        </is>
      </c>
      <c r="Q262" s="220" t="n"/>
      <c r="R262" s="220" t="n"/>
      <c r="S262" s="220" t="n"/>
      <c r="T262" s="220" t="n"/>
      <c r="U262" s="220" t="n"/>
    </row>
    <row r="263" outlineLevel="2" ht="120" customHeight="1" s="128">
      <c r="A263" s="139" t="inlineStr">
        <is>
          <t>MICRO-SKILL</t>
        </is>
      </c>
      <c r="B263" s="139" t="inlineStr">
        <is>
          <t>4. Systemic Change</t>
        </is>
      </c>
      <c r="C263" s="139" t="inlineStr">
        <is>
          <t>Map the school's organisation of supports</t>
        </is>
      </c>
      <c r="D263" s="139" t="inlineStr">
        <is>
          <t>Block 1 · Mapping accurately</t>
        </is>
      </c>
      <c r="E263" s="223" t="inlineStr">
        <is>
          <t>Map each Continuum level against provision</t>
        </is>
      </c>
      <c r="F263" s="139" t="inlineStr">
        <is>
          <t>NEPS Continuum of Support</t>
        </is>
      </c>
      <c r="G263" s="227" t="inlineStr">
        <is>
          <t>The NEPS Continuum of Support (Classroom Support, School Support, School Support Plus) describes what should happen at each level; the map shows what actually does in this school. The Reference sheet lists what to map: who is on the SEN team, how children are identified, withdrawal versus in-class, group sizes, how plans are written and reviewed, how information moves between the SET and the class teacher, and what happens at transitions. Two schools with the same allocation get very different results, and the difference is organisation. A map built from the policy document alone describes a school that does not exist.</t>
        </is>
      </c>
      <c r="H263" s="165" t="inlineStr">
        <is>
          <t>WATCH FOR — how your supervisor gets from policy to practice. The Reference sheet's contrast: 'how does it usually work when a teacher is worried about someone?' gets the real process, while 'what is your identification procedure?' gets the policy. Notice who they ask (class teacher, SET, coordinator, principal) and where the accounts differ.
WRITE DOWN — a grid with a row for each Continuum level and columns for: who identifies, what is offered, who delivers, group size, how plans are written and reviewed, and how information returns to the class teacher.
ASK AFTERWARDS — 'which parts of this map would you check with a second person before trusting them?'</t>
        </is>
      </c>
      <c r="I263" s="165" t="inlineStr">
        <is>
          <t>YOU TAKE — filling in the grid from short conversations with a class teacher, a SET and the coordinator, and from the SEN policy.
THEY HOLD — the conversation with the principal about the map, and the decision about which parts are firm enough to use in a report or planning meeting.
WHY THAT SPLIT — collecting the picture teaches you how Irish schools work in practice. Checking it with the principal touches on how the school is led, and needs a relationship you do not yet have.</t>
        </is>
      </c>
      <c r="J263" s="165" t="inlineStr">
        <is>
          <t>YOU RUN IT — build the full map for one Cavan school; your supervisor checks it against what they know of the school.
WHAT THEY ARE WATCHING FOR — the SEN policy copied into the grid; a Classroom Support row left empty because nobody thought to describe it; one person's account taken as the whole picture; transitions (class to class, primary to post-primary) missed out.
STEPPING IN LOOKS LIKE — 'that's what the policy says. What did the class teacher tell you actually happens when she's worried about a child?'</t>
        </is>
      </c>
      <c r="K263" s="207" t="inlineStr">
        <is>
          <t>YOU DO IT ALONE — map all three Continuum levels for a school from at least two sources, mark where accounts differ, and keep it as a working document that informs your formulations for children in that school.
PASS TEST — The map is complete and accurate
EVIDENCE TO FILE — the map as a working paper, with no pupil names; a note of how it was gathered. Log against 4. Systemic Change, not as casework (the Reference sheet names this as why Systemic Change ends up thinly evidenced).
WHAT FAILURE LOOKS LIKE — a map saying School Support Plus plans are reviewed every term, because the policy says so, when none have been reviewed this year.</t>
        </is>
      </c>
      <c r="L263" s="165" t="inlineStr">
        <is>
          <t>YOU CAN TEACH IT — you can explain the three Continuum levels and what each should contain (read the NEPS Continuum of Support guidelines for primary and post-primary for the wording), how to gather practice rather than policy, and why the map belongs in formulation: it tells you whether a difficulty sits in the child or in how support is delivered.
WHEN IT GOES WRONG — if staff feel checked up on, stop, explain what the map is for (planning support for the children you are seeing), and go back to open, curious questions.</t>
        </is>
      </c>
      <c r="M263" s="224" t="inlineStr">
        <is>
          <t>Building the map from the SEN policy and believing it describes what happens.</t>
        </is>
      </c>
      <c r="N263" s="165" t="inlineStr">
        <is>
          <t>→ Feeds into 'Identify a gap in the continuum', 'Present the map back to the school', and the context section of Formulation.</t>
        </is>
      </c>
      <c r="O263" s="225" t="inlineStr">
        <is>
          <t>Not started</t>
        </is>
      </c>
      <c r="P263" s="165" t="inlineStr">
        <is>
          <t>WATCH FOR — how your supervisor gets from policy to practice. The Reference sheet's contrast: 'how does it usually work when a teacher is worried about someone?' gets the real process, while 'what is your identification procedure?' gets the policy. Notice who they ask (class teacher, SET, coordinator, principal) and where the accounts differ.</t>
        </is>
      </c>
      <c r="Q263" s="139" t="inlineStr">
        <is>
          <t>Year 1</t>
        </is>
      </c>
      <c r="R263" s="226" t="inlineStr">
        <is>
          <t>26/10/2026</t>
        </is>
      </c>
      <c r="S263" s="226" t="inlineStr">
        <is>
          <t>16/11/2026</t>
        </is>
      </c>
      <c r="T263" s="226" t="inlineStr">
        <is>
          <t>14/12/2026</t>
        </is>
      </c>
      <c r="U263" s="139" t="inlineStr">
        <is>
          <t>School support map (working paper) · Log sheet tagged 4. Systemic Change</t>
        </is>
      </c>
    </row>
    <row r="264" outlineLevel="2" ht="43.5" customHeight="1" s="128">
      <c r="A264" s="220" t="inlineStr">
        <is>
          <t>BLOCK</t>
        </is>
      </c>
      <c r="B264" s="220" t="inlineStr">
        <is>
          <t>4. Systemic Change</t>
        </is>
      </c>
      <c r="C264" s="220" t="inlineStr">
        <is>
          <t>Map the school's organisation of supports</t>
        </is>
      </c>
      <c r="D264" s="221" t="inlineStr">
        <is>
          <t>Block 2 · Finding the gap</t>
        </is>
      </c>
      <c r="E264" s="222" t="inlineStr">
        <is>
          <t>Identifying where the continuum breaks down in this school.</t>
        </is>
      </c>
      <c r="F264" s="220" t="inlineStr">
        <is>
          <t>2 hours per school · Weeks 7–12</t>
        </is>
      </c>
      <c r="G264" s="220" t="n"/>
      <c r="H264" s="220" t="n"/>
      <c r="I264" s="220" t="n"/>
      <c r="J264" s="220" t="n"/>
      <c r="K264" s="220" t="n"/>
      <c r="L264" s="220" t="n"/>
      <c r="M264" s="222" t="n"/>
      <c r="N264" s="220" t="n"/>
      <c r="O264" s="220" t="n"/>
      <c r="P264" s="220" t="inlineStr">
        <is>
          <t>How you build it: Compare the map against what the Continuum expects. The difference is the gap.</t>
        </is>
      </c>
      <c r="Q264" s="220" t="n"/>
      <c r="R264" s="220" t="n"/>
      <c r="S264" s="220" t="n"/>
      <c r="T264" s="220" t="n"/>
      <c r="U264" s="220" t="n"/>
    </row>
    <row r="265" outlineLevel="2" ht="120" customHeight="1" s="128">
      <c r="A265" s="139" t="inlineStr">
        <is>
          <t>MICRO-SKILL</t>
        </is>
      </c>
      <c r="B265" s="139" t="inlineStr">
        <is>
          <t>4. Systemic Change</t>
        </is>
      </c>
      <c r="C265" s="139" t="inlineStr">
        <is>
          <t>Map the school's organisation of supports</t>
        </is>
      </c>
      <c r="D265" s="139" t="inlineStr">
        <is>
          <t>Block 2 · Finding the gap</t>
        </is>
      </c>
      <c r="E265" s="223" t="inlineStr">
        <is>
          <t>Identify a gap in the continuum</t>
        </is>
      </c>
      <c r="F265" s="139" t="inlineStr">
        <is>
          <t>CORU SoP 5.35</t>
        </is>
      </c>
      <c r="G265" s="227" t="inlineStr">
        <is>
          <t>The Reference sheet's examples: if every child is withdrawn in groups of six for the same programme regardless of need, the organisation is doing the deciding, not the assessment; if plans are written by the SET and never seen by the class teacher, nothing will generalise. These are findings, and they tell you whether a child's difficulty is about the child or about delivery. If it is delivery, an individual intervention will not fix it. CORU SoP 5.35 is mapped here. Naming one gap clearly is worth more than listing everything you noticed.</t>
        </is>
      </c>
      <c r="H265" s="165" t="inlineStr">
        <is>
          <t>WATCH FOR — how your supervisor notices a delivery-level pattern across cases: several referrals from one class, the same programme for every child, no Classroom Support level before a referral, plans that stop at School Support. Notice how they check it is a pattern and not a single case.
WRITE DOWN — the gap in one sentence, the evidence for it (at least two sources), and which Continuum level it sits at.
ASK AFTERWARDS — 'how do you tell the difference between a gap in the school's system and a gap in one teacher's practice, and why does that difference matter?'</t>
        </is>
      </c>
      <c r="I265" s="165" t="inlineStr">
        <is>
          <t>YOU TAKE — going through your map and your cases in this school and drafting one candidate gap with the evidence for it.
THEY HOLD — deciding whether the gap is real, whether it is worth raising, and whether now is the right time given what else is happening in the school.
WHY THAT SPLIT — spotting patterns is analytical work you can do from the map. Whether and when to raise something depends on the school's current pressures and relationships, which your supervisor knows.</t>
        </is>
      </c>
      <c r="J265" s="165" t="inlineStr">
        <is>
          <t>YOU RUN IT — present your candidate gap in supervision with its evidence and say what it means for a child you are working with.
WHAT THEY ARE WATCHING FOR — a gap that is really a complaint about a named teacher; a gap based on one source; five gaps where one was asked for; a gap outside the school's control (such as the allocation itself).
STEPPING IN LOOKS LIKE — 'which of these is the one that, if it changed, would make the most difference to the children you're seeing? Just that one.'</t>
        </is>
      </c>
      <c r="K265" s="207" t="inlineStr">
        <is>
          <t>YOU DO IT ALONE — name one gap in how support is organised, at a stated Continuum level, backed by more than one source, and link it to what it means for at least one child you are working with.
PASS TEST — You named one
EVIDENCE TO FILE — the gap and its evidence in your map; a line in the relevant formulation showing the link. Log against 4. Systemic Change.
WHAT FAILURE LOOKS LIKE — a formulation that locates everything in the child when your own map shows the child has had no Classroom Support at all before being referred.</t>
        </is>
      </c>
      <c r="L265" s="165" t="inlineStr">
        <is>
          <t>YOU CAN TEACH IT — you can explain to a peer what a delivery-level factor is, give two examples from the Reference sheet, show how to test whether it is a real pattern, and explain why it belongs in a formulation and not just in your notes (Frederickson &amp; Cline, 2009, on whole-school approaches, is the Reference sheet's reading).
WHEN IT GOES WRONG — if the gap you named turns out to be wrong once you learn more, say so in supervision, update the map, and remove it from any formulation that relied on it.</t>
        </is>
      </c>
      <c r="M265" s="224" t="inlineStr">
        <is>
          <t>Naming a gap that is really criticism of one named staff member rather than a feature of how support is organised.</t>
        </is>
      </c>
      <c r="N265" s="165" t="inlineStr">
        <is>
          <t>→ Feeds into 'Say what would close the gap', 'Present the map back to the school', and 2. Formulation.</t>
        </is>
      </c>
      <c r="O265" s="225" t="inlineStr">
        <is>
          <t>Not started</t>
        </is>
      </c>
      <c r="P265" s="165" t="inlineStr">
        <is>
          <t>WATCH FOR — how your supervisor notices a delivery-level pattern across cases: several referrals from one class, the same programme for every child, no Classroom Support level before a referral, plans that stop at School Support. Notice how they check it is a pattern and not a single case.</t>
        </is>
      </c>
      <c r="Q265" s="139" t="inlineStr">
        <is>
          <t>Year 1</t>
        </is>
      </c>
      <c r="R265" s="226" t="inlineStr">
        <is>
          <t>26/10/2026</t>
        </is>
      </c>
      <c r="S265" s="226" t="inlineStr">
        <is>
          <t>16/11/2026</t>
        </is>
      </c>
      <c r="T265" s="226" t="inlineStr">
        <is>
          <t>14/12/2026</t>
        </is>
      </c>
      <c r="U265" s="139" t="inlineStr">
        <is>
          <t>School support map · formulation · Log sheet tagged 4. Systemic Change</t>
        </is>
      </c>
    </row>
    <row r="266" outlineLevel="2" ht="120" customHeight="1" s="128">
      <c r="A266" s="139" t="inlineStr">
        <is>
          <t>MICRO-SKILL</t>
        </is>
      </c>
      <c r="B266" s="139" t="inlineStr">
        <is>
          <t>4. Systemic Change</t>
        </is>
      </c>
      <c r="C266" s="139" t="inlineStr">
        <is>
          <t>Map the school's organisation of supports</t>
        </is>
      </c>
      <c r="D266" s="139" t="inlineStr">
        <is>
          <t>Block 2 · Finding the gap</t>
        </is>
      </c>
      <c r="E266" s="223" t="inlineStr">
        <is>
          <t>Say what would close the gap</t>
        </is>
      </c>
      <c r="F266" s="139" t="inlineStr">
        <is>
          <t>CORU SoP 5.35</t>
        </is>
      </c>
      <c r="G266" s="227" t="inlineStr">
        <is>
          <t>A gap with no suggested change is an observation the school cannot use. The Reference sheet: offer one change, not five, because schools implement one. Fullan (2016, The New Meaning of Educational Change, 5th ed.) argues that change depends on what it means to the people who have to carry it out, so a proposal has to fit the school's existing time, staff and routines. CORU SoP 5.35 is mapped here. A proposal that needs extra resources the school does not have will be nodded at and dropped.</t>
        </is>
      </c>
      <c r="H266" s="165" t="inlineStr">
        <is>
          <t>WATCH FOR — the kind of changes your supervisor suggests: small, specific, within existing resources and routines (a ten-minute handover between SET and class teacher each fortnight; grouping by need rather than year group; a shared one-page plan). Notice how they frame it as the school's idea to build on.
WRITE DOWN — the gap, the proposed change, who would do it, when, and how anyone would know it had worked.
ASK AFTERWARDS — 'what's a change you've suggested that a school actually took up, and what was different about it from the ones they didn't?'</t>
        </is>
      </c>
      <c r="I266" s="165" t="inlineStr">
        <is>
          <t>YOU TAKE — drafting one proposal for the gap you named: who, what, when, with what existing resource, and one sign that it is working.
THEY HOLD — deciding whether the proposal is realistic for this school now, and how it is pitched to the principal.
WHY THAT SPLIT — designing the proposal teaches you to think at school level. Judging what this school can absorb this term depends on its history of change, which your supervisor knows.</t>
        </is>
      </c>
      <c r="J266" s="165" t="inlineStr">
        <is>
          <t>YOU RUN IT — take your proposal through a consultation with the SET coordinator or a class teacher, with your supervisor present, and adjust it based on what they say.
WHAT THEY ARE WATCHING FOR — proposals that need new hours or staff; several changes bundled together; a proposal the school has already tried; telling rather than building the proposal with them.
STEPPING IN LOOKS LIKE — 'before we go further — has anything like this been tried here before? What happened?'</t>
        </is>
      </c>
      <c r="K266" s="207" t="inlineStr">
        <is>
          <t>YOU DO IT ALONE — propose one concrete change that the school could make within its current resources, agreed with the people who would carry it out, with a named way to check if it has worked.
PASS TEST — You proposed something the school could do
EVIDENCE TO FILE — the proposal and consultation note; any follow-up showing what happened. Log against 4. Systemic Change.
WHAT FAILURE LOOKS LIKE — a feedback letter ending 'the school may wish to review its model of SEN provision', which nobody can act on.</t>
        </is>
      </c>
      <c r="L266" s="165" t="inlineStr">
        <is>
          <t>YOU CAN TEACH IT — you can explain to a peer why one change beats five, what makes a proposal realistic (existing resources, existing routines, someone who owns it), and how to link it to a review point. You can connect this to Fullan (2016) on the meaning of change for those who implement it.
WHEN IT GOES WRONG — if the school agrees but nothing happens, go back at the review point, ask what got in the way without blame, and shrink the change until it fits.</t>
        </is>
      </c>
      <c r="M266" s="224" t="inlineStr">
        <is>
          <t>Proposing a change that needs resources the school does not have, or proposing several changes at once.</t>
        </is>
      </c>
      <c r="N266" s="165" t="inlineStr">
        <is>
          <t>→ Feeds into 'Present the map back to the school', 'End with three things the school could do this term', and 3. Intervention at school level.</t>
        </is>
      </c>
      <c r="O266" s="225" t="inlineStr">
        <is>
          <t>Not started</t>
        </is>
      </c>
      <c r="P266" s="165" t="inlineStr">
        <is>
          <t>WATCH FOR — the kind of changes your supervisor suggests: small, specific, within existing resources and routines (a ten-minute handover between SET and class teacher each fortnight; grouping by need rather than year group; a shared one-page plan). Notice how they frame it as the school's idea to build on.</t>
        </is>
      </c>
      <c r="Q266" s="139" t="inlineStr">
        <is>
          <t>Year 1</t>
        </is>
      </c>
      <c r="R266" s="226" t="inlineStr">
        <is>
          <t>26/10/2026</t>
        </is>
      </c>
      <c r="S266" s="226" t="inlineStr">
        <is>
          <t>16/11/2026</t>
        </is>
      </c>
      <c r="T266" s="226" t="inlineStr">
        <is>
          <t>14/12/2026</t>
        </is>
      </c>
      <c r="U266" s="139" t="inlineStr">
        <is>
          <t>Proposal and consultation note · Log sheet tagged 4. Systemic Change</t>
        </is>
      </c>
    </row>
    <row r="267" outlineLevel="2" ht="43.5" customHeight="1" s="128">
      <c r="A267" s="220" t="inlineStr">
        <is>
          <t>BLOCK</t>
        </is>
      </c>
      <c r="B267" s="220" t="inlineStr">
        <is>
          <t>4. Systemic Change</t>
        </is>
      </c>
      <c r="C267" s="220" t="inlineStr">
        <is>
          <t>Map the school's organisation of supports</t>
        </is>
      </c>
      <c r="D267" s="221" t="inlineStr">
        <is>
          <t>Block 3 · Giving it back</t>
        </is>
      </c>
      <c r="E267" s="222" t="inlineStr">
        <is>
          <t>Presenting the map to the school so it is used rather than submitted.</t>
        </is>
      </c>
      <c r="F267" s="220" t="inlineStr">
        <is>
          <t>2 hours · Weeks 7–12</t>
        </is>
      </c>
      <c r="G267" s="220" t="n"/>
      <c r="H267" s="220" t="n"/>
      <c r="I267" s="220" t="n"/>
      <c r="J267" s="220" t="n"/>
      <c r="K267" s="220" t="n"/>
      <c r="L267" s="220" t="n"/>
      <c r="M267" s="222" t="n"/>
      <c r="N267" s="220" t="n"/>
      <c r="O267" s="220" t="n"/>
      <c r="P267" s="220" t="inlineStr">
        <is>
          <t>How you build it: Offer a twenty-minute slot at a staff meeting.</t>
        </is>
      </c>
      <c r="Q267" s="220" t="n"/>
      <c r="R267" s="220" t="n"/>
      <c r="S267" s="220" t="n"/>
      <c r="T267" s="220" t="n"/>
      <c r="U267" s="220" t="n"/>
    </row>
    <row r="268" outlineLevel="2" ht="120" customHeight="1" s="128">
      <c r="A268" s="139" t="inlineStr">
        <is>
          <t>MICRO-SKILL</t>
        </is>
      </c>
      <c r="B268" s="139" t="inlineStr">
        <is>
          <t>4. Systemic Change</t>
        </is>
      </c>
      <c r="C268" s="139" t="inlineStr">
        <is>
          <t>Map the school's organisation of supports</t>
        </is>
      </c>
      <c r="D268" s="139" t="inlineStr">
        <is>
          <t>Block 3 · Giving it back</t>
        </is>
      </c>
      <c r="E268" s="223" t="inlineStr">
        <is>
          <t>Present the map back to the school</t>
        </is>
      </c>
      <c r="F268" s="139" t="inlineStr">
        <is>
          <t>CORU SoP 5.40</t>
        </is>
      </c>
      <c r="G268" s="227" t="inlineStr">
        <is>
          <t>A map filed in your placement folder changes nothing for children. The Reference sheet's approach to feedback: describe rather than judge, for example 'support is currently organised by year group rather than by need, which means one child is working on material above his current level', and offer one change. CORU SoP 5.40 is mapped here, on building capacity among those responsible for delivering interventions. Wagner (2000, Educational Psychology in Practice, 16(1)) describes consultation that works at school and organisational level as well as with individual cases; this is that work.</t>
        </is>
      </c>
      <c r="H268" s="165" t="inlineStr">
        <is>
          <t>WATCH FOR — how your supervisor gives school-level feedback: who is in the room (principal, coordinator), how they open (what is working first), how they describe the gap in neutral, descriptive terms, and how they end with one agreed action and a date.
WRITE DOWN — the structure of the conversation, the phrases used to describe a gap without blame, and what was agreed.
ASK AFTERWARDS — 'how do you decide whether to give this kind of feedback to the principal alone or to the whole SEN team?'</t>
        </is>
      </c>
      <c r="I268" s="165" t="inlineStr">
        <is>
          <t>YOU TAKE — preparing a one-page version of the map and the proposed change, written descriptively, with no names of staff or pupils.
THEY HOLD — leading the feedback meeting with the principal.
WHY THAT SPLIT — writing it teaches you descriptive, blame-free wording. The meeting is about how the school is organised, and the principal will expect to hear it from the psychologist who has the ongoing relationship with the school.</t>
        </is>
      </c>
      <c r="J268" s="165" t="inlineStr">
        <is>
          <t>YOU RUN IT — present the map and one proposal to the SET coordinator or SEN team, with your supervisor present.
WHAT THEY ARE WATCHING FOR — judging words ('inadequate', 'failing'); anything that identifies a teacher; presenting it as an inspection finding; leaving without an agreed next step or date.
STEPPING IN LOOKS LIKE — 'what's been picked up here is a pattern we see in lots of schools — can we talk about which bit of it would be easiest to try first?'</t>
        </is>
      </c>
      <c r="K268" s="207" t="inlineStr">
        <is>
          <t>YOU DO IT ALONE — present the map and one proposed change to the school in descriptive terms, agree an action with a named owner and a review date, and follow up at that date.
PASS TEST — It was used, not just submitted
EVIDENCE TO FILE — the one-page summary; a note of what was agreed and what happened at follow-up. Log against 4. Systemic Change.
WHAT FAILURE LOOKS LIKE — a well-received meeting, a thank-you email, and no change by the time you leave Cavan on 18/12/2026, because nobody owned the next step.</t>
        </is>
      </c>
      <c r="L268" s="165" t="inlineStr">
        <is>
          <t>YOU CAN TEACH IT — you can explain how to turn a map into feedback a school will act on: descriptive language, strengths first, one change, a named owner and a date. You can also explain why it is logged as systemic work and what that does for the portfolio.
WHEN IT GOES WRONG — if a staff member takes the feedback personally, acknowledge it, restate that the pattern is about organisation not individuals, and follow up privately through your supervisor.</t>
        </is>
      </c>
      <c r="M268" s="224" t="inlineStr">
        <is>
          <t>Handing the school a map and leaving without an agreed action, an owner and a follow-up date.</t>
        </is>
      </c>
      <c r="N268" s="165" t="inlineStr">
        <is>
          <t>→ Feeds into 'Deliver the good practice presentation', 'Collect and file feedback from the school', and 4. Systemic Change evidence.</t>
        </is>
      </c>
      <c r="O268" s="225" t="inlineStr">
        <is>
          <t>Not started</t>
        </is>
      </c>
      <c r="P268" s="165" t="inlineStr">
        <is>
          <t>WATCH FOR — how your supervisor gives school-level feedback: who is in the room (principal, coordinator), how they open (what is working first), how they describe the gap in neutral, descriptive terms, and how they end with one agreed action and a date.</t>
        </is>
      </c>
      <c r="Q268" s="139" t="inlineStr">
        <is>
          <t>Year 1</t>
        </is>
      </c>
      <c r="R268" s="226" t="inlineStr">
        <is>
          <t>26/10/2026</t>
        </is>
      </c>
      <c r="S268" s="226" t="inlineStr">
        <is>
          <t>16/11/2026</t>
        </is>
      </c>
      <c r="T268" s="226" t="inlineStr">
        <is>
          <t>14/12/2026</t>
        </is>
      </c>
      <c r="U268" s="139" t="inlineStr">
        <is>
          <t>One-page map summary · follow-up note · Log sheet tagged 4. Systemic Change</t>
        </is>
      </c>
    </row>
    <row r="269" outlineLevel="2" ht="19.5" customHeight="1" s="128">
      <c r="A269" s="219" t="inlineStr">
        <is>
          <t>MACRO SKILL</t>
        </is>
      </c>
      <c r="B269" s="219" t="inlineStr">
        <is>
          <t>4. Systemic Change</t>
        </is>
      </c>
      <c r="C269" s="219" t="inlineStr">
        <is>
          <t>Visit a range of special education settings</t>
        </is>
      </c>
      <c r="D269" s="219" t="n"/>
      <c r="E269" s="219" t="inlineStr">
        <is>
          <t>3 blocks · 4 micro-skills</t>
        </is>
      </c>
      <c r="F269" s="219" t="inlineStr">
        <is>
          <t>CORU 5.13 · 5.39</t>
        </is>
      </c>
      <c r="G269" s="219" t="n"/>
      <c r="H269" s="219" t="n"/>
      <c r="I269" s="219" t="n"/>
      <c r="J269" s="219" t="n"/>
      <c r="K269" s="219" t="n"/>
      <c r="L269" s="219" t="n"/>
      <c r="M269" s="219" t="n"/>
      <c r="N269" s="219" t="n"/>
      <c r="O269" s="219" t="n"/>
      <c r="P269" s="219" t="n"/>
      <c r="Q269" s="219" t="inlineStr">
        <is>
          <t>Year 1</t>
        </is>
      </c>
      <c r="R269" s="219" t="n"/>
      <c r="S269" s="219" t="n"/>
      <c r="T269" s="219" t="n"/>
      <c r="U269" s="219" t="n"/>
    </row>
    <row r="270" outlineLevel="2" ht="43.5" customHeight="1" s="128">
      <c r="A270" s="220" t="inlineStr">
        <is>
          <t>BLOCK</t>
        </is>
      </c>
      <c r="B270" s="220" t="inlineStr">
        <is>
          <t>4. Systemic Change</t>
        </is>
      </c>
      <c r="C270" s="220" t="inlineStr">
        <is>
          <t>Visit a range of special education settings</t>
        </is>
      </c>
      <c r="D270" s="221" t="inlineStr">
        <is>
          <t>Block 1 · Arranging them</t>
        </is>
      </c>
      <c r="E270" s="222" t="inlineStr">
        <is>
          <t>Knowing which settings exist locally and getting access early.</t>
        </is>
      </c>
      <c r="F270" s="220" t="inlineStr">
        <is>
          <t>2 hours, once · Weeks 1–2</t>
        </is>
      </c>
      <c r="G270" s="220" t="n"/>
      <c r="H270" s="220" t="n"/>
      <c r="I270" s="220" t="n"/>
      <c r="J270" s="220" t="n"/>
      <c r="K270" s="220" t="n"/>
      <c r="L270" s="220" t="n"/>
      <c r="M270" s="222" t="n"/>
      <c r="N270" s="220" t="n"/>
      <c r="O270" s="220" t="n"/>
      <c r="P270" s="220" t="inlineStr">
        <is>
          <t>How you build it: List every special setting on your patch in week two. Request visits immediately.</t>
        </is>
      </c>
      <c r="Q270" s="220" t="n"/>
      <c r="R270" s="220" t="n"/>
      <c r="S270" s="220" t="n"/>
      <c r="T270" s="220" t="n"/>
      <c r="U270" s="220" t="n"/>
    </row>
    <row r="271" outlineLevel="2" ht="120" customHeight="1" s="128">
      <c r="A271" s="139" t="inlineStr">
        <is>
          <t>MICRO-SKILL</t>
        </is>
      </c>
      <c r="B271" s="139" t="inlineStr">
        <is>
          <t>4. Systemic Change</t>
        </is>
      </c>
      <c r="C271" s="139" t="inlineStr">
        <is>
          <t>Visit a range of special education settings</t>
        </is>
      </c>
      <c r="D271" s="139" t="inlineStr">
        <is>
          <t>Block 1 · Arranging them</t>
        </is>
      </c>
      <c r="E271" s="223" t="inlineStr">
        <is>
          <t>Arrange visits early in the placement</t>
        </is>
      </c>
      <c r="F271" s="139" t="inlineStr">
        <is>
          <t>Handbook Table 3</t>
        </is>
      </c>
      <c r="G271" s="227" t="inlineStr">
        <is>
          <t>PSI 3.3.6 is NOT yet met. It requires experience in mainstream primary, post-primary AND special education settings; so far there is one post-primary day and no special education at all. The Reference sheet says it plainly: it will not happen unless you ask in week one and get a date. The visits need to be planned into the Cavan Appendix 1 before the placement starts on 05/10/2026, because the placement runs only to 18/12/2026, four days a week, and settings may need several weeks' notice for a visitor. Handbook Table 3 is the standard mapped here. Leave it late and the gap carries into Year 2.</t>
        </is>
      </c>
      <c r="H271" s="165" t="inlineStr">
        <is>
          <t>WATCH FOR — in your first contact with your Cavan supervisor, which special settings the service works with most (special schools, special classes in primary and post-primary, early intervention classes), and who in the service has the link with each one. The Reference sheet's advice: go to the settings the service works with most.
WRITE DOWN — each setting type, the named service contact for it (in your own diary, not this file), and the date you asked.
ASK AFTERWARDS — 'which of these settings would be most useful to see given the referrals you're expecting this term, and could we go together?'</t>
        </is>
      </c>
      <c r="I271" s="165" t="inlineStr">
        <is>
          <t>YOU TAKE — writing the visits into your draft Appendix 1 before 05/10/2026 as a stated objective tied to PSI 3.3.6, and drafting the request emails to settings for your supervisor to approve.
THEY HOLD — the first approach to each setting's principal, and agreement on which visits go into the placement plan.
WHY THAT SPLIT — the gap is yours to plan for and evidence. The approach goes through the service because settings agree to visitors on the strength of an existing professional relationship, not a trainee's email.</t>
        </is>
      </c>
      <c r="J271" s="165" t="inlineStr">
        <is>
          <t>YOU RUN IT — by the end of week two, have at least two different setting types (for example, a special school and a special class attached to a mainstream school) booked with confirmed dates, with your supervisor checking progress in supervision.
WHAT THEY ARE WATCHING FOR — one visit treated as covering the category; dates left as 'sometime in November'; visits squeezed into the last fortnight where there is no time to act on what you learn.
STEPPING IN LOOKS LIKE — 'let's ring them now while we're sitting here and get a date in the diary.'</t>
        </is>
      </c>
      <c r="K271" s="207" t="inlineStr">
        <is>
          <t>YOU DO IT ALONE — get visits to a range of special education settings written into the Appendix 1 before the placement begins and booked with confirmed dates in the first weeks of Cavan, with a backup date for each.
PASS TEST — Booked in the first weeks
EVIDENCE TO FILE — the Appendix 1 objective naming PSI 3.3.6; the confirmed booking in your placement diary; the visit days in the Log. Log against 4. Systemic Change.
WHAT FAILURE LOOKS LIKE — reaching 18/12/2026 with no special education visit because the first request went out in November and the setting was fully booked.</t>
        </is>
      </c>
      <c r="L271" s="165" t="inlineStr">
        <is>
          <t>YOU CAN TEACH IT — you can explain to a peer what PSI 3.3.6 requires (read the PSI Accreditation Standards, 2022, for the wording), why it must be in the Appendix 1 before the placement starts, which setting types count as different, and how to approach a setting through the service.
WHEN IT GOES WRONG — if a visit falls through, tell your supervisor the same week, rebook or find an equivalent setting, and tell your university placement tutor early if it looks like PSI 3.3.6 will not be met in Cavan, so it can be planned for Year 2.</t>
        </is>
      </c>
      <c r="M271" s="224" t="inlineStr">
        <is>
          <t>Leaving special education visits out of the Appendix 1 and asking for them late in the placement.</t>
        </is>
      </c>
      <c r="N271" s="165" t="inlineStr">
        <is>
          <t>→ Feeds into 'Observe structure, staffing and communication supports', 'Log each visit separately in Appendix 5', and PSI 3.3.6.</t>
        </is>
      </c>
      <c r="O271" s="225" t="inlineStr">
        <is>
          <t>Not started</t>
        </is>
      </c>
      <c r="P271" s="165" t="inlineStr">
        <is>
          <t>WATCH FOR — in your first contact with your Cavan supervisor, which special settings the service works with most (special schools, special classes in primary and post-primary, early intervention classes), and who in the service has the link with each one. The Reference sheet's advice: go to the settings the service works with most.</t>
        </is>
      </c>
      <c r="Q271" s="139" t="inlineStr">
        <is>
          <t>Year 1</t>
        </is>
      </c>
      <c r="R271" s="226" t="inlineStr">
        <is>
          <t>26/10/2026</t>
        </is>
      </c>
      <c r="S271" s="226" t="inlineStr">
        <is>
          <t>16/11/2026</t>
        </is>
      </c>
      <c r="T271" s="226" t="inlineStr">
        <is>
          <t>14/12/2026</t>
        </is>
      </c>
      <c r="U271" s="139" t="inlineStr">
        <is>
          <t>Appendix 1 objective · placement diary · Log sheet tagged 4. Systemic Change</t>
        </is>
      </c>
    </row>
    <row r="272" outlineLevel="2" ht="43.5" customHeight="1" s="128">
      <c r="A272" s="220" t="inlineStr">
        <is>
          <t>BLOCK</t>
        </is>
      </c>
      <c r="B272" s="220" t="inlineStr">
        <is>
          <t>4. Systemic Change</t>
        </is>
      </c>
      <c r="C272" s="220" t="inlineStr">
        <is>
          <t>Visit a range of special education settings</t>
        </is>
      </c>
      <c r="D272" s="221" t="inlineStr">
        <is>
          <t>Block 2 · Knowing what to look at</t>
        </is>
      </c>
      <c r="E272" s="222" t="inlineStr">
        <is>
          <t>Structure, staffing ratios, communication supports, sensory environment, therapy integration.</t>
        </is>
      </c>
      <c r="F272" s="220" t="inlineStr">
        <is>
          <t>2 hours to build the schedule · Weeks 3–6</t>
        </is>
      </c>
      <c r="G272" s="220" t="n"/>
      <c r="H272" s="220" t="n"/>
      <c r="I272" s="220" t="n"/>
      <c r="J272" s="220" t="n"/>
      <c r="K272" s="220" t="n"/>
      <c r="L272" s="220" t="n"/>
      <c r="M272" s="222" t="n"/>
      <c r="N272" s="220" t="n"/>
      <c r="O272" s="220" t="n"/>
      <c r="P272" s="220" t="inlineStr">
        <is>
          <t>How you build it: Take the same observation schedule to every setting so you can compare.</t>
        </is>
      </c>
      <c r="Q272" s="220" t="n"/>
      <c r="R272" s="220" t="n"/>
      <c r="S272" s="220" t="n"/>
      <c r="T272" s="220" t="n"/>
      <c r="U272" s="220" t="n"/>
    </row>
    <row r="273" outlineLevel="2" ht="120" customHeight="1" s="128">
      <c r="A273" s="139" t="inlineStr">
        <is>
          <t>MICRO-SKILL</t>
        </is>
      </c>
      <c r="B273" s="139" t="inlineStr">
        <is>
          <t>4. Systemic Change</t>
        </is>
      </c>
      <c r="C273" s="139" t="inlineStr">
        <is>
          <t>Visit a range of special education settings</t>
        </is>
      </c>
      <c r="D273" s="139" t="inlineStr">
        <is>
          <t>Block 2 · Knowing what to look at</t>
        </is>
      </c>
      <c r="E273" s="223" t="inlineStr">
        <is>
          <t>Observe structure, staffing and communication supports</t>
        </is>
      </c>
      <c r="F273" s="139" t="inlineStr">
        <is>
          <t>CORU SoP 5.13</t>
        </is>
      </c>
      <c r="G273" s="227" t="inlineStr">
        <is>
          <t>You will be asked whether a child needs a special class or a special school, and the Reference sheet says you cannot answer that honestly if you have never been in one. Its list of what to look at: staffing ratios and how adults are deployed; the curriculum in use (L1LP, L2LP or adapted mainstream); communication systems and whether everyone uses them; the sensory environment; what integration looks like in practice; where pupils go afterwards. CORU SoP 5.13 is mapped here. These visits are also how PSI 3.3.6, currently unmet, gets met, so observe the system, not only the children.</t>
        </is>
      </c>
      <c r="H273" s="165" t="inlineStr">
        <is>
          <t>WATCH FOR — how adults are deployed across the day (who leads, who supports, who does personal care); which curriculum framework is actually in use (for L1LP and L2LP read the NCCA material first); which communication system is used and whether every adult uses it the same way; noise, light and the use of quiet spaces.
WRITE DOWN — a structured note under the Reference sheet's headings, with no pupil names or identifying details.
ASK AFTERWARDS — ask a teacher 'what does a child need to be able to do to do well here, and what kind of child finds it hard?'</t>
        </is>
      </c>
      <c r="I273" s="165" t="inlineStr">
        <is>
          <t>YOU TAKE — preparing an observation frame from the Reference sheet's headings before the visit, and completing it during and just after.
THEY HOLD — (if they come) the conversation with the principal about admissions, and interpreting what you saw for placement decisions on current cases.
WHY THAT SPLIT — observing a setting systematically is the learning. Linking it to a live placement question involves individual children and the SENO process, which stay with your supervisor.</t>
        </is>
      </c>
      <c r="J273" s="165" t="inlineStr">
        <is>
          <t>YOU RUN IT — lead your own observation in a second setting of a different type, and compare it with the first in supervision.
WHAT THEY ARE WATCHING FOR — describing the children rather than the system; general impressions ('lovely atmosphere') instead of structure; assuming all special classes work alike; a visit that confirms whatever view you arrived with.
STEPPING IN LOOKS LIKE — 'you've told me about the children. Tell me how many adults were in the room, what each one was doing, and how the children communicated with them.'</t>
        </is>
      </c>
      <c r="K273" s="207" t="inlineStr">
        <is>
          <t>YOU DO IT ALONE — for each setting, describe how it works (staffing, curriculum, communication, environment, links with mainstream, where pupils go next) well enough to explain what kind of need it fits, and note how it differs from the other settings you have seen.
PASS TEST — You can describe how the setting works
EVIDENCE TO FILE — the structured observation note (no identifying details); the Appendix 5 entry for that visit. Log against 4. Systemic Change.
WHAT FAILURE LOOKS LIKE — a later placement recommendation that says 'a special class would be appropriate' without being able to say what that class provides.</t>
        </is>
      </c>
      <c r="L273" s="165" t="inlineStr">
        <is>
          <t>YOU CAN TEACH IT — you can explain to a peer how special schools, special classes and early intervention classes differ, what L1LP and L2LP are (read the NCCA source for the detail), and why the Reference sheet frames placement as fit between need and provision rather than severity.
WHEN IT GOES WRONG — if you notice your notes are full of judgements rather than descriptions, rewrite them before supervision, and bring your assumptions about special provision to supervision as the Reference sheet suggests (CORU SoP 5.44).</t>
        </is>
      </c>
      <c r="M273" s="224" t="inlineStr">
        <is>
          <t>Observing the children and not the system, so you cannot say what the setting actually offers.</t>
        </is>
      </c>
      <c r="N273" s="165" t="inlineStr">
        <is>
          <t>→ Feeds into 'Talk to therapy and SNA staff, not only teachers', placement recommendations framed as fit, and PSI 3.3.6.</t>
        </is>
      </c>
      <c r="O273" s="225" t="inlineStr">
        <is>
          <t>Not started</t>
        </is>
      </c>
      <c r="P273" s="165" t="inlineStr">
        <is>
          <t>WATCH FOR — how adults are deployed across the day (who leads, who supports, who does personal care); which curriculum framework is actually in use (for L1LP and L2LP read the NCCA material first); which communication system is used and whether every adult uses it the same way; noise, light and the use of quiet spaces.</t>
        </is>
      </c>
      <c r="Q273" s="139" t="inlineStr">
        <is>
          <t>Year 1</t>
        </is>
      </c>
      <c r="R273" s="226" t="inlineStr">
        <is>
          <t>26/10/2026</t>
        </is>
      </c>
      <c r="S273" s="226" t="inlineStr">
        <is>
          <t>16/11/2026</t>
        </is>
      </c>
      <c r="T273" s="226" t="inlineStr">
        <is>
          <t>14/12/2026</t>
        </is>
      </c>
      <c r="U273" s="139" t="inlineStr">
        <is>
          <t>Structured observation note · Appendix 5 · Log sheet tagged 4. Systemic Change</t>
        </is>
      </c>
    </row>
    <row r="274" outlineLevel="2" ht="120" customHeight="1" s="128">
      <c r="A274" s="139" t="inlineStr">
        <is>
          <t>MICRO-SKILL</t>
        </is>
      </c>
      <c r="B274" s="139" t="inlineStr">
        <is>
          <t>4. Systemic Change</t>
        </is>
      </c>
      <c r="C274" s="139" t="inlineStr">
        <is>
          <t>Visit a range of special education settings</t>
        </is>
      </c>
      <c r="D274" s="139" t="inlineStr">
        <is>
          <t>Block 2 · Knowing what to look at</t>
        </is>
      </c>
      <c r="E274" s="223" t="inlineStr">
        <is>
          <t>Talk to therapy and SNA staff, not only teachers</t>
        </is>
      </c>
      <c r="F274" s="139" t="inlineStr">
        <is>
          <t>CORU SoP 5.39</t>
        </is>
      </c>
      <c r="G274" s="227" t="inlineStr">
        <is>
          <t>In special settings a large part of the day may be delivered by SNAs and, where present, by therapists; a teacher-only account misses how communication systems, personal care and regulation work in practice. CORU SoP 5.39 is mapped here. The Reference sheet asks whether communication systems are used consistently by everyone, and only the people using them can tell you. Speaking to the whole team also helps PSI 3.3.6 evidence: it shows you understood the setting as a system, not a classroom.</t>
        </is>
      </c>
      <c r="H274" s="165" t="inlineStr">
        <is>
          <t>WATCH FOR — who does what during the visit: which adults support communication, meals, toileting and transitions; who manages distress; whether therapy happens in the classroom or elsewhere, and whether it comes from the HSE CDNT or another arrangement (ask; do not assume).
WRITE DOWN — the roles present, not names, and one thing each role told you about how the setting works.
ASK AFTERWARDS — ask an SNA 'what do you wish psychologists knew about a day here?' and ask a therapist, if present, 'how does your work link with what happens in the classroom?'</t>
        </is>
      </c>
      <c r="I274" s="165" t="inlineStr">
        <is>
          <t>YOU TAKE — preparing two or three short questions for each role before the visit, and asking the teacher or principal at the start whether you may speak briefly with SNAs and therapy staff.
THEY HOLD — any discussion of individual children in the setting, and any agreement about future joint work.
WHY THAT SPLIT — the questions are about how the setting works, which is safe and useful. Individual children are not your cases, and discussing them would need consent the visit does not have.</t>
        </is>
      </c>
      <c r="J274" s="165" t="inlineStr">
        <is>
          <t>YOU RUN IT — hold brief conversations with at least one SNA and, where available, one therapist during a visit, and bring what you learned to supervision.
WHAT THEY ARE WATCHING FOR — speaking only to the teacher and principal; treating SNAs as a less reliable source; questions about particular children; taking staff away from pupils at busy moments.
STEPPING IN LOOKS LIKE — 'the SNAs are on their break at eleven — that might be a good moment to ask them how the visual timetable is used.'</t>
        </is>
      </c>
      <c r="K274" s="207" t="inlineStr">
        <is>
          <t>YOU DO IT ALONE — at every setting visit, speak with the people delivering the day-to-day support, not only the teaching staff, and record what each role contributes to how the setting works.
PASS TEST — You spoke to the people delivering
EVIDENCE TO FILE — the observation note, with a section for each role's account (no names); the Appendix 5 entry. Log against 4. Systemic Change and 5. Working with Others.
WHAT FAILURE LOOKS LIKE — an account of a special class that describes the teacher's plan in detail and says nothing about how the three adults supporting it actually spend the day.</t>
        </is>
      </c>
      <c r="L274" s="165" t="inlineStr">
        <is>
          <t>YOU CAN TEACH IT — you can explain to a peer why SNA and therapy staff hold information teachers do not, how to approach them respectfully and briefly, and how their accounts change what you would write about fit between a child and a setting.
WHEN IT GOES WRONG — if staff are wary of talking to a psychologist, explain you are there to learn how the setting works, not to assess anyone, and leave it there if they still prefer not to.</t>
        </is>
      </c>
      <c r="M274" s="224" t="inlineStr">
        <is>
          <t>Taking the teacher's or principal's account as the whole picture of how a special setting works.</t>
        </is>
      </c>
      <c r="N274" s="165" t="inlineStr">
        <is>
          <t>→ Feeds into 'Log each visit separately in Appendix 5', 'Contribute a psychological perspective', and placement recommendations.</t>
        </is>
      </c>
      <c r="O274" s="225" t="inlineStr">
        <is>
          <t>Not started</t>
        </is>
      </c>
      <c r="P274" s="165" t="inlineStr">
        <is>
          <t>WATCH FOR — who does what during the visit: which adults support communication, meals, toileting and transitions; who manages distress; whether therapy happens in the classroom or elsewhere, and whether it comes from the HSE CDNT or another arrangement (ask; do not assume).</t>
        </is>
      </c>
      <c r="Q274" s="139" t="inlineStr">
        <is>
          <t>Year 1</t>
        </is>
      </c>
      <c r="R274" s="226" t="inlineStr">
        <is>
          <t>26/10/2026</t>
        </is>
      </c>
      <c r="S274" s="226" t="inlineStr">
        <is>
          <t>16/11/2026</t>
        </is>
      </c>
      <c r="T274" s="226" t="inlineStr">
        <is>
          <t>14/12/2026</t>
        </is>
      </c>
      <c r="U274" s="139" t="inlineStr">
        <is>
          <t>Observation note · Appendix 5 · Log sheet tagged 4. Systemic Change</t>
        </is>
      </c>
    </row>
    <row r="275" outlineLevel="2" ht="43.5" customHeight="1" s="128">
      <c r="A275" s="220" t="inlineStr">
        <is>
          <t>BLOCK</t>
        </is>
      </c>
      <c r="B275" s="220" t="inlineStr">
        <is>
          <t>4. Systemic Change</t>
        </is>
      </c>
      <c r="C275" s="220" t="inlineStr">
        <is>
          <t>Visit a range of special education settings</t>
        </is>
      </c>
      <c r="D275" s="221" t="inlineStr">
        <is>
          <t>Block 3 · Recording it as evidence</t>
        </is>
      </c>
      <c r="E275" s="222" t="inlineStr">
        <is>
          <t>Logging each visit separately so it counts for Table 3.</t>
        </is>
      </c>
      <c r="F275" s="220" t="inlineStr">
        <is>
          <t>10 minutes per visit · Weeks 3–6</t>
        </is>
      </c>
      <c r="G275" s="220" t="n"/>
      <c r="H275" s="220" t="n"/>
      <c r="I275" s="220" t="n"/>
      <c r="J275" s="220" t="n"/>
      <c r="K275" s="220" t="n"/>
      <c r="L275" s="220" t="n"/>
      <c r="M275" s="222" t="n"/>
      <c r="N275" s="220" t="n"/>
      <c r="O275" s="220" t="n"/>
      <c r="P275" s="220" t="inlineStr">
        <is>
          <t>How you build it: One Appendix 5 entry per setting, tagged with age band 5.</t>
        </is>
      </c>
      <c r="Q275" s="220" t="n"/>
      <c r="R275" s="220" t="n"/>
      <c r="S275" s="220" t="n"/>
      <c r="T275" s="220" t="n"/>
      <c r="U275" s="220" t="n"/>
    </row>
    <row r="276" outlineLevel="2" ht="120" customHeight="1" s="128">
      <c r="A276" s="139" t="inlineStr">
        <is>
          <t>MICRO-SKILL</t>
        </is>
      </c>
      <c r="B276" s="139" t="inlineStr">
        <is>
          <t>4. Systemic Change</t>
        </is>
      </c>
      <c r="C276" s="139" t="inlineStr">
        <is>
          <t>Visit a range of special education settings</t>
        </is>
      </c>
      <c r="D276" s="139" t="inlineStr">
        <is>
          <t>Block 3 · Recording it as evidence</t>
        </is>
      </c>
      <c r="E276" s="223" t="inlineStr">
        <is>
          <t>Log each visit separately in Appendix 5</t>
        </is>
      </c>
      <c r="F276" s="139" t="inlineStr">
        <is>
          <t>Handbook Appendix 5</t>
        </is>
      </c>
      <c r="G276" s="227" t="inlineStr">
        <is>
          <t>The Reference sheet warns against treating one visit as covering special education: a special school, a special class and an early intervention class are different settings with different pupils. PSI 3.3.6 is currently unmet, and the evidence that it has been met will be your record. If three visits sit in one combined entry, nobody reading the portfolio can tell what range you saw. Handbook Appendix 5 is the standard mapped here; read the Handbook itself for what each entry must contain. The reflection is yours to write — this row gives structure only.</t>
        </is>
      </c>
      <c r="H276" s="165" t="inlineStr">
        <is>
          <t>WATCH FOR — how your supervisor, or a more senior trainee, records placement activity that counts towards a settings requirement: what they name (setting type, age range, date), and how they separate what happened from what they learned.
WRITE DOWN — for each visit, while fresh: date (DD/MM/YYYY), setting type, age range and UCD Table 3 band, what you observed under each heading, and who you spoke to by role.
ASK AFTERWARDS — 'when you read a trainee's Appendix 5, what tells you they actually learned something from a visit?'</t>
        </is>
      </c>
      <c r="I276" s="165" t="inlineStr">
        <is>
          <t>YOU TAKE — writing a separate Appendix 5 entry for each visit, in your own words, and logging each visit day on its own row in the Log.
THEY HOLD — reading the entries in supervision and confirming the visits as placement activity.
WHY THAT SPLIT — the reflection must be your own work; nobody, including this file, writes it for you. Your supervisor's role is to confirm what took place and to push your thinking in supervision.</t>
        </is>
      </c>
      <c r="J276" s="165" t="inlineStr">
        <is>
          <t>YOU RUN IT — bring the entry for your first setting visit to supervision within a week of the visit and use the discussion to strengthen the next one.
WHAT THEY ARE WATCHING FOR — entries that list activities without learning; visits merged into one entry; identifying details of pupils or staff; an entry that does not say what kind of setting it was, so it cannot show range.
STEPPING IN LOOKS LIKE — 'this reads as a timetable of the day. What do you now think about special class placement that you didn't think before?'</t>
        </is>
      </c>
      <c r="K276" s="207" t="inlineStr">
        <is>
          <t>YOU DO IT ALONE — write a separate, dated Appendix 5 entry for every setting visited, naming the setting type and age range, what you observed, and what changed in your thinking, in your own words, with no identifying details.
PASS TEST — Each setting is its own entry
EVIDENCE TO FILE — one Appendix 5 entry per visit; one Log row per visit day. Log against 4. Systemic Change. Prompts to structure your own reflection: what you expected, what you saw, what surprised you, what you would now write differently about fit.
WHAT FAILURE LOOKS LIKE — one paragraph headed 'special education visits' covering three settings, which cannot show PSI 3.3.6 has been met.</t>
        </is>
      </c>
      <c r="L276" s="165" t="inlineStr">
        <is>
          <t>YOU CAN TEACH IT — you can explain to a peer why each visit needs its own entry, what makes an entry show learning rather than attendance, and how the entries together show range against PSI 3.3.6. You can offer prompts, but you can also explain why a reflection has to be written by the person who had the experience.
WHEN IT GOES WRONG — if you find visits were merged or not logged, correct the Log and write the missing entries from your notes now, dated as written, and tell your supervisor.</t>
        </is>
      </c>
      <c r="M276" s="224" t="inlineStr">
        <is>
          <t>Combining several setting visits into one entry, so the range required by PSI 3.3.6 cannot be seen.</t>
        </is>
      </c>
      <c r="N276" s="165" t="inlineStr">
        <is>
          <t>→ Feeds into PSI 3.3.6 evidence, 7. Supervision discussion, and the reflective learning essay (which is yours to write).</t>
        </is>
      </c>
      <c r="O276" s="225" t="inlineStr">
        <is>
          <t>Not started</t>
        </is>
      </c>
      <c r="P276" s="165" t="inlineStr">
        <is>
          <t>WATCH FOR — how your supervisor, or a more senior trainee, records placement activity that counts towards a settings requirement: what they name (setting type, age range, date), and how they separate what happened from what they learned.</t>
        </is>
      </c>
      <c r="Q276" s="139" t="inlineStr">
        <is>
          <t>Year 1</t>
        </is>
      </c>
      <c r="R276" s="226" t="inlineStr">
        <is>
          <t>26/10/2026</t>
        </is>
      </c>
      <c r="S276" s="226" t="inlineStr">
        <is>
          <t>16/11/2026</t>
        </is>
      </c>
      <c r="T276" s="226" t="inlineStr">
        <is>
          <t>14/12/2026</t>
        </is>
      </c>
      <c r="U276" s="139" t="inlineStr">
        <is>
          <t>Appendix 5 — one entry per setting · Log sheet tagged 4. Systemic Change</t>
        </is>
      </c>
    </row>
    <row r="277" outlineLevel="2" ht="19.5" customHeight="1" s="128">
      <c r="A277" s="219" t="inlineStr">
        <is>
          <t>MACRO SKILL</t>
        </is>
      </c>
      <c r="B277" s="219" t="inlineStr">
        <is>
          <t>4. Systemic Change</t>
        </is>
      </c>
      <c r="C277" s="219" t="inlineStr">
        <is>
          <t>Attend service team meetings</t>
        </is>
      </c>
      <c r="D277" s="219" t="n"/>
      <c r="E277" s="219" t="inlineStr">
        <is>
          <t>2 blocks · 4 micro-skills</t>
        </is>
      </c>
      <c r="F277" s="219" t="inlineStr">
        <is>
          <t>CORU 2.16 · 5.5 · 2.11</t>
        </is>
      </c>
      <c r="G277" s="219" t="n"/>
      <c r="H277" s="219" t="n"/>
      <c r="I277" s="219" t="n"/>
      <c r="J277" s="219" t="n"/>
      <c r="K277" s="219" t="n"/>
      <c r="L277" s="219" t="n"/>
      <c r="M277" s="219" t="n"/>
      <c r="N277" s="219" t="n"/>
      <c r="O277" s="219" t="n"/>
      <c r="P277" s="219" t="n"/>
      <c r="Q277" s="219" t="inlineStr">
        <is>
          <t>Year 1</t>
        </is>
      </c>
      <c r="R277" s="219" t="n"/>
      <c r="S277" s="219" t="n"/>
      <c r="T277" s="219" t="n"/>
      <c r="U277" s="219" t="n"/>
    </row>
    <row r="278" outlineLevel="2" ht="43.5" customHeight="1" s="128">
      <c r="A278" s="220" t="inlineStr">
        <is>
          <t>BLOCK</t>
        </is>
      </c>
      <c r="B278" s="220" t="inlineStr">
        <is>
          <t>4. Systemic Change</t>
        </is>
      </c>
      <c r="C278" s="220" t="inlineStr">
        <is>
          <t>Attend service team meetings</t>
        </is>
      </c>
      <c r="D278" s="221" t="inlineStr">
        <is>
          <t>Block 1 · Understanding the service</t>
        </is>
      </c>
      <c r="E278" s="222" t="inlineStr">
        <is>
          <t>How casework is prioritised here and what the service can and cannot offer.</t>
        </is>
      </c>
      <c r="F278" s="220" t="inlineStr">
        <is>
          <t>2 hours, once · Weeks 1–2</t>
        </is>
      </c>
      <c r="G278" s="220" t="n"/>
      <c r="H278" s="220" t="n"/>
      <c r="I278" s="220" t="n"/>
      <c r="J278" s="220" t="n"/>
      <c r="K278" s="220" t="n"/>
      <c r="L278" s="220" t="n"/>
      <c r="M278" s="222" t="n"/>
      <c r="N278" s="220" t="n"/>
      <c r="O278" s="220" t="n"/>
      <c r="P278" s="220" t="inlineStr">
        <is>
          <t>How you build it: Ask directly how the queue is determined. Write down the answer.</t>
        </is>
      </c>
      <c r="Q278" s="220" t="n"/>
      <c r="R278" s="220" t="n"/>
      <c r="S278" s="220" t="n"/>
      <c r="T278" s="220" t="n"/>
      <c r="U278" s="220" t="n"/>
    </row>
    <row r="279" outlineLevel="2" ht="120" customHeight="1" s="128">
      <c r="A279" s="139" t="inlineStr">
        <is>
          <t>MICRO-SKILL</t>
        </is>
      </c>
      <c r="B279" s="139" t="inlineStr">
        <is>
          <t>4. Systemic Change</t>
        </is>
      </c>
      <c r="C279" s="139" t="inlineStr">
        <is>
          <t>Attend service team meetings</t>
        </is>
      </c>
      <c r="D279" s="139" t="inlineStr">
        <is>
          <t>Block 1 · Understanding the service</t>
        </is>
      </c>
      <c r="E279" s="223" t="inlineStr">
        <is>
          <t>Understand how casework is prioritised here</t>
        </is>
      </c>
      <c r="F279" s="139" t="inlineStr">
        <is>
          <t>CORU SoP 5.5</t>
        </is>
      </c>
      <c r="G279" s="227" t="inlineStr">
        <is>
          <t>The Reference sheet: team meetings are where you learn what the service actually is — its priorities, pressures and how decisions are made — and the referral pathway, waiting times and priorities are 'not written down anywhere'. Every service decides differently who is seen first, whether by school prioritisation within allocated time, by clinical urgency, or by other criteria; do not assume Cavan works like Roscommon. CORU SoP 5.5 is mapped here. If you do not know what drives the queue, your recommendations will assume a speed of follow-up the service cannot give.</t>
        </is>
      </c>
      <c r="H279" s="165" t="inlineStr">
        <is>
          <t>WATCH FOR — at team meetings, how referrals are discussed: who brings them, what makes one urgent (safety, exclusion risk, a transition deadline), who decides, and what happens to cases that wait. Notice what is never said aloud but clearly shapes decisions.
WRITE DOWN — the pathway from referral to closure as a simple flowchart, and the factors that move a case up or down the queue. No child or school names.
ASK AFTERWARDS — 'can I ask how a referral like that one usually gets prioritised?' — the Reference sheet's example of a question useful to you and unthreatening to everyone.</t>
        </is>
      </c>
      <c r="I279" s="165" t="inlineStr">
        <is>
          <t>YOU TAKE — drafting the pathway flowchart from what you hear in your first few meetings, and checking it with your supervisor.
THEY HOLD — any decision about the priority of your own cases.
WHY THAT SPLIT — mapping the pathway is learning the service. Prioritising cases involves risk and fairness between schools, and those decisions rest with qualified staff and the service's management.</t>
        </is>
      </c>
      <c r="J279" s="165" t="inlineStr">
        <is>
          <t>YOU RUN IT — for a case you are working on, explain in supervision where it sits in the queue and why, and what that means for when any follow-up can realistically happen.
WHAT THEY ARE WATCHING FOR — assuming the Roscommon pathway applies; forming opinions on whether the prioritisation is right before you understand it; recommending reviews on timescales the service cannot meet.
STEPPING IN LOOKS LIKE — 'you've recommended a review in six weeks — given where this school's time sits, is that something we can actually do?'</t>
        </is>
      </c>
      <c r="K279" s="207" t="inlineStr">
        <is>
          <t>YOU DO IT ALONE — describe accurately how this service decides what gets seen and when, and use it to set realistic timescales in your own recommendations and to tell schools and families honestly what to expect.
PASS TEST — You know what determines the queue
EVIDENCE TO FILE — your pathway flowchart as a working paper; a note in the team-meeting record of what you learned. Log against 4. Systemic Change.
WHAT FAILURE LOOKS LIKE — telling a parent 'we'll see him again before Christmas' when the school has already used its time for the term.</t>
        </is>
      </c>
      <c r="L279" s="165" t="inlineStr">
        <is>
          <t>YOU CAN TEACH IT — you can explain to a peer how this service prioritises, how it differs from another service you know, and why knowing the queue is part of writing realistic recommendations. You can name what drives prioritisation without judging it.
WHEN IT GOES WRONG — if you have promised a timescale the service cannot meet, tell your supervisor, and contact the family or school to correct it before they are left waiting.</t>
        </is>
      </c>
      <c r="M279" s="224" t="inlineStr">
        <is>
          <t>Assuming the prioritisation rules from your last placement apply to this service.</t>
        </is>
      </c>
      <c r="N279" s="165" t="inlineStr">
        <is>
          <t>→ Feeds into 'Note what the service can and cannot offer', realistic recommendations, and 6. Ethical Practice (honesty about timescales).</t>
        </is>
      </c>
      <c r="O279" s="225" t="inlineStr">
        <is>
          <t>Not started</t>
        </is>
      </c>
      <c r="P279" s="165" t="inlineStr">
        <is>
          <t>WATCH FOR — at team meetings, how referrals are discussed: who brings them, what makes one urgent (safety, exclusion risk, a transition deadline), who decides, and what happens to cases that wait. Notice what is never said aloud but clearly shapes decisions.</t>
        </is>
      </c>
      <c r="Q279" s="139" t="inlineStr">
        <is>
          <t>Year 1</t>
        </is>
      </c>
      <c r="R279" s="226" t="inlineStr">
        <is>
          <t>26/10/2026</t>
        </is>
      </c>
      <c r="S279" s="226" t="inlineStr">
        <is>
          <t>16/11/2026</t>
        </is>
      </c>
      <c r="T279" s="226" t="inlineStr">
        <is>
          <t>14/12/2026</t>
        </is>
      </c>
      <c r="U279" s="139" t="inlineStr">
        <is>
          <t>Pathway flowchart · team meeting record · Log sheet tagged 4. Systemic Change</t>
        </is>
      </c>
    </row>
    <row r="280" outlineLevel="2" ht="120" customHeight="1" s="128">
      <c r="A280" s="139" t="inlineStr">
        <is>
          <t>MICRO-SKILL</t>
        </is>
      </c>
      <c r="B280" s="139" t="inlineStr">
        <is>
          <t>4. Systemic Change</t>
        </is>
      </c>
      <c r="C280" s="139" t="inlineStr">
        <is>
          <t>Attend service team meetings</t>
        </is>
      </c>
      <c r="D280" s="139" t="inlineStr">
        <is>
          <t>Block 1 · Understanding the service</t>
        </is>
      </c>
      <c r="E280" s="223" t="inlineStr">
        <is>
          <t>Note what the service can and cannot offer</t>
        </is>
      </c>
      <c r="F280" s="139" t="inlineStr">
        <is>
          <t>CORU SoP 5.5</t>
        </is>
      </c>
      <c r="G280" s="227" t="inlineStr">
        <is>
          <t>The Reference sheet lists, among the things to note in team meetings, caseload sizes, what gets prioritised and which other services are often involved, because this is what makes recommendations realistic. A recommendation for weekly psychologist sessions from a service that works through consultation and time allocated to schools will not happen, and the family will blame the school or the service. CORU SoP 5.5 is mapped here. Knowing the limits also tells you when to signpost to the HSE CDNT, CAMHS or Tusla rather than promise something yourself.</t>
        </is>
      </c>
      <c r="H280" s="165" t="inlineStr">
        <is>
          <t>WATCH FOR — what colleagues say the service does and does not do: individual therapy or not, how often reviews happen, group work, training for schools, which age groups and settings, and what is routinely passed to other services (CDNT, CAMHS, Tusla, primary care psychology).
WRITE DOWN — two lists, 'this service offers' and 'this service refers on for', each with the route.
ASK AFTERWARDS — 'what do schools most often ask this service for that it can't provide, and how do you explain that to them?'</t>
        </is>
      </c>
      <c r="I280" s="165" t="inlineStr">
        <is>
          <t>YOU TAKE — building the two lists and checking them against any written service description or policy you are given.
THEY HOLD — decisions about whether an exception can be made for a particular case.
WHY THAT SPLIT — knowing the standard offer is basic orientation. Exceptions weigh one school's needs against the service's capacity, which is a management judgement.</t>
        </is>
      </c>
      <c r="J280" s="165" t="inlineStr">
        <is>
          <t>YOU RUN IT — review the recommendations in your own draft reports against the lists, and bring any you are unsure of to supervision.
WHAT THEY ARE WATCHING FOR — recommendations the service cannot deliver ('the psychologist will provide weekly sessions'); signposting to services with long waiting lists as if they were quick; not signposting at all.
STEPPING IN LOOKS LIKE — 'who would deliver that? If it's us, we don't offer that. If it's the CDNT, what's the route in, and what do we tell the family about the wait?'</t>
        </is>
      </c>
      <c r="K280" s="207" t="inlineStr">
        <is>
          <t>YOU DO IT ALONE — before finalising any recommendation, check who will deliver it and whether they can, and signpost honestly to other services where this one cannot help.
PASS TEST — You know the limits before recommending
EVIDENCE TO FILE — your service offer and signposting lists as working papers; report recommendations each naming who delivers them. Log against 4. Systemic Change.
WHAT FAILURE LOOKS LIKE — a report whose recommendations assume ongoing psychologist involvement the service has never offered, discovered by the school at the review meeting.</t>
        </is>
      </c>
      <c r="L280" s="165" t="inlineStr">
        <is>
          <t>YOU CAN TEACH IT — you can explain to a peer what this service offers, what it refers on and to whom, and why every recommendation should name who delivers it. You can explain how to tell a family about waiting times honestly without discouraging them.
WHEN IT GOES WRONG — if an issued report promised something the service cannot give, tell your supervisor, agree how to tell the family and school, and correct the record.</t>
        </is>
      </c>
      <c r="M280" s="224" t="inlineStr">
        <is>
          <t>Recommending something that no one in the service, or in any service the child can actually reach, will deliver.</t>
        </is>
      </c>
      <c r="N280" s="165" t="inlineStr">
        <is>
          <t>→ Feeds into 'Understand how casework is prioritised here', 'Know the SENO route and what the NCSE can do', and 5. Working with Others.</t>
        </is>
      </c>
      <c r="O280" s="225" t="inlineStr">
        <is>
          <t>Not started</t>
        </is>
      </c>
      <c r="P280" s="165" t="inlineStr">
        <is>
          <t>WATCH FOR — what colleagues say the service does and does not do: individual therapy or not, how often reviews happen, group work, training for schools, which age groups and settings, and what is routinely passed to other services (CDNT, CAMHS, Tusla, primary care psychology).</t>
        </is>
      </c>
      <c r="Q280" s="139" t="inlineStr">
        <is>
          <t>Year 1</t>
        </is>
      </c>
      <c r="R280" s="226" t="inlineStr">
        <is>
          <t>26/10/2026</t>
        </is>
      </c>
      <c r="S280" s="226" t="inlineStr">
        <is>
          <t>16/11/2026</t>
        </is>
      </c>
      <c r="T280" s="226" t="inlineStr">
        <is>
          <t>14/12/2026</t>
        </is>
      </c>
      <c r="U280" s="139" t="inlineStr">
        <is>
          <t>Service offer list · report recommendations · Log sheet tagged 4. Systemic Change</t>
        </is>
      </c>
    </row>
    <row r="281" outlineLevel="2" ht="43.5" customHeight="1" s="128">
      <c r="A281" s="220" t="inlineStr">
        <is>
          <t>BLOCK</t>
        </is>
      </c>
      <c r="B281" s="220" t="inlineStr">
        <is>
          <t>4. Systemic Change</t>
        </is>
      </c>
      <c r="C281" s="220" t="inlineStr">
        <is>
          <t>Attend service team meetings</t>
        </is>
      </c>
      <c r="D281" s="221" t="inlineStr">
        <is>
          <t>Block 2 · Contributing</t>
        </is>
      </c>
      <c r="E281" s="222" t="inlineStr">
        <is>
          <t>Saying something useful in a room of more experienced people.</t>
        </is>
      </c>
      <c r="F281" s="220" t="inlineStr">
        <is>
          <t>Habit · Weeks 7–12</t>
        </is>
      </c>
      <c r="G281" s="220" t="n"/>
      <c r="H281" s="220" t="n"/>
      <c r="I281" s="220" t="n"/>
      <c r="J281" s="220" t="n"/>
      <c r="K281" s="220" t="n"/>
      <c r="L281" s="220" t="n"/>
      <c r="M281" s="222" t="n"/>
      <c r="N281" s="220" t="n"/>
      <c r="O281" s="220" t="n"/>
      <c r="P281" s="220" t="inlineStr">
        <is>
          <t>How you build it: Prepare one contribution before every meeting. Even a question counts.</t>
        </is>
      </c>
      <c r="Q281" s="220" t="n"/>
      <c r="R281" s="220" t="n"/>
      <c r="S281" s="220" t="n"/>
      <c r="T281" s="220" t="n"/>
      <c r="U281" s="220" t="n"/>
    </row>
    <row r="282" outlineLevel="2" ht="120" customHeight="1" s="128">
      <c r="A282" s="139" t="inlineStr">
        <is>
          <t>MICRO-SKILL</t>
        </is>
      </c>
      <c r="B282" s="139" t="inlineStr">
        <is>
          <t>4. Systemic Change</t>
        </is>
      </c>
      <c r="C282" s="139" t="inlineStr">
        <is>
          <t>Attend service team meetings</t>
        </is>
      </c>
      <c r="D282" s="139" t="inlineStr">
        <is>
          <t>Block 2 · Contributing</t>
        </is>
      </c>
      <c r="E282" s="223" t="inlineStr">
        <is>
          <t>Prepare something to contribute</t>
        </is>
      </c>
      <c r="F282" s="139" t="inlineStr">
        <is>
          <t>CORU SoP 2.16</t>
        </is>
      </c>
      <c r="G282" s="227" t="inlineStr">
        <is>
          <t>The Reference sheet: sitting silently for a term is a wasted term. Team meetings are the one routine place to practise contributing among colleagues rather than in supervision, which CORU SoP 2.16 names directly and which is mapped here. The advice is to prepare one small, specific thing — a case question, a resource you found, an offer to take something on — because small and specific beats impressive. Logging attendance without logging a contribution leaves you nothing to show for the meetings.</t>
        </is>
      </c>
      <c r="H282" s="165" t="inlineStr">
        <is>
          <t>WATCH FOR — what kinds of contribution land well in this team: brief case questions, sharing a resource, offering to take a task, a short update. Notice how long people speak, how they introduce a case without identifying it unnecessarily, and when in the agenda a newcomer can speak.
WRITE DOWN — two or three contributions from others that were useful, and what made them useful.
ASK AFTERWARDS — ask your supervisor 'is there anything coming up at the next meeting where it would be useful for me to bring something?'</t>
        </is>
      </c>
      <c r="I282" s="165" t="inlineStr">
        <is>
          <t>YOU TAKE — preparing one contribution for each meeting and agreeing it with your supervisor beforehand: a question, a resource, or an offer.
THEY HOLD — deciding whether your contribution fits the agenda, and any presentation of a case that is still active.
WHY THAT SPLIT — preparing and delivering a small contribution is the practice. Deciding what the team needs to hear about an active case depends on the service's priorities and the case's sensitivity.</t>
        </is>
      </c>
      <c r="J282" s="165" t="inlineStr">
        <is>
          <t>YOU RUN IT — make your prepared contribution at the meeting, with your supervisor there, and ask them afterwards how it came across.
WHAT THEY ARE WATCHING FOR — silence; a contribution that runs too long; opinions on how the service should be run (the Reference sheet: save those until you understand why it runs as it does); jargon.
STEPPING IN LOOKS LIKE — your supervisor making a gap for you: 'our trainee found something useful on this last week — do you want to say?'</t>
        </is>
      </c>
      <c r="K282" s="207" t="inlineStr">
        <is>
          <t>YOU DO IT ALONE — go into every team meeting with one prepared contribution, make it briefly, and log what you contributed as well as that you attended.
PASS TEST — You spoke
EVIDENCE TO FILE — a Log entry for each meeting with date, meeting type and your contribution; a note in supervision of any feedback. Log against 4. Systemic Change and 5. Working with Others.
WHAT FAILURE LOOKS LIKE — ten Log rows reading 'attended team meeting' and nothing else, from a whole term.</t>
        </is>
      </c>
      <c r="L282" s="165" t="inlineStr">
        <is>
          <t>YOU CAN TEACH IT — you can explain to a peer why preparing one small thing is better than waiting for the right moment, give examples of useful trainee contributions, and explain the difference between a question and an opinion on service design.
WHEN IT GOES WRONG — if a contribution falls flat or overreaches, talk it through with your supervisor afterwards, and make the next one smaller and more specific rather than going quiet.</t>
        </is>
      </c>
      <c r="M282" s="224" t="inlineStr">
        <is>
          <t>Attending for a whole term without speaking, then logging only attendance.</t>
        </is>
      </c>
      <c r="N282" s="165" t="inlineStr">
        <is>
          <t>→ Feeds into 'Contribute a psychological perspective', 'Deliver the good practice presentation', and 5. Working with Others.</t>
        </is>
      </c>
      <c r="O282" s="225" t="inlineStr">
        <is>
          <t>Not started</t>
        </is>
      </c>
      <c r="P282" s="165" t="inlineStr">
        <is>
          <t>WATCH FOR — what kinds of contribution land well in this team: brief case questions, sharing a resource, offering to take a task, a short update. Notice how long people speak, how they introduce a case without identifying it unnecessarily, and when in the agenda a newcomer can speak.</t>
        </is>
      </c>
      <c r="Q282" s="139" t="inlineStr">
        <is>
          <t>Year 1</t>
        </is>
      </c>
      <c r="R282" s="226" t="inlineStr">
        <is>
          <t>26/10/2026</t>
        </is>
      </c>
      <c r="S282" s="226" t="inlineStr">
        <is>
          <t>16/11/2026</t>
        </is>
      </c>
      <c r="T282" s="226" t="inlineStr">
        <is>
          <t>14/12/2026</t>
        </is>
      </c>
      <c r="U282" s="139" t="inlineStr">
        <is>
          <t>Log entry with contribution noted · supervision note · Log sheet tagged 4. Systemic Change</t>
        </is>
      </c>
    </row>
    <row r="283" outlineLevel="2" ht="120" customHeight="1" s="128">
      <c r="A283" s="139" t="inlineStr">
        <is>
          <t>MICRO-SKILL</t>
        </is>
      </c>
      <c r="B283" s="139" t="inlineStr">
        <is>
          <t>4. Systemic Change</t>
        </is>
      </c>
      <c r="C283" s="139" t="inlineStr">
        <is>
          <t>Attend service team meetings</t>
        </is>
      </c>
      <c r="D283" s="139" t="inlineStr">
        <is>
          <t>Block 2 · Contributing</t>
        </is>
      </c>
      <c r="E283" s="223" t="inlineStr">
        <is>
          <t>Contribute a psychological perspective</t>
        </is>
      </c>
      <c r="F283" s="139" t="inlineStr">
        <is>
          <t>CORU SoP 2.11</t>
        </is>
      </c>
      <c r="G283" s="227" t="inlineStr">
        <is>
          <t>The Reference sheet: in multi-disciplinary meetings different professions formulate differently and use the same words for different things, and the disagreement is usually about the model, not the facts. Hall (2005, Journal of Interprofessional Care, 19(S1)) describes professional cultures as barriers to teamwork; Frost and Robinson (2007, Child Abuse Review, 16(3)) look at joining up children's services. Your contribution is the psychological formulation, stated plainly and without jargon. CORU SoP 2.11 is mapped here. If you add nothing another discipline would not, the team has lost the reason for having a psychologist there.</t>
        </is>
      </c>
      <c r="H283" s="165" t="inlineStr">
        <is>
          <t>WATCH FOR — how your supervisor adds a psychological view in a multi-disciplinary meeting: linking behaviour to function or context, pointing to interacting factors rather than one cause, asking what the child's view is, or questioning an assumption. Listen for where people use the same word ('anxiety', 'regulation', 'behaviour') to mean different things.
WRITE DOWN — the contribution and why it was psychological rather than medical, therapeutic or educational.
ASK AFTERWARDS — 'what did you think the other professions in the room were missing, and how did you decide how to say it?'</t>
        </is>
      </c>
      <c r="I283" s="165" t="inlineStr">
        <is>
          <t>YOU TAKE — preparing a short psychological formulation of a case you know, in plain language (three or four sentences), for your supervisor to review before the meeting.
THEY HOLD — speaking for the service in the meeting, and handling any disagreement with another discipline.
WHY THAT SPLIT — writing a jargon-free formulation is practice you need. Disagreements between disciplines about an active case have consequences for the child and the working relationships, which your supervisor manages.</t>
        </is>
      </c>
      <c r="J283" s="165" t="inlineStr">
        <is>
          <t>YOU RUN IT — give the psychological formulation of a case in a multi-disciplinary or team meeting, with your supervisor present.
WHAT THEY ARE WATCHING FOR — jargon; repeating what the teacher or therapist already said; arguing with another profession's view rather than adding to it; a formulation too long to be heard.
STEPPING IN LOOKS LIKE — 'to put that another way — the pattern seems to be that it happens when demands go up and the adults nearby change, which gives us something to try.'</t>
        </is>
      </c>
      <c r="K283" s="207" t="inlineStr">
        <is>
          <t>YOU DO IT ALONE — in a team or multi-disciplinary meeting, offer a psychological view of a case, in plain language, that adds something the other disciplines did not bring, and notice where your model differs from theirs.
PASS TEST — You added something another discipline would not
EVIDENCE TO FILE — Log entry with meeting type and your contribution; supervision note on how it was received. Log against 4. Systemic Change and 5. Working with Others.
WHAT FAILURE LOOKS LIKE — a contribution that restated the diagnosis already given, in more technical words, and changed nothing about the plan.</t>
        </is>
      </c>
      <c r="L283" s="165" t="inlineStr">
        <is>
          <t>YOU CAN TEACH IT — you can explain to a peer what a psychological perspective adds in a team (formulation of interacting factors, function, the child's voice, testable hypotheses), how professions use the same words differently, and how to find where a disagreement really lies (Hall, 2005).
WHEN IT GOES WRONG — if another professional dismisses your view, do not argue it in the room; ask a question that brings out the difference in models, and take it to supervision.</t>
        </is>
      </c>
      <c r="M283" s="224" t="inlineStr">
        <is>
          <t>Repeating another discipline's view in psychological jargon instead of adding a distinct perspective.</t>
        </is>
      </c>
      <c r="N283" s="165" t="inlineStr">
        <is>
          <t>→ Feeds into 2. Formulation, 5. Working with Others, and 'Learn consultation models'.</t>
        </is>
      </c>
      <c r="O283" s="225" t="inlineStr">
        <is>
          <t>Not started</t>
        </is>
      </c>
      <c r="P283" s="165" t="inlineStr">
        <is>
          <t>WATCH FOR — how your supervisor adds a psychological view in a multi-disciplinary meeting: linking behaviour to function or context, pointing to interacting factors rather than one cause, asking what the child's view is, or questioning an assumption. Listen for where people use the same word ('anxiety', 'regulation', 'behaviour') to mean different things.</t>
        </is>
      </c>
      <c r="Q283" s="139" t="inlineStr">
        <is>
          <t>Year 1</t>
        </is>
      </c>
      <c r="R283" s="226" t="inlineStr">
        <is>
          <t>26/10/2026</t>
        </is>
      </c>
      <c r="S283" s="226" t="inlineStr">
        <is>
          <t>16/11/2026</t>
        </is>
      </c>
      <c r="T283" s="226" t="inlineStr">
        <is>
          <t>14/12/2026</t>
        </is>
      </c>
      <c r="U283" s="139" t="inlineStr">
        <is>
          <t>Log entry with contribution · supervision note · Log sheet tagged 4. Systemic Change</t>
        </is>
      </c>
    </row>
    <row r="284" outlineLevel="2" ht="19.5" customHeight="1" s="128">
      <c r="A284" s="219" t="inlineStr">
        <is>
          <t>MACRO SKILL</t>
        </is>
      </c>
      <c r="B284" s="219" t="inlineStr">
        <is>
          <t>4. Systemic Change</t>
        </is>
      </c>
      <c r="C284" s="219" t="inlineStr">
        <is>
          <t>Learn consultation models</t>
        </is>
      </c>
      <c r="D284" s="219" t="n"/>
      <c r="E284" s="219" t="inlineStr">
        <is>
          <t>3 blocks · 4 micro-skills</t>
        </is>
      </c>
      <c r="F284" s="219" t="inlineStr">
        <is>
          <t>CORU 5.38 · 4.5</t>
        </is>
      </c>
      <c r="G284" s="219" t="n"/>
      <c r="H284" s="219" t="n"/>
      <c r="I284" s="219" t="n"/>
      <c r="J284" s="219" t="n"/>
      <c r="K284" s="219" t="n"/>
      <c r="L284" s="219" t="n"/>
      <c r="M284" s="219" t="n"/>
      <c r="N284" s="219" t="n"/>
      <c r="O284" s="219" t="n"/>
      <c r="P284" s="219" t="n"/>
      <c r="Q284" s="219" t="inlineStr">
        <is>
          <t>Year 1</t>
        </is>
      </c>
      <c r="R284" s="219" t="n"/>
      <c r="S284" s="219" t="n"/>
      <c r="T284" s="219" t="n"/>
      <c r="U284" s="219" t="n"/>
    </row>
    <row r="285" outlineLevel="2" ht="43.5" customHeight="1" s="128">
      <c r="A285" s="220" t="inlineStr">
        <is>
          <t>BLOCK</t>
        </is>
      </c>
      <c r="B285" s="220" t="inlineStr">
        <is>
          <t>4. Systemic Change</t>
        </is>
      </c>
      <c r="C285" s="220" t="inlineStr">
        <is>
          <t>Learn consultation models</t>
        </is>
      </c>
      <c r="D285" s="221" t="inlineStr">
        <is>
          <t>Block 1 · Problem-solving consultation</t>
        </is>
      </c>
      <c r="E285" s="222" t="inlineStr">
        <is>
          <t>The stages of a structured problem-solving model and what each is for.</t>
        </is>
      </c>
      <c r="F285" s="220" t="inlineStr">
        <is>
          <t>4–5 hours plus practice · Weeks 3–6</t>
        </is>
      </c>
      <c r="G285" s="220" t="n"/>
      <c r="H285" s="220" t="n"/>
      <c r="I285" s="220" t="n"/>
      <c r="J285" s="220" t="n"/>
      <c r="K285" s="220" t="n"/>
      <c r="L285" s="220" t="n"/>
      <c r="M285" s="222" t="n"/>
      <c r="N285" s="220" t="n"/>
      <c r="O285" s="220" t="n"/>
      <c r="P285" s="220" t="inlineStr">
        <is>
          <t>How you build it: Read one account properly. Follow the stages explicitly five times.</t>
        </is>
      </c>
      <c r="Q285" s="220" t="n"/>
      <c r="R285" s="220" t="n"/>
      <c r="S285" s="220" t="n"/>
      <c r="T285" s="220" t="n"/>
      <c r="U285" s="220" t="n"/>
    </row>
    <row r="286" outlineLevel="2" ht="120" customHeight="1" s="128">
      <c r="A286" s="139" t="inlineStr">
        <is>
          <t>MICRO-SKILL</t>
        </is>
      </c>
      <c r="B286" s="139" t="inlineStr">
        <is>
          <t>4. Systemic Change</t>
        </is>
      </c>
      <c r="C286" s="139" t="inlineStr">
        <is>
          <t>Learn consultation models</t>
        </is>
      </c>
      <c r="D286" s="139" t="inlineStr">
        <is>
          <t>Block 1 · Problem-solving consultation</t>
        </is>
      </c>
      <c r="E286" s="223" t="inlineStr">
        <is>
          <t>Learn a structured problem-solving model</t>
        </is>
      </c>
      <c r="F286" s="139" t="inlineStr">
        <is>
          <t>CORU SoP 5.38</t>
        </is>
      </c>
      <c r="G286" s="227" t="inlineStr">
        <is>
          <t>The Reference sheet sets out the stages of problem-solving consultation: problem identification, problem analysis, plan design, implementation, evaluation. The model comes from behavioural consultation (Bergan &amp; Kratochwill, 1990, Behavioral Consultation and Therapy). The Reference sheet says the evidence consistently shows problem identification predicts outcome; an early source often cited for this is Bergan and Tombari (1976, Journal of School Psychology) — read it before quoting the finding. Without a model you default to advice-giving, which the Reference sheet calls the least effective form of consultation and the most likely to be politely ignored. CORU SoP 5.38 is mapped here.</t>
        </is>
      </c>
      <c r="H286" s="165" t="inlineStr">
        <is>
          <t>WATCH FOR — in a consultation your supervisor leads, how long they stay on defining the problem before any strategy is mentioned; the questions that turn 'he's disruptive' into something observable ('calls out during whole-class maths, about how often?'); and whether they agree a way to measure change before planning.
WRITE DOWN — the stage-by-stage sequence as it actually happened, and the time spent on each stage.
ASK AFTERWARDS — 'at what point did you know you and the teacher agreed on what the problem was, and what did you do when you didn't?'</t>
        </is>
      </c>
      <c r="I286" s="165" t="inlineStr">
        <is>
          <t>YOU TAKE — reading one source on the model (Bergan &amp; Kratochwill, 1990, or a UK version such as the problem analysis framework of Monsen, Graham, Frederickson and Cameron, 1998, Educational Psychology in Practice), and writing a one-page crib sheet of the stages with example questions for each.
THEY HOLD — leading the consultation itself at first.
WHY THAT SPLIT — learning the stages is desk work. Running them live with a teacher under pressure takes judgement about when to hold back from solutions, which you learn by watching first.</t>
        </is>
      </c>
      <c r="J286" s="165" t="inlineStr">
        <is>
          <t>YOU RUN IT — lead a problem-solving consultation with a teacher, using your crib sheet, with your supervisor present.
WHAT THEY ARE WATCHING FOR — jumping to strategies before the problem is defined; accepting a vague problem ('his behaviour'); skipping the agreement on how change will be measured; losing the stages when the teacher goes off track.
STEPPING IN LOOKS LIKE — 'before we get to what to try — can we pin down exactly what it looks like, when it happens most, and what you'd see if it were better?'</t>
        </is>
      </c>
      <c r="K286" s="207" t="inlineStr">
        <is>
          <t>YOU DO IT ALONE — lead a consultation through each stage in order, name the model in your case note, and record the agreed problem definition, plan and review date.
PASS TEST — You can name and follow its stages
EVIDENCE TO FILE — the consultation record, headed by stage, with the model named; your crib sheet. Log against 4. Systemic Change and 3. Intervention.
WHAT FAILURE LOOKS LIKE — a case note that reads 'discussed concerns; advised visual timetable and movement breaks', with no problem definition and no way to tell if anything worked.</t>
        </is>
      </c>
      <c r="L286" s="165" t="inlineStr">
        <is>
          <t>YOU CAN TEACH IT — you can explain to a peer the five stages, why problem identification carries the most weight, how to turn a vague concern into an observable definition, and where the model struggles (for example, when the problem is a relationship or a system rather than a behaviour).
WHEN IT GOES WRONG — if a plan fails, go back to problem identification before designing a new plan; the problem was often defined wrongly in the first place.</t>
        </is>
      </c>
      <c r="M286" s="224" t="inlineStr">
        <is>
          <t>Moving to strategies before you and the teacher have agreed exactly what the problem is.</t>
        </is>
      </c>
      <c r="N286" s="165" t="inlineStr">
        <is>
          <t>→ Feeds into 'Follow one model explicitly for a set of consultations', 3. Intervention, and 'Identify a gap in the continuum'.</t>
        </is>
      </c>
      <c r="O286" s="225" t="inlineStr">
        <is>
          <t>Not started</t>
        </is>
      </c>
      <c r="P286" s="165" t="inlineStr">
        <is>
          <t>WATCH FOR — in a consultation your supervisor leads, how long they stay on defining the problem before any strategy is mentioned; the questions that turn 'he's disruptive' into something observable ('calls out during whole-class maths, about how often?'); and whether they agree a way to measure change before planning.</t>
        </is>
      </c>
      <c r="Q286" s="139" t="inlineStr">
        <is>
          <t>Year 1</t>
        </is>
      </c>
      <c r="R286" s="226" t="inlineStr">
        <is>
          <t>26/10/2026</t>
        </is>
      </c>
      <c r="S286" s="226" t="inlineStr">
        <is>
          <t>16/11/2026</t>
        </is>
      </c>
      <c r="T286" s="226" t="inlineStr">
        <is>
          <t>14/12/2026</t>
        </is>
      </c>
      <c r="U286" s="139" t="inlineStr">
        <is>
          <t>Consultation record by stage · crib sheet · Log sheet tagged 4. Systemic Change</t>
        </is>
      </c>
    </row>
    <row r="287" outlineLevel="2" ht="43.5" customHeight="1" s="128">
      <c r="A287" s="220" t="inlineStr">
        <is>
          <t>BLOCK</t>
        </is>
      </c>
      <c r="B287" s="220" t="inlineStr">
        <is>
          <t>4. Systemic Change</t>
        </is>
      </c>
      <c r="C287" s="220" t="inlineStr">
        <is>
          <t>Learn consultation models</t>
        </is>
      </c>
      <c r="D287" s="221" t="inlineStr">
        <is>
          <t>Block 2 · Solution-focused approaches</t>
        </is>
      </c>
      <c r="E287" s="222" t="inlineStr">
        <is>
          <t>Scaling, exception-finding, preferred future questioning.</t>
        </is>
      </c>
      <c r="F287" s="220" t="inlineStr">
        <is>
          <t>3–4 hours plus practice · Weeks 7–12</t>
        </is>
      </c>
      <c r="G287" s="220" t="n"/>
      <c r="H287" s="220" t="n"/>
      <c r="I287" s="220" t="n"/>
      <c r="J287" s="220" t="n"/>
      <c r="K287" s="220" t="n"/>
      <c r="L287" s="220" t="n"/>
      <c r="M287" s="222" t="n"/>
      <c r="N287" s="220" t="n"/>
      <c r="O287" s="220" t="n"/>
      <c r="P287" s="220" t="inlineStr">
        <is>
          <t>How you build it: One short text. Then use scaling in three consultations.</t>
        </is>
      </c>
      <c r="Q287" s="220" t="n"/>
      <c r="R287" s="220" t="n"/>
      <c r="S287" s="220" t="n"/>
      <c r="T287" s="220" t="n"/>
      <c r="U287" s="220" t="n"/>
    </row>
    <row r="288" outlineLevel="2" ht="120" customHeight="1" s="128">
      <c r="A288" s="139" t="inlineStr">
        <is>
          <t>MICRO-SKILL</t>
        </is>
      </c>
      <c r="B288" s="139" t="inlineStr">
        <is>
          <t>4. Systemic Change</t>
        </is>
      </c>
      <c r="C288" s="139" t="inlineStr">
        <is>
          <t>Learn consultation models</t>
        </is>
      </c>
      <c r="D288" s="139" t="inlineStr">
        <is>
          <t>Block 2 · Solution-focused approaches</t>
        </is>
      </c>
      <c r="E288" s="223" t="inlineStr">
        <is>
          <t>Learn a solution-focused approach</t>
        </is>
      </c>
      <c r="F288" s="139" t="inlineStr">
        <is>
          <t>CORU SoP 5.38</t>
        </is>
      </c>
      <c r="G288" s="227" t="inlineStr">
        <is>
          <t>The Reference sheet: solution-focused consultation starts from exceptions and preferred futures rather than causes, using scaling, the miracle question and amplifying what already works. It is quick and suits teachers under time pressure, and it is the framework you already used at Roscommon. The approach comes from solution-focused brief therapy (de Shazer, 1985, Keys to Solution in Brief Therapy); Rhodes and Ajmal (1995, Solution Focused Thinking in Schools) apply it to schools. CORU SoP 5.38 is mapped here. Using the techniques without the stance gives a list of questions with nothing behind them.</t>
        </is>
      </c>
      <c r="H288" s="165" t="inlineStr">
        <is>
          <t>WATCH FOR — how your supervisor asks exception questions ('when is it a bit better, even slightly?') and scaling questions ('on a scale of 0 to 10, where is it now, and what would one point higher look like?'), and how they follow the answer with 'what's different then?' rather than moving on.
WRITE DOWN — the exact wording of the scaling and exception questions, the teacher's answers, and the small next step agreed.
ASK AFTERWARDS — 'how do you keep a teacher who wants to talk about everything that's wrong focused on the exceptions, without seeming to dismiss them?'</t>
        </is>
      </c>
      <c r="I288" s="165" t="inlineStr">
        <is>
          <t>YOU TAKE — writing your own scaling and exception questions for an upcoming consultation, adjusted from what you used in Roscommon for this service's settings.
THEY HOLD — deciding whether a solution-focused approach suits this consultation (for example, not where a child protection concern or a serious risk needs a full account of what is happening).
WHY THAT SPLIT — the questions are a skill you already have and can sharpen. Judging when the approach is wrong for the situation needs experience you are still gaining.</t>
        </is>
      </c>
      <c r="J288" s="165" t="inlineStr">
        <is>
          <t>YOU RUN IT — lead a solution-focused consultation with a teacher using scaling and exception questions, with your supervisor observing.
WHAT THEY ARE WATCHING FOR — asking the scaling question and not following it up; drifting back into problem talk; the stance slipping into advice; brushing aside a teacher's real concern too quickly.
STEPPING IN LOOKS LIKE — 'you said it's a four now — what's making it a four and not a two?'</t>
        </is>
      </c>
      <c r="K288" s="207" t="inlineStr">
        <is>
          <t>YOU DO IT ALONE — use scaling and exception questions fluently in a consultation, follow each answer up, agree one small step that builds on what already works, and name the approach in your record.
PASS TEST — You can use scaling and exception questions
EVIDENCE TO FILE — consultation record with the scaling scores and agreed step, with the approach named. Log against 4. Systemic Change and 3. Intervention.
WHAT FAILURE LOOKS LIKE — a record showing a scaling question was asked, a number noted, and then a list of your suggestions with no link to the number.</t>
        </is>
      </c>
      <c r="L288" s="165" t="inlineStr">
        <is>
          <t>YOU CAN TEACH IT — you can explain to a peer the solution-focused stance (the client has resources; build on exceptions), how scaling and exception questions work and how to follow them up, and where the approach is not enough, such as where a problem needs a full account of cause and risk.
WHEN IT GOES WRONG — if a teacher says 'it's never better', ask about times it was less bad or about coping, and if that does not open anything, switch to a problem-solving approach and say so.</t>
        </is>
      </c>
      <c r="M288" s="224" t="inlineStr">
        <is>
          <t>Using scaling and exception questions as a script while still giving advice, so the stance is missing.</t>
        </is>
      </c>
      <c r="N288" s="165" t="inlineStr">
        <is>
          <t>→ Feeds into 'Follow one model explicitly for a set of consultations', 'Ask your supervisor which model they use', and 3. Intervention.</t>
        </is>
      </c>
      <c r="O288" s="225" t="inlineStr">
        <is>
          <t>Not started</t>
        </is>
      </c>
      <c r="P288" s="165" t="inlineStr">
        <is>
          <t>WATCH FOR — how your supervisor asks exception questions ('when is it a bit better, even slightly?') and scaling questions ('on a scale of 0 to 10, where is it now, and what would one point higher look like?'), and how they follow the answer with 'what's different then?' rather than moving on.</t>
        </is>
      </c>
      <c r="Q288" s="139" t="inlineStr">
        <is>
          <t>Year 1</t>
        </is>
      </c>
      <c r="R288" s="226" t="inlineStr">
        <is>
          <t>26/10/2026</t>
        </is>
      </c>
      <c r="S288" s="226" t="inlineStr">
        <is>
          <t>16/11/2026</t>
        </is>
      </c>
      <c r="T288" s="226" t="inlineStr">
        <is>
          <t>14/12/2026</t>
        </is>
      </c>
      <c r="U288" s="139" t="inlineStr">
        <is>
          <t>Consultation record · Log sheet tagged 4. Systemic Change</t>
        </is>
      </c>
    </row>
    <row r="289" outlineLevel="2" ht="43.5" customHeight="1" s="128">
      <c r="A289" s="220" t="inlineStr">
        <is>
          <t>BLOCK</t>
        </is>
      </c>
      <c r="B289" s="220" t="inlineStr">
        <is>
          <t>4. Systemic Change</t>
        </is>
      </c>
      <c r="C289" s="220" t="inlineStr">
        <is>
          <t>Learn consultation models</t>
        </is>
      </c>
      <c r="D289" s="221" t="inlineStr">
        <is>
          <t>Block 3 · Choosing between them</t>
        </is>
      </c>
      <c r="E289" s="222" t="inlineStr">
        <is>
          <t>Knowing which suits which situation, and being able to say why.</t>
        </is>
      </c>
      <c r="F289" s="220" t="inlineStr">
        <is>
          <t>2 hours reflection · Ongoing all year</t>
        </is>
      </c>
      <c r="G289" s="220" t="n"/>
      <c r="H289" s="220" t="n"/>
      <c r="I289" s="220" t="n"/>
      <c r="J289" s="220" t="n"/>
      <c r="K289" s="220" t="n"/>
      <c r="L289" s="220" t="n"/>
      <c r="M289" s="222" t="n"/>
      <c r="N289" s="220" t="n"/>
      <c r="O289" s="220" t="n"/>
      <c r="P289" s="220" t="inlineStr">
        <is>
          <t>How you build it: After five of each, write a half-page on what each gave you.</t>
        </is>
      </c>
      <c r="Q289" s="220" t="n"/>
      <c r="R289" s="220" t="n"/>
      <c r="S289" s="220" t="n"/>
      <c r="T289" s="220" t="n"/>
      <c r="U289" s="220" t="n"/>
    </row>
    <row r="290" outlineLevel="2" ht="120" customHeight="1" s="128">
      <c r="A290" s="139" t="inlineStr">
        <is>
          <t>MICRO-SKILL</t>
        </is>
      </c>
      <c r="B290" s="139" t="inlineStr">
        <is>
          <t>4. Systemic Change</t>
        </is>
      </c>
      <c r="C290" s="139" t="inlineStr">
        <is>
          <t>Learn consultation models</t>
        </is>
      </c>
      <c r="D290" s="139" t="inlineStr">
        <is>
          <t>Block 3 · Choosing between them</t>
        </is>
      </c>
      <c r="E290" s="223" t="inlineStr">
        <is>
          <t>Ask your supervisor which model they use</t>
        </is>
      </c>
      <c r="F290" s="139" t="inlineStr">
        <is>
          <t>CORU SoP 4.5</t>
        </is>
      </c>
      <c r="G290" s="227" t="inlineStr">
        <is>
          <t>The Reference sheet points out that the Irish standards fold consultation into other competencies rather than naming it, so you can get through a placement without ever learning a model. The BPS Standards for Accreditation (2023) name consultation as a competency in its own right; read them for the wording. Asking your supervisor which model they use, and whether they were trained in it, tells you what you can learn by watching and where you need other sources. CORU SoP 4.5 is mapped here. A supervisor working from an informal blend is common, and it is worth knowing.</t>
        </is>
      </c>
      <c r="H290" s="165" t="inlineStr">
        <is>
          <t>WATCH FOR — in the consultations you observe, what your supervisor actually does: the sequence, the typical questions, whether they define the problem first or look for exceptions, and whether they name a model to the teacher.
WRITE DOWN — your guess at the model, with the evidence, before you ask them.
ASK AFTERWARDS — 'which consultation model do you use, were you trained in it formally, and where do you depart from it?'</t>
        </is>
      </c>
      <c r="I290" s="165" t="inlineStr">
        <is>
          <t>YOU TAKE — asking the question in supervision, comparing their answer with what you observed, and noting where they differ.
THEY HOLD — their account of their own practice and training, and any recommendation for what you should read or which model you should adopt this year.
WHY THAT SPLIT — asking is part of your learning. What model they practise, and why, is their professional judgement, and knowing it lets you use supervision well.</t>
        </is>
      </c>
      <c r="J290" s="165" t="inlineStr">
        <is>
          <t>YOU RUN IT — after a consultation you observed, discuss with your supervisor which stages or techniques they used and where the model was adjusted for the setting.
WHAT THEY ARE WATCHING FOR — asking in a way that sounds like a test of them; assuming that a model named on paper is the model in practice; not following up on the training question.
STEPPING IN LOOKS LIKE — 'good question — honestly, I was trained in one approach and I've mixed in bits of another over the years. Let me show you where.'</t>
        </is>
      </c>
      <c r="K290" s="207" t="inlineStr">
        <is>
          <t>YOU DO IT ALONE — find out which consultation model your supervisor uses, whether they were trained in it and how, and use that to decide what you can learn from them and what you need to read or seek elsewhere.
PASS TEST — You know whether they were trained in it
EVIDENCE TO FILE — a supervision note recording the discussion and what you agreed to learn. Log against 4. Systemic Change and 7. Supervision.
WHAT FAILURE LOOKS LIKE — ending the placement having watched a dozen consultations without being able to say what model your supervisor used.</t>
        </is>
      </c>
      <c r="L290" s="165" t="inlineStr">
        <is>
          <t>YOU CAN TEACH IT — you can explain to a peer why asking this question is useful, how to ask it respectfully, and how to learn from a supervisor whose model is informal or mixed while still learning one model properly yourself.
WHEN IT GOES WRONG — if your supervisor uses a model you have not been taught, ask for a reading, and agree in supervision which model you will follow for your own consultations this placement.</t>
        </is>
      </c>
      <c r="M290" s="224" t="inlineStr">
        <is>
          <t>Assuming your supervisor follows a formal model without asking whether they were trained in it.</t>
        </is>
      </c>
      <c r="N290" s="165" t="inlineStr">
        <is>
          <t>→ Feeds into 'Follow one model explicitly for a set of consultations', 7. Supervision, and the supervision contract.</t>
        </is>
      </c>
      <c r="O290" s="225" t="inlineStr">
        <is>
          <t>Not started</t>
        </is>
      </c>
      <c r="P290" s="165" t="inlineStr">
        <is>
          <t>WATCH FOR — in the consultations you observe, what your supervisor actually does: the sequence, the typical questions, whether they define the problem first or look for exceptions, and whether they name a model to the teacher.</t>
        </is>
      </c>
      <c r="Q290" s="139" t="inlineStr">
        <is>
          <t>Year 1</t>
        </is>
      </c>
      <c r="R290" s="226" t="inlineStr">
        <is>
          <t>26/10/2026</t>
        </is>
      </c>
      <c r="S290" s="226" t="inlineStr">
        <is>
          <t>16/11/2026</t>
        </is>
      </c>
      <c r="T290" s="226" t="inlineStr">
        <is>
          <t>14/12/2026</t>
        </is>
      </c>
      <c r="U290" s="139" t="inlineStr">
        <is>
          <t>Supervision record · Log sheet tagged 4. Systemic Change and 7. Supervision</t>
        </is>
      </c>
    </row>
    <row r="291" outlineLevel="2" ht="120" customHeight="1" s="128">
      <c r="A291" s="139" t="inlineStr">
        <is>
          <t>MICRO-SKILL</t>
        </is>
      </c>
      <c r="B291" s="139" t="inlineStr">
        <is>
          <t>4. Systemic Change</t>
        </is>
      </c>
      <c r="C291" s="139" t="inlineStr">
        <is>
          <t>Learn consultation models</t>
        </is>
      </c>
      <c r="D291" s="139" t="inlineStr">
        <is>
          <t>Block 3 · Choosing between them</t>
        </is>
      </c>
      <c r="E291" s="223" t="inlineStr">
        <is>
          <t>Follow one model explicitly for a set of consultations</t>
        </is>
      </c>
      <c r="F291" s="139" t="inlineStr">
        <is>
          <t>CORU SoP 5.38</t>
        </is>
      </c>
      <c r="G291" s="227" t="inlineStr">
        <is>
          <t>The Reference sheet: learn one model properly this year rather than sampling four; name it in supervision, use it repeatedly, and notice where it fails, because competence comes from repetition with reflection, not from breadth. Never naming the model means it cannot be evidenced. Wagner (2008, in Kelly, Woolfson &amp; Boyle, Frameworks for Practice in Educational Psychology) describes consultation as a framework for practice. CORU SoP 5.38 is mapped here. By the end of Cavan you should be able to say what the model gave you and where it fell short.</t>
        </is>
      </c>
      <c r="H291" s="165" t="inlineStr">
        <is>
          <t>WATCH FOR — across several consultations your supervisor leads, what stays the same (structure, stance, recording) and what they change for different teachers and problems.
WRITE DOWN — for each consultation you observe, the model's stages and where the supervisor departed from them and why.
ASK AFTERWARDS — 'when do you decide the model isn't working for this teacher, and what do you do instead?'</t>
        </is>
      </c>
      <c r="I291" s="165" t="inlineStr">
        <is>
          <t>YOU TAKE — choosing one model with your supervisor at the start of Cavan and writing it into the Appendix 1 as a learning objective, with a target number of consultations to be agreed with your supervisor.
THEY HOLD — observing and giving feedback on selected consultations, and agreeing when you may move away from the model.
WHY THAT SPLIT — the repeated practice has to be yours. Feedback on whether you are following the model, or only its surface, needs someone who has seen it done well.</t>
        </is>
      </c>
      <c r="J291" s="165" t="inlineStr">
        <is>
          <t>YOU RUN IT — run a series of consultations using the chosen model, naming it in each record, with your supervisor observing some and reviewing all the records.
WHAT THEY ARE WATCHING FOR — drifting away from the model without noticing; using its techniques without its stance; not naming it in the record; not noticing where it fails.
STEPPING IN LOOKS LIKE — 'in this one you skipped straight from problem definition to strategies. What would the analysis stage have added?'</t>
        </is>
      </c>
      <c r="K291" s="207" t="inlineStr">
        <is>
          <t>YOU DO IT ALONE — follow one named model for a series of consultations, record it each time, and be able to say what it gave you, where it failed, and what you would use instead in those situations.
PASS TEST — You can say what the model gave you
EVIDENCE TO FILE — consultation records naming the model; supervision notes on what you learned; your Appendix 5 entries (your reflection to write). Log against 4. Systemic Change and 3. Intervention.
WHAT FAILURE LOOKS LIKE — a set of consultations each run differently, none naming a model, so you cannot evidence that you learned one.</t>
        </is>
      </c>
      <c r="L291" s="165" t="inlineStr">
        <is>
          <t>YOU CAN TEACH IT — you can explain to a peer the model you used, what it is good for and poor at, and when you would choose something else — the Reference sheet's grade 5. Prompts for your own reflection: what the model made easier, where it got in the way, what you would do differently. The reflection itself is yours to write.
WHEN IT GOES WRONG — if the model keeps failing in one kind of situation, that is a finding: bring it to supervision, read about an alternative, and record the switch rather than drifting.</t>
        </is>
      </c>
      <c r="M291" s="224" t="inlineStr">
        <is>
          <t>Sampling several models across the placement so none is learned properly or evidenced.</t>
        </is>
      </c>
      <c r="N291" s="165" t="inlineStr">
        <is>
          <t>→ Feeds into 3. Intervention, 7. Supervision, and consultation evidence for 4. Systemic Change.</t>
        </is>
      </c>
      <c r="O291" s="225" t="inlineStr">
        <is>
          <t>Not started</t>
        </is>
      </c>
      <c r="P291" s="165" t="inlineStr">
        <is>
          <t>WATCH FOR — across several consultations your supervisor leads, what stays the same (structure, stance, recording) and what they change for different teachers and problems.</t>
        </is>
      </c>
      <c r="Q291" s="139" t="inlineStr">
        <is>
          <t>Year 1</t>
        </is>
      </c>
      <c r="R291" s="226" t="inlineStr">
        <is>
          <t>26/10/2026</t>
        </is>
      </c>
      <c r="S291" s="226" t="inlineStr">
        <is>
          <t>16/11/2026</t>
        </is>
      </c>
      <c r="T291" s="226" t="inlineStr">
        <is>
          <t>14/12/2026</t>
        </is>
      </c>
      <c r="U291" s="139" t="inlineStr">
        <is>
          <t>Consultation records naming the model · supervision record · Appendix 5 · Log sheet tagged 4. Systemic Change</t>
        </is>
      </c>
    </row>
    <row r="292" outlineLevel="2" ht="19.5" customHeight="1" s="128">
      <c r="A292" s="219" t="inlineStr">
        <is>
          <t>MACRO SKILL</t>
        </is>
      </c>
      <c r="B292" s="219" t="inlineStr">
        <is>
          <t>4. Systemic Change</t>
        </is>
      </c>
      <c r="C292" s="219" t="inlineStr">
        <is>
          <t>Deliver the good practice presentation</t>
        </is>
      </c>
      <c r="D292" s="219" t="n"/>
      <c r="E292" s="219" t="inlineStr">
        <is>
          <t>3 blocks · 4 micro-skills</t>
        </is>
      </c>
      <c r="F292" s="219" t="inlineStr">
        <is>
          <t>CORU 5.20 · 5.40 · 5.8 · 5.41</t>
        </is>
      </c>
      <c r="G292" s="219" t="n"/>
      <c r="H292" s="219" t="n"/>
      <c r="I292" s="219" t="n"/>
      <c r="J292" s="219" t="n"/>
      <c r="K292" s="219" t="n"/>
      <c r="L292" s="219" t="n"/>
      <c r="M292" s="219" t="n"/>
      <c r="N292" s="219" t="n"/>
      <c r="O292" s="219" t="n"/>
      <c r="P292" s="219" t="n"/>
      <c r="Q292" s="219" t="inlineStr">
        <is>
          <t>Year 1</t>
        </is>
      </c>
      <c r="R292" s="219" t="n"/>
      <c r="S292" s="219" t="n"/>
      <c r="T292" s="219" t="n"/>
      <c r="U292" s="219" t="n"/>
    </row>
    <row r="293" outlineLevel="2" ht="43.5" customHeight="1" s="128">
      <c r="A293" s="220" t="inlineStr">
        <is>
          <t>BLOCK</t>
        </is>
      </c>
      <c r="B293" s="220" t="inlineStr">
        <is>
          <t>4. Systemic Change</t>
        </is>
      </c>
      <c r="C293" s="220" t="inlineStr">
        <is>
          <t>Deliver the good practice presentation</t>
        </is>
      </c>
      <c r="D293" s="221" t="inlineStr">
        <is>
          <t>Block 1 · Knowing the content</t>
        </is>
      </c>
      <c r="E293" s="222" t="inlineStr">
        <is>
          <t>The evidence base for whatever you are presenting on.</t>
        </is>
      </c>
      <c r="F293" s="220" t="inlineStr">
        <is>
          <t>6–8 hours · Weeks 7–12</t>
        </is>
      </c>
      <c r="G293" s="220" t="n"/>
      <c r="H293" s="220" t="n"/>
      <c r="I293" s="220" t="n"/>
      <c r="J293" s="220" t="n"/>
      <c r="K293" s="220" t="n"/>
      <c r="L293" s="220" t="n"/>
      <c r="M293" s="222" t="n"/>
      <c r="N293" s="220" t="n"/>
      <c r="O293" s="220" t="n"/>
      <c r="P293" s="220" t="inlineStr">
        <is>
          <t>How you build it: Search properly, appraise five sources, use three.</t>
        </is>
      </c>
      <c r="Q293" s="220" t="n"/>
      <c r="R293" s="220" t="n"/>
      <c r="S293" s="220" t="n"/>
      <c r="T293" s="220" t="n"/>
      <c r="U293" s="220" t="n"/>
    </row>
    <row r="294" outlineLevel="2" ht="120" customHeight="1" s="128">
      <c r="A294" s="139" t="inlineStr">
        <is>
          <t>MICRO-SKILL</t>
        </is>
      </c>
      <c r="B294" s="139" t="inlineStr">
        <is>
          <t>4. Systemic Change</t>
        </is>
      </c>
      <c r="C294" s="139" t="inlineStr">
        <is>
          <t>Deliver the good practice presentation</t>
        </is>
      </c>
      <c r="D294" s="139" t="inlineStr">
        <is>
          <t>Block 1 · Knowing the content</t>
        </is>
      </c>
      <c r="E294" s="223" t="inlineStr">
        <is>
          <t>Cite current peer-reviewed evidence</t>
        </is>
      </c>
      <c r="F294" s="139" t="inlineStr">
        <is>
          <t>CORU SoP 5.41</t>
        </is>
      </c>
      <c r="G294" s="227" t="inlineStr">
        <is>
          <t>The Reference sheet: if you say an approach works, cite something. PSI Code 4.2.2 is cited there as requiring you not to misrepresent the effectiveness of what you offer, and a training audience will act on what you tell them, so be as careful about overclaiming in a presentation as in a report. CORU SoP 5.41 is mapped here. A slide saying 'research shows' with no source cannot be checked by the teachers and should not be trusted by you. Evidence reviews such as the EEF's (Education Endowment Foundation) guidance reports are useful starting points, but check that the findings apply to Irish classrooms.</t>
        </is>
      </c>
      <c r="H294" s="165" t="inlineStr">
        <is>
          <t>WATCH FOR — how your supervisor or experienced colleagues use evidence in training: how many citations appear, how they say the strength of evidence in plain terms ('several good trials', 'promising but early'), and how they deal with popular approaches with weak evidence.
WRITE DOWN — the sources they cite, how they describe the strength of the evidence, and anything they deliberately left out.
ASK AFTERWARDS — 'how do you handle it when teachers are already using something the evidence doesn't support?'</t>
        </is>
      </c>
      <c r="I294" s="165" t="inlineStr">
        <is>
          <t>YOU TAKE — searching for current peer-reviewed evidence on your topic (systematic reviews first, then key trials), reading the sources you cite yourself, and listing each claim on your slides with its source.
THEY HOLD — reviewing your claims-and-sources list for overclaiming before the presentation.
WHY THAT SPLIT — finding and reading evidence is core work for a doctoral trainee. A second reader who knows the field catches the claim that goes further than the study did.</t>
        </is>
      </c>
      <c r="J294" s="165" t="inlineStr">
        <is>
          <t>YOU RUN IT — present a draft to your supervisor and defend each effectiveness claim with its source.
WHAT THEY ARE WATCHING FOR — 'research shows' with no source; citing a book summary rather than the study; old evidence when newer reviews exist; findings from very different settings presented as if they transfer directly; strong words ('proven') for modest evidence.
STEPPING IN LOOKS LIKE — 'where's this claim from? What did the study actually find, and with which pupils?'</t>
        </is>
      </c>
      <c r="K294" s="207" t="inlineStr">
        <is>
          <t>YOU DO IT ALONE — make every effectiveness claim traceable to current peer-reviewed evidence you have read, state its strength honestly, and include a short reference list the audience can follow.
PASS TEST — The evidence base is visible
EVIDENCE TO FILE — slides and reference list; your claims-and-sources check. Log against 4. Systemic Change and 8. Research.
WHAT FAILURE LOOKS LIKE — a teacher asks 'where's the evidence for that?' and you cannot name a study.</t>
        </is>
      </c>
      <c r="L294" s="165" t="inlineStr">
        <is>
          <t>YOU CAN TEACH IT — you can explain to a peer how to find and weigh evidence for a training topic, how to describe strength of evidence without jargon, and why overclaiming in training is an ethical issue (the Reference sheet's reading of PSI 4.2.2 — check the Code for the exact wording).
WHEN IT GOES WRONG — if you realise after the session that you overstated a finding, send a short correction with the handout, and tell your supervisor.</t>
        </is>
      </c>
      <c r="M294" s="224" t="inlineStr">
        <is>
          <t>Saying an approach 'works' or 'research shows' without a source you have read yourself.</t>
        </is>
      </c>
      <c r="N294" s="165" t="inlineStr">
        <is>
          <t>→ Feeds into 'Pitch it at teachers rather than examiners', 8. Research, and 6. Ethical Practice.</t>
        </is>
      </c>
      <c r="O294" s="225" t="inlineStr">
        <is>
          <t>Not started</t>
        </is>
      </c>
      <c r="P294" s="165" t="inlineStr">
        <is>
          <t>WATCH FOR — how your supervisor or experienced colleagues use evidence in training: how many citations appear, how they say the strength of evidence in plain terms ('several good trials', 'promising but early'), and how they deal with popular approaches with weak evidence.</t>
        </is>
      </c>
      <c r="Q294" s="139" t="inlineStr">
        <is>
          <t>Year 1</t>
        </is>
      </c>
      <c r="R294" s="226" t="inlineStr">
        <is>
          <t>26/10/2026</t>
        </is>
      </c>
      <c r="S294" s="226" t="inlineStr">
        <is>
          <t>16/11/2026</t>
        </is>
      </c>
      <c r="T294" s="226" t="inlineStr">
        <is>
          <t>14/12/2026</t>
        </is>
      </c>
      <c r="U294" s="139" t="inlineStr">
        <is>
          <t>Slides and reference list · Log sheet tagged 4. Systemic Change and 8. Research</t>
        </is>
      </c>
    </row>
    <row r="295" outlineLevel="2" ht="43.5" customHeight="1" s="128">
      <c r="A295" s="220" t="inlineStr">
        <is>
          <t>BLOCK</t>
        </is>
      </c>
      <c r="B295" s="220" t="inlineStr">
        <is>
          <t>4. Systemic Change</t>
        </is>
      </c>
      <c r="C295" s="220" t="inlineStr">
        <is>
          <t>Deliver the good practice presentation</t>
        </is>
      </c>
      <c r="D295" s="221" t="inlineStr">
        <is>
          <t>Block 2 · Presenting to professionals</t>
        </is>
      </c>
      <c r="E295" s="222" t="inlineStr">
        <is>
          <t>Pitching to teachers rather than examiners — translating every technical term.</t>
        </is>
      </c>
      <c r="F295" s="220" t="inlineStr">
        <is>
          <t>4–5 hours · Weeks 7–12</t>
        </is>
      </c>
      <c r="G295" s="220" t="n"/>
      <c r="H295" s="220" t="n"/>
      <c r="I295" s="220" t="n"/>
      <c r="J295" s="220" t="n"/>
      <c r="K295" s="220" t="n"/>
      <c r="L295" s="220" t="n"/>
      <c r="M295" s="222" t="n"/>
      <c r="N295" s="220" t="n"/>
      <c r="O295" s="220" t="n"/>
      <c r="P295" s="220" t="inlineStr">
        <is>
          <t>How you build it: Rehearse once in front of someone who is not a psychologist.</t>
        </is>
      </c>
      <c r="Q295" s="220" t="n"/>
      <c r="R295" s="220" t="n"/>
      <c r="S295" s="220" t="n"/>
      <c r="T295" s="220" t="n"/>
      <c r="U295" s="220" t="n"/>
    </row>
    <row r="296" outlineLevel="2" ht="120" customHeight="1" s="128">
      <c r="A296" s="139" t="inlineStr">
        <is>
          <t>MICRO-SKILL</t>
        </is>
      </c>
      <c r="B296" s="139" t="inlineStr">
        <is>
          <t>4. Systemic Change</t>
        </is>
      </c>
      <c r="C296" s="139" t="inlineStr">
        <is>
          <t>Deliver the good practice presentation</t>
        </is>
      </c>
      <c r="D296" s="139" t="inlineStr">
        <is>
          <t>Block 2 · Presenting to professionals</t>
        </is>
      </c>
      <c r="E296" s="223" t="inlineStr">
        <is>
          <t>Pitch it at teachers rather than examiners</t>
        </is>
      </c>
      <c r="F296" s="139" t="inlineStr">
        <is>
          <t>CORU SoP 5.40 · 5.8</t>
        </is>
      </c>
      <c r="G296" s="227" t="inlineStr">
        <is>
          <t>The Reference sheet: teachers want something usable on Monday, so every section should end with what to do, not what to know; cut the theory to what makes the practice make sense and put the rest in a handout. CORU SoP 5.40 and 5.8 are mapped here. Your review named delivery of training as a strength, so this is where you build on it. A presentation written for an examiner — citation-heavy, theory first — loses a staffroom in ten minutes, and nothing changes in classrooms.</t>
        </is>
      </c>
      <c r="H296" s="165" t="inlineStr">
        <is>
          <t>WATCH FOR — how experienced presenters turn a study into practice: one sentence on what was found, then 'what this means in your classroom is...'. Notice how much theory they use, where they put the references (often the handout), and how they use examples from Irish classrooms.
WRITE DOWN — two or three translations you thought worked well, from finding to classroom action.
ASK AFTERWARDS — 'how do you decide what to cut when you have twenty minutes at a staff meeting?'</t>
        </is>
      </c>
      <c r="I296" s="165" t="inlineStr">
        <is>
          <t>YOU TAKE — rewriting each evidence slide so that it ends with a classroom action, and moving detail to a one-page handout.
THEY HOLD — feedback on the pitch, and knowledge of this staff's context (what they have already had training on, what they are sceptical of).
WHY THAT SPLIT — translating evidence is the skill you are building. Knowing what this staffroom has already heard, and where the resistance is, is local knowledge your supervisor has.</t>
        </is>
      </c>
      <c r="J296" s="165" t="inlineStr">
        <is>
          <t>YOU RUN IT — rehearse the presentation with your supervisor or a peer acting as a teacher who asks 'so what do I do?' after every slide.
WHAT THEY ARE WATCHING FOR — slides with an author and year but no 'so what'; jargon ('executive functioning', 'effect size') without translation; too many slides; reading from slides.
STEPPING IN LOOKS LIKE — 'I'm a second-class teacher with twenty-eight children — what do I do tomorrow morning because of this slide?'</t>
        </is>
      </c>
      <c r="K296" s="207" t="inlineStr">
        <is>
          <t>YOU DO IT ALONE — deliver a presentation in which every cited finding is followed by what it means for the audience's practice, in their language, with the theory and full references in a one-page handout.
PASS TEST — Every citation is translated
EVIDENCE TO FILE — slides, handout, and a note of the audience and setting. Log against 4. Systemic Change.
WHAT FAILURE LOOKS LIKE — polite applause, no questions, and a staffroom conversation afterwards about how it was 'very academic'.</t>
        </is>
      </c>
      <c r="L296" s="165" t="inlineStr">
        <is>
          <t>YOU CAN TEACH IT — you can explain to a peer how to turn a finding into a classroom action, how to decide what goes on a slide and what goes in the handout, and why training that stays at the level of knowledge rarely changes practice (Joyce &amp; Showers, 2002, on the need for follow-up and coaching).
WHEN IT GOES WRONG — if the audience is disengaged partway through, stop, ask what would be most useful to them now, and skip to the practical part.</t>
        </is>
      </c>
      <c r="M296" s="224" t="inlineStr">
        <is>
          <t>Presenting findings with author and year but never saying what the teacher should do differently because of them.</t>
        </is>
      </c>
      <c r="N296" s="165" t="inlineStr">
        <is>
          <t>→ Feeds into 'End with three things the school could do this term', 'Collect and file feedback from the school', and 5. Working with Others.</t>
        </is>
      </c>
      <c r="O296" s="225" t="inlineStr">
        <is>
          <t>Not started</t>
        </is>
      </c>
      <c r="P296" s="165" t="inlineStr">
        <is>
          <t>WATCH FOR — how experienced presenters turn a study into practice: one sentence on what was found, then 'what this means in your classroom is...'. Notice how much theory they use, where they put the references (often the handout), and how they use examples from Irish classrooms.</t>
        </is>
      </c>
      <c r="Q296" s="139" t="inlineStr">
        <is>
          <t>Year 1</t>
        </is>
      </c>
      <c r="R296" s="226" t="inlineStr">
        <is>
          <t>26/10/2026</t>
        </is>
      </c>
      <c r="S296" s="226" t="inlineStr">
        <is>
          <t>16/11/2026</t>
        </is>
      </c>
      <c r="T296" s="226" t="inlineStr">
        <is>
          <t>14/12/2026</t>
        </is>
      </c>
      <c r="U296" s="139" t="inlineStr">
        <is>
          <t>Slides and handout · Log sheet tagged 4. Systemic Change</t>
        </is>
      </c>
    </row>
    <row r="297" outlineLevel="2" ht="120" customHeight="1" s="128">
      <c r="A297" s="139" t="inlineStr">
        <is>
          <t>MICRO-SKILL</t>
        </is>
      </c>
      <c r="B297" s="139" t="inlineStr">
        <is>
          <t>4. Systemic Change</t>
        </is>
      </c>
      <c r="C297" s="139" t="inlineStr">
        <is>
          <t>Deliver the good practice presentation</t>
        </is>
      </c>
      <c r="D297" s="139" t="inlineStr">
        <is>
          <t>Block 2 · Presenting to professionals</t>
        </is>
      </c>
      <c r="E297" s="223" t="inlineStr">
        <is>
          <t>End with three things the school could do this term</t>
        </is>
      </c>
      <c r="F297" s="139" t="inlineStr">
        <is>
          <t>CORU SoP 5.40</t>
        </is>
      </c>
      <c r="G297" s="227" t="inlineStr">
        <is>
          <t>The Reference sheet: a one-page summary beats fifty slides, because people keep one page, and every section should end with what to do. Joyce and Showers (2002, Student Achievement Through Staff Development, 3rd ed.) are cited on the Reference sheet for why training alone rarely changes practice without follow-up. Three specific actions the school could take this term, within its own resources, give the training a way to reach classrooms. CORU SoP 5.40 is mapped here. Aspirations ('foster a culture of inclusion') cannot be done, so they won't be.</t>
        </is>
      </c>
      <c r="H297" s="165" t="inlineStr">
        <is>
          <t>WATCH FOR — how presenters close: whether the last slide is a summary of content or a short list of actions; how specific the actions are (who, what, when); whether they link to anything the school already does.
WRITE DOWN — the closing actions from a training session you attend, and whether you could tell who would do each one and by when.
ASK AFTERWARDS — ask a teacher after a training session 'which of those will you actually try?' and note which kind of action they pick.</t>
        </is>
      </c>
      <c r="I297" s="165" t="inlineStr">
        <is>
          <t>YOU TAKE — drafting three actions, each specific, doable within existing time and staff, and fitting the school's current priorities as far as you know them.
THEY HOLD — checking the actions against what the school is already doing and has capacity for this term.
WHY THAT SPLIT — writing concrete actions is the skill. Whether they fit the school's calendar and other demands is local knowledge, and an action that clashes with another initiative will be dropped.</t>
        </is>
      </c>
      <c r="J297" s="165" t="inlineStr">
        <is>
          <t>YOU RUN IT — close the presentation with your three actions and ask the staff which one they would start with, with your supervisor present.
WHAT THEY ARE WATCHING FOR — actions that need extra resources; vague verbs ('promote', 'foster', 'consider'); more than three; actions that are really the psychologist's to do, not the school's.
STEPPING IN LOOKS LIKE — 'can we make that second one smaller — what would a teacher do in the first week?'</t>
        </is>
      </c>
      <c r="K297" s="207" t="inlineStr">
        <is>
          <t>YOU DO IT ALONE — end the presentation, and the one-page handout, with three concrete actions the school could take this term within its resources, each saying who does what, and link them to the follow-up.
PASS TEST — Actionable, not aspirational
EVIDENCE TO FILE — the final slide and handout; any note of which action the school chose. Log against 4. Systemic Change.
WHAT FAILURE LOOKS LIKE — a closing slide that reads 'Key messages: every child is different; relationships matter; inclusion is everyone's responsibility'.</t>
        </is>
      </c>
      <c r="L297" s="165" t="inlineStr">
        <is>
          <t>YOU CAN TEACH IT — you can explain to a peer the difference between an actionable and an aspirational recommendation, why three is better than ten, and why follow-up matters more than the presentation itself (Joyce &amp; Showers, 2002).
WHEN IT GOES WRONG — if staff say none of the actions is realistic, ask what would be, and agree one action with them before you leave the room.</t>
        </is>
      </c>
      <c r="M297" s="224" t="inlineStr">
        <is>
          <t>Closing with principles or aspirations rather than specific actions the school can take this term.</t>
        </is>
      </c>
      <c r="N297" s="165" t="inlineStr">
        <is>
          <t>→ Feeds into 'Collect and file feedback from the school', 'Say what would close the gap', and 3. Intervention at school level.</t>
        </is>
      </c>
      <c r="O297" s="225" t="inlineStr">
        <is>
          <t>Not started</t>
        </is>
      </c>
      <c r="P297" s="165" t="inlineStr">
        <is>
          <t>WATCH FOR — how presenters close: whether the last slide is a summary of content or a short list of actions; how specific the actions are (who, what, when); whether they link to anything the school already does.</t>
        </is>
      </c>
      <c r="Q297" s="139" t="inlineStr">
        <is>
          <t>Year 1</t>
        </is>
      </c>
      <c r="R297" s="226" t="inlineStr">
        <is>
          <t>26/10/2026</t>
        </is>
      </c>
      <c r="S297" s="226" t="inlineStr">
        <is>
          <t>16/11/2026</t>
        </is>
      </c>
      <c r="T297" s="226" t="inlineStr">
        <is>
          <t>14/12/2026</t>
        </is>
      </c>
      <c r="U297" s="139" t="inlineStr">
        <is>
          <t>Closing slide and handout · Log sheet tagged 4. Systemic Change</t>
        </is>
      </c>
    </row>
    <row r="298" outlineLevel="2" ht="43.5" customHeight="1" s="128">
      <c r="A298" s="220" t="inlineStr">
        <is>
          <t>BLOCK</t>
        </is>
      </c>
      <c r="B298" s="220" t="inlineStr">
        <is>
          <t>4. Systemic Change</t>
        </is>
      </c>
      <c r="C298" s="220" t="inlineStr">
        <is>
          <t>Deliver the good practice presentation</t>
        </is>
      </c>
      <c r="D298" s="221" t="inlineStr">
        <is>
          <t>Block 3 · Capturing the impact</t>
        </is>
      </c>
      <c r="E298" s="222" t="inlineStr">
        <is>
          <t>Getting feedback that evidences you built capacity.</t>
        </is>
      </c>
      <c r="F298" s="220" t="inlineStr">
        <is>
          <t>1 hour · Weeks 7–12</t>
        </is>
      </c>
      <c r="G298" s="220" t="n"/>
      <c r="H298" s="220" t="n"/>
      <c r="I298" s="220" t="n"/>
      <c r="J298" s="220" t="n"/>
      <c r="K298" s="220" t="n"/>
      <c r="L298" s="220" t="n"/>
      <c r="M298" s="222" t="n"/>
      <c r="N298" s="220" t="n"/>
      <c r="O298" s="220" t="n"/>
      <c r="P298" s="220" t="inlineStr">
        <is>
          <t>How you build it: Hand out a five-question feedback slip. File the results.</t>
        </is>
      </c>
      <c r="Q298" s="220" t="n"/>
      <c r="R298" s="220" t="n"/>
      <c r="S298" s="220" t="n"/>
      <c r="T298" s="220" t="n"/>
      <c r="U298" s="220" t="n"/>
    </row>
    <row r="299" outlineLevel="2" ht="120" customHeight="1" s="128">
      <c r="A299" s="139" t="inlineStr">
        <is>
          <t>MICRO-SKILL</t>
        </is>
      </c>
      <c r="B299" s="139" t="inlineStr">
        <is>
          <t>4. Systemic Change</t>
        </is>
      </c>
      <c r="C299" s="139" t="inlineStr">
        <is>
          <t>Deliver the good practice presentation</t>
        </is>
      </c>
      <c r="D299" s="139" t="inlineStr">
        <is>
          <t>Block 3 · Capturing the impact</t>
        </is>
      </c>
      <c r="E299" s="223" t="inlineStr">
        <is>
          <t>Collect and file feedback from the school</t>
        </is>
      </c>
      <c r="F299" s="139" t="inlineStr">
        <is>
          <t>CORU SoP 5.40</t>
        </is>
      </c>
      <c r="G299" s="227" t="inlineStr">
        <is>
          <t>The Reference sheet suggests a three-question form at the end: what will you do differently, what was most useful, what was missing. It takes two minutes, gives you evidence for the portfolio, and turns a presentation into a small piece of practice-based research. Kirkpatrick and Kirkpatrick (2006, Evaluating Training Programs, 3rd ed.) separate reaction, learning, behaviour and results; a feedback form measures reaction and intended behaviour, not actual change. CORU SoP 5.40 is mapped here. Without feedback you cannot show the presentation built capacity.</t>
        </is>
      </c>
      <c r="H299" s="165" t="inlineStr">
        <is>
          <t>WATCH FOR — how the service evaluates training: whether forms are used, what they ask, whether they are anonymous, and whether anyone follows up weeks later to see if practice changed.
WRITE DOWN — the questions used, how responses are summarised, and where they are filed.
ASK AFTERWARDS — 'have you ever gone back to a school after training to see if anything changed? What did you find?'</t>
        </is>
      </c>
      <c r="I299" s="165" t="inlineStr">
        <is>
          <t>YOU TAKE — designing a short anonymous form using the Reference sheet's three questions, collecting it at the end, and summarising the responses honestly, including the critical ones.
THEY HOLD — any follow-up contact with the principal to find out whether the agreed actions were taken.
WHY THAT SPLIT — designing and summarising the evaluation is your evidence and research practice. Follow-up with the principal is part of the service's ongoing relationship with the school.</t>
        </is>
      </c>
      <c r="J299" s="165" t="inlineStr">
        <is>
          <t>YOU RUN IT — collect the forms, write a half-page summary, and discuss it in supervision, including what you would change.
WHAT THEY ARE WATCHING FOR — reporting only the positive comments; treating 'enjoyed it' as evidence of change; forms that collect names without need; no follow-up question about actual practice.
STEPPING IN LOOKS LIKE — 'what did the people who said something was missing tell you, and what would you change because of it?'</t>
        </is>
      </c>
      <c r="K299" s="207" t="inlineStr">
        <is>
          <t>YOU DO IT ALONE — collect anonymous feedback at the end, summarise it honestly, and where possible follow up (through your supervisor) to find out whether any of the three actions were taken, stating clearly which Kirkpatrick level each piece of evidence reaches.
PASS TEST — You have evidence it built capacity
EVIDENCE TO FILE — the form, the summary, any follow-up note; Appendix 5 entry (your reflection to write). Log against 4. Systemic Change and 8. Research.
WHAT FAILURE LOOKS LIKE — no forms, or a folder of forms nobody summarised, and a portfolio that says only 'delivered training to staff'.</t>
        </is>
      </c>
      <c r="L299" s="165" t="inlineStr">
        <is>
          <t>YOU CAN TEACH IT — you can explain to a peer the difference between reaction and behaviour change (Kirkpatrick &amp; Kirkpatrick, 2006), how to design a two-minute form that gives usable evidence, and how to write it up honestly as practice-based evaluation. Prompts for your own reflection: what the feedback told you, what surprised you, what you would change. The reflection is yours to write.
WHEN IT GOES WRONG — if feedback is poor, report it as it is, take it to supervision, and say what you will change next time; honest poor feedback with a clear response is better evidence than no feedback.</t>
        </is>
      </c>
      <c r="M299" s="224" t="inlineStr">
        <is>
          <t>Collecting no feedback, or reporting positive reactions as if they showed practice had changed.</t>
        </is>
      </c>
      <c r="N299" s="165" t="inlineStr">
        <is>
          <t>→ Feeds into 8. Research (practice-based evaluation), 4. Systemic Change evidence, and the portfolio.</t>
        </is>
      </c>
      <c r="O299" s="225" t="inlineStr">
        <is>
          <t>Not started</t>
        </is>
      </c>
      <c r="P299" s="165" t="inlineStr">
        <is>
          <t>WATCH FOR — how the service evaluates training: whether forms are used, what they ask, whether they are anonymous, and whether anyone follows up weeks later to see if practice changed.</t>
        </is>
      </c>
      <c r="Q299" s="139" t="inlineStr">
        <is>
          <t>Year 1</t>
        </is>
      </c>
      <c r="R299" s="226" t="inlineStr">
        <is>
          <t>26/10/2026</t>
        </is>
      </c>
      <c r="S299" s="226" t="inlineStr">
        <is>
          <t>16/11/2026</t>
        </is>
      </c>
      <c r="T299" s="226" t="inlineStr">
        <is>
          <t>14/12/2026</t>
        </is>
      </c>
      <c r="U299" s="139" t="inlineStr">
        <is>
          <t>Feedback form and summary · Appendix 5 · Log sheet tagged 4. Systemic Change and 8. Research</t>
        </is>
      </c>
    </row>
    <row r="300" ht="21.75" customHeight="1" s="128">
      <c r="A300" s="173" t="inlineStr">
        <is>
          <t>COMPETENCY</t>
        </is>
      </c>
      <c r="B300" s="173" t="inlineStr">
        <is>
          <t>5. Working with Others</t>
        </is>
      </c>
      <c r="C300" s="173" t="n"/>
      <c r="D300" s="173" t="n"/>
      <c r="E300" s="173" t="inlineStr">
        <is>
          <t>6 macro skills · 17 blocks · 34 micro-skills</t>
        </is>
      </c>
      <c r="F300" s="173" t="n"/>
      <c r="G300" s="173" t="n"/>
      <c r="H300" s="173" t="n"/>
      <c r="I300" s="173" t="n"/>
      <c r="J300" s="173" t="n"/>
      <c r="K300" s="173" t="n"/>
      <c r="L300" s="173" t="n"/>
      <c r="M300" s="173" t="n"/>
      <c r="N300" s="173" t="n"/>
      <c r="O300" s="173" t="n"/>
      <c r="P300" s="173" t="n"/>
      <c r="Q300" s="173" t="n"/>
      <c r="R300" s="173" t="n"/>
      <c r="S300" s="173" t="n"/>
      <c r="T300" s="173" t="n"/>
      <c r="U300" s="173" t="n"/>
    </row>
    <row r="301" ht="19.5" customHeight="1" s="128">
      <c r="A301" s="219" t="inlineStr">
        <is>
          <t>MACRO SKILL</t>
        </is>
      </c>
      <c r="B301" s="219" t="inlineStr">
        <is>
          <t>5. Working with Others</t>
        </is>
      </c>
      <c r="C301" s="219" t="inlineStr">
        <is>
          <t>Build rapport with a child during assessment</t>
        </is>
      </c>
      <c r="D301" s="219" t="n"/>
      <c r="E301" s="219" t="inlineStr">
        <is>
          <t>3 blocks · 6 micro-skills</t>
        </is>
      </c>
      <c r="F301" s="219" t="inlineStr">
        <is>
          <t>CORU 5.21 · 2.2 · 2.3</t>
        </is>
      </c>
      <c r="G301" s="219" t="n"/>
      <c r="H301" s="219" t="n"/>
      <c r="I301" s="219" t="n"/>
      <c r="J301" s="219" t="n"/>
      <c r="K301" s="219" t="n"/>
      <c r="L301" s="219" t="n"/>
      <c r="M301" s="219" t="n"/>
      <c r="N301" s="219" t="n"/>
      <c r="O301" s="219" t="n"/>
      <c r="P301" s="219" t="n"/>
      <c r="Q301" s="219" t="inlineStr">
        <is>
          <t>Year 1</t>
        </is>
      </c>
      <c r="R301" s="219" t="n"/>
      <c r="S301" s="219" t="n"/>
      <c r="T301" s="219" t="n"/>
      <c r="U301" s="219" t="n"/>
    </row>
    <row r="302" outlineLevel="2" ht="43.5" customHeight="1" s="128">
      <c r="A302" s="220" t="inlineStr">
        <is>
          <t>BLOCK</t>
        </is>
      </c>
      <c r="B302" s="220" t="inlineStr">
        <is>
          <t>5. Working with Others</t>
        </is>
      </c>
      <c r="C302" s="220" t="inlineStr">
        <is>
          <t>Build rapport with a child during assessment</t>
        </is>
      </c>
      <c r="D302" s="221" t="inlineStr">
        <is>
          <t>Block 1 · Meeting them where they are</t>
        </is>
      </c>
      <c r="E302" s="222" t="inlineStr">
        <is>
          <t>Register, pace, physical positioning, and what to say first.</t>
        </is>
      </c>
      <c r="F302" s="220" t="inlineStr">
        <is>
          <t>2 hours plus observation · Weeks 1–2</t>
        </is>
      </c>
      <c r="G302" s="220" t="n"/>
      <c r="H302" s="220" t="n"/>
      <c r="I302" s="220" t="n"/>
      <c r="J302" s="220" t="n"/>
      <c r="K302" s="220" t="n"/>
      <c r="L302" s="220" t="n"/>
      <c r="M302" s="222" t="n"/>
      <c r="N302" s="220" t="n"/>
      <c r="O302" s="220" t="n"/>
      <c r="P302" s="220" t="inlineStr">
        <is>
          <t>How you build it: Watch your supervisor's first two minutes with three different children. Write down what they do.</t>
        </is>
      </c>
      <c r="Q302" s="220" t="n"/>
      <c r="R302" s="220" t="n"/>
      <c r="S302" s="220" t="n"/>
      <c r="T302" s="220" t="n"/>
      <c r="U302" s="220" t="n"/>
    </row>
    <row r="303" outlineLevel="2" ht="120" customHeight="1" s="128">
      <c r="A303" s="139" t="inlineStr">
        <is>
          <t>MICRO-SKILL</t>
        </is>
      </c>
      <c r="B303" s="139" t="inlineStr">
        <is>
          <t>5. Working with Others</t>
        </is>
      </c>
      <c r="C303" s="139" t="inlineStr">
        <is>
          <t>Build rapport with a child during assessment</t>
        </is>
      </c>
      <c r="D303" s="139" t="inlineStr">
        <is>
          <t>Block 1 · Meeting them where they are</t>
        </is>
      </c>
      <c r="E303" s="223" t="inlineStr">
        <is>
          <t>Meet the child at their level, literally and in register</t>
        </is>
      </c>
      <c r="F303" s="139" t="inlineStr">
        <is>
          <t>CORU SoP 2.2</t>
        </is>
      </c>
      <c r="G303" s="227" t="inlineStr">
        <is>
          <t>The Reference sheet puts it bluntly: rapport is measurement validity, because an anxious or suspicious child produces scores that underestimate them. Sattler (Assessment of Children: Cognitive Foundations, 6th ed., 2018) treats establishing rapport and observing test behaviour as part of the assessment itself, not a warm-up. An adult standing over a six-year-old, or talking to a fifteen-year-old as if they were six, starts the session with the child managing you. CORU SoP 2.2 is the standard mapped here. Get it wrong and every score that follows is in question.</t>
        </is>
      </c>
      <c r="H303" s="165" t="inlineStr">
        <is>
          <t>WATCH FOR — where your supervisor puts their body in the first minute: sitting or crouching to eye level, side-on rather than across a desk, or leaving the child the seat nearest the door. Then listen to register — sentence length, vocabulary, humour — and how it shifts between a Junior Infant and a Leaving Cert student.
WRITE DOWN — the first three sentences they said to the child, word for word, and the child's age band (UCD Table 3).
ASK AFTERWARDS — 'what did you notice about this child in the corridor that changed how you spoke to them in the room?'</t>
        </is>
      </c>
      <c r="I303" s="165" t="inlineStr">
        <is>
          <t>YOU TAKE — setting up the room before the child arrives (chair heights, table side, materials out of sight until needed) and doing the walk from the classroom, where most of the first impression is made.
THEY HOLD — the introduction and the move into the first task.
WHY THAT SPLIT — room set-up and the corridor walk are low-risk and teach you to read a child before anything is at stake. The introduction sets the tone for scores that will be reported, so it stays with the person accountable for them.</t>
        </is>
      </c>
      <c r="J303" s="165" t="inlineStr">
        <is>
          <t>YOU RUN IT — collect the child, introduce yourself, and settle them into the room, with your supervisor present but not leading.
WHAT THEY ARE WATCHING FOR — the two opposite failures: talking down (sing-song voice, over-praise, questions a younger child would be asked) and talking over (adult vocabulary, long sentences, talking about the child to the teacher in front of them).
STEPPING IN LOOKS LIKE — your supervisor sitting down beside you so you follow suit, or rephrasing one of your sentences more simply without comment.</t>
        </is>
      </c>
      <c r="K303" s="207" t="inlineStr">
        <is>
          <t>YOU DO IT ALONE — adjust position, pace and language to the child in front of you, not to their age on the referral form, and keep adjusting as you learn more about them in the first ten minutes.
PASS TEST — Not talked down to or over
EVIDENCE TO FILE — the behavioural observations section of the report, noting how the child presented and engaged, and a reflective note in Appendix 5 (no identifying details in the Log). Log against 5. Working with Others.
WHAT FAILURE LOOKS LIKE — a teenager who answers in single words for an hour because you opened with 'Hi there, are you having a nice day?', or a young child who never looks up because you talked across a desk.</t>
        </is>
      </c>
      <c r="L303" s="165" t="inlineStr">
        <is>
          <t>YOU CAN TEACH IT — you can explain to a peer why register is a validity issue and not just manners, give examples of the same introduction pitched for a five-year-old, a ten-year-old and a sixteen-year-old, and name what to adjust for a child with a language difficulty or a hearing impairment.
WHEN IT GOES WRONG — you can say what to do when you misjudge it: name it lightly ('that was a bit babyish, sorry — you're in fifth class'), recalibrate, and note in the observations section that engagement improved after the adjustment.</t>
        </is>
      </c>
      <c r="M303" s="224" t="inlineStr">
        <is>
          <t>Pitching language to the age on the referral form rather than to the child actually in front of you.</t>
        </is>
      </c>
      <c r="N303" s="165" t="inlineStr">
        <is>
          <t>→ Feeds into 'Explain what will happen and why', 'Notice and respond to reluctance', and the validity statement in every assessment report.</t>
        </is>
      </c>
      <c r="O303" s="225" t="inlineStr">
        <is>
          <t>Not started</t>
        </is>
      </c>
      <c r="P303" s="165" t="inlineStr">
        <is>
          <t>WATCH FOR — where your supervisor puts their body in the first minute: sitting or crouching to eye level, side-on rather than across a desk, or leaving the child the seat nearest the door. Then listen to register — sentence length, vocabulary, humour — and how it shifts between a Junior Infant and a Leaving Cert student.</t>
        </is>
      </c>
      <c r="Q303" s="139" t="inlineStr">
        <is>
          <t>Year 1</t>
        </is>
      </c>
      <c r="R303" s="226" t="inlineStr">
        <is>
          <t>26/10/2026</t>
        </is>
      </c>
      <c r="S303" s="226" t="inlineStr">
        <is>
          <t>16/11/2026</t>
        </is>
      </c>
      <c r="T303" s="226" t="inlineStr">
        <is>
          <t>14/12/2026</t>
        </is>
      </c>
      <c r="U303" s="139" t="inlineStr">
        <is>
          <t>Report — behavioural observations · Appendix 5 · Log sheet tagged 5. Working with Others</t>
        </is>
      </c>
    </row>
    <row r="304" outlineLevel="2" ht="120" customHeight="1" s="128">
      <c r="A304" s="139" t="inlineStr">
        <is>
          <t>MICRO-SKILL</t>
        </is>
      </c>
      <c r="B304" s="139" t="inlineStr">
        <is>
          <t>5. Working with Others</t>
        </is>
      </c>
      <c r="C304" s="139" t="inlineStr">
        <is>
          <t>Build rapport with a child during assessment</t>
        </is>
      </c>
      <c r="D304" s="139" t="inlineStr">
        <is>
          <t>Block 1 · Meeting them where they are</t>
        </is>
      </c>
      <c r="E304" s="223" t="inlineStr">
        <is>
          <t>Explain what will happen and why</t>
        </is>
      </c>
      <c r="F304" s="139" t="inlineStr">
        <is>
          <t>PSI Code 4.3.1</t>
        </is>
      </c>
      <c r="G304" s="227" t="inlineStr">
        <is>
          <t>The Reference sheet's first three minutes: who you are in a sentence they can repeat, why you are there, what will happen, how long, that some tasks will be too hard for everyone, and what happens to the information. PSI Code 4.3.1 is the clause mapped here. Children often assume they have been sent to a psychologist because they are in trouble or 'stupid'; unless you say otherwise, that belief sits in the room with every item. A child who does not know the tasks get harder will read their first failure as proof.</t>
        </is>
      </c>
      <c r="H304" s="165" t="inlineStr">
        <is>
          <t>WATCH FOR — the exact words your supervisor uses for 'psychologist', 'test' and 'why you are here', and how these change with age. Notice whether they say that the tasks get harder for everyone, and whether they say who will hear about the session.
WRITE DOWN — the explanation near verbatim, then a version for a younger child and one for a teenager in your own words.
ASK AFTERWARDS — 'what do children most often think a psychologist is, and how do you correct it without making it a big deal?'</t>
        </is>
      </c>
      <c r="I304" s="165" t="inlineStr">
        <is>
          <t>YOU TAKE — writing a scripted explanation for each UCD Table 3 age band you will see in Cavan, and checking it with your supervisor before you use it.
THEY HOLD — the explanation to any child whose referral involves a sensitive reason (bereavement, a child protection history, a recent exclusion).
WHY THAT SPLIT — a script can be tested safely and corrected. Where the reason for referral is itself painful, deciding how much to say needs knowledge of the family and the history that sits with your supervisor.</t>
        </is>
      </c>
      <c r="J304" s="165" t="inlineStr">
        <is>
          <t>YOU RUN IT — give the whole explanation yourself, then ask the child to tell you back what is going to happen, with your supervisor observing.
WHAT THEY ARE WATCHING FOR — explanations that are accurate but too long, jargon ('assessment', 'cognitive'), leaving out what happens to the information, and moving on without waiting for questions.
STEPPING IN LOOKS LIKE — 'can I add one thing — some of these puzzles get really tricky, and that's the same for everyone who does them.'</t>
        </is>
      </c>
      <c r="K304" s="207" t="inlineStr">
        <is>
          <t>YOU DO IT ALONE — explain purpose, activities, length, the difficulty gradient and who will be told what, in words the child uses, and check it by asking them to say it back rather than asking 'OK?'.
PASS TEST — The child could repeat it back
EVIDENCE TO FILE — a line in the case note recording what was explained and the child's account of it; your age-band scripts as working papers. Log against 5. Working with Others and 6. Ethical Practice.
WHAT FAILURE LOOKS LIKE — a child who asks at the end 'am I in trouble?' or 'will my mam find out?', which means they spent the session not knowing.</t>
        </is>
      </c>
      <c r="L304" s="165" t="inlineStr">
        <is>
          <t>YOU CAN TEACH IT — you can explain why a teach-back ('tell me what we're going to do') is a better check than a closed question, why the difficulty-gradient sentence protects effort on later items, and how the explanation links to assent.
WHEN IT GOES WRONG — you can say what to do when a child's repeat-back shows a misunderstanding: correct it before starting, not mid-battery, and if the misunderstanding was about confidentiality, redo that part in full.</t>
        </is>
      </c>
      <c r="M304" s="224" t="inlineStr">
        <is>
          <t>Asking 'is that OK?' instead of having the child say back what will happen.</t>
        </is>
      </c>
      <c r="N304" s="165" t="inlineStr">
        <is>
          <t>→ Feeds into 'Obtain informed consent and assent', 'Give the child a real choice early', and 'Close so the child leaves feeling competent'.</t>
        </is>
      </c>
      <c r="O304" s="225" t="inlineStr">
        <is>
          <t>Not started</t>
        </is>
      </c>
      <c r="P304" s="165" t="inlineStr">
        <is>
          <t>WATCH FOR — the exact words your supervisor uses for 'psychologist', 'test' and 'why you are here', and how these change with age. Notice whether they say that the tasks get harder for everyone, and whether they say who will hear about the session.</t>
        </is>
      </c>
      <c r="Q304" s="139" t="inlineStr">
        <is>
          <t>Year 1</t>
        </is>
      </c>
      <c r="R304" s="226" t="inlineStr">
        <is>
          <t>26/10/2026</t>
        </is>
      </c>
      <c r="S304" s="226" t="inlineStr">
        <is>
          <t>16/11/2026</t>
        </is>
      </c>
      <c r="T304" s="226" t="inlineStr">
        <is>
          <t>14/12/2026</t>
        </is>
      </c>
      <c r="U304" s="139" t="inlineStr">
        <is>
          <t>Case note · age-band scripts · Appendix 5 · Log sheet tagged 5. Working with Others</t>
        </is>
      </c>
    </row>
    <row r="305" outlineLevel="2" ht="43.5" customHeight="1" s="128">
      <c r="A305" s="220" t="inlineStr">
        <is>
          <t>BLOCK</t>
        </is>
      </c>
      <c r="B305" s="220" t="inlineStr">
        <is>
          <t>5. Working with Others</t>
        </is>
      </c>
      <c r="C305" s="220" t="inlineStr">
        <is>
          <t>Build rapport with a child during assessment</t>
        </is>
      </c>
      <c r="D305" s="221" t="inlineStr">
        <is>
          <t>Block 2 · Giving real agency</t>
        </is>
      </c>
      <c r="E305" s="222" t="inlineStr">
        <is>
          <t>Offering choices that are genuinely the child's, and responding when they decline.</t>
        </is>
      </c>
      <c r="F305" s="220" t="inlineStr">
        <is>
          <t>Habit · Weeks 3–6</t>
        </is>
      </c>
      <c r="G305" s="220" t="n"/>
      <c r="H305" s="220" t="n"/>
      <c r="I305" s="220" t="n"/>
      <c r="J305" s="220" t="n"/>
      <c r="K305" s="220" t="n"/>
      <c r="L305" s="220" t="n"/>
      <c r="M305" s="222" t="n"/>
      <c r="N305" s="220" t="n"/>
      <c r="O305" s="220" t="n"/>
      <c r="P305" s="220" t="inlineStr">
        <is>
          <t>How you build it: Build two real choices into every session. Notice what happens.</t>
        </is>
      </c>
      <c r="Q305" s="220" t="n"/>
      <c r="R305" s="220" t="n"/>
      <c r="S305" s="220" t="n"/>
      <c r="T305" s="220" t="n"/>
      <c r="U305" s="220" t="n"/>
    </row>
    <row r="306" outlineLevel="2" ht="120" customHeight="1" s="128">
      <c r="A306" s="139" t="inlineStr">
        <is>
          <t>MICRO-SKILL</t>
        </is>
      </c>
      <c r="B306" s="139" t="inlineStr">
        <is>
          <t>5. Working with Others</t>
        </is>
      </c>
      <c r="C306" s="139" t="inlineStr">
        <is>
          <t>Build rapport with a child during assessment</t>
        </is>
      </c>
      <c r="D306" s="139" t="inlineStr">
        <is>
          <t>Block 2 · Giving real agency</t>
        </is>
      </c>
      <c r="E306" s="223" t="inlineStr">
        <is>
          <t>Give the child a real choice early</t>
        </is>
      </c>
      <c r="F306" s="139" t="inlineStr">
        <is>
          <t>PSI Code 1.4.1</t>
        </is>
      </c>
      <c r="G306" s="227" t="inlineStr">
        <is>
          <t>A child in an assessment has almost no control: someone else chose the day, the room, the adult and the tasks. Giving them one genuine decision early changes the power in the room and usually increases effort. PSI Code 1.4.1 is the clause mapped here; read the Code for its exact wording. The error is the fake choice — 'shall we start?' when refusal is not an option — which children recognise quickly and which teaches them that your other offers are not real either.</t>
        </is>
      </c>
      <c r="H306" s="165" t="inlineStr">
        <is>
          <t>WATCH FOR — every point where your supervisor offers the child a decision, and whether each one is real: which seat, pencil or pen, which of two permitted tasks first, when to take the break, whether the door is open or closed.
WRITE DOWN — each choice offered, and whether the child's answer changed anything.
ASK AFTERWARDS — 'which choices can you give without breaking standardised administration, and where does the manual stop you?'</t>
        </is>
      </c>
      <c r="I306" s="165" t="inlineStr">
        <is>
          <t>YOU TAKE — listing, for the battery you are using, the decisions that genuinely belong to the child (seating, break timing, order of subtests only where the manual permits it, materials) and checking the list against the administration manual.
THEY HOLD — any decision about altering order or procedure in the testing itself.
WHY THAT SPLIT — finding the real choices is a reading task you can do alone. Deciding whether a change to order is permitted affects validity, and the Reference sheet is clear: know exactly what the manual permits before you need it.</t>
        </is>
      </c>
      <c r="J306" s="165" t="inlineStr">
        <is>
          <t>YOU RUN IT — offer the child at least one real choice in the first five minutes and honour the answer, with your supervisor observing.
WHAT THEY ARE WATCHING FOR — choices with a correct answer ('would you like to do some puzzles now?'), choices you then override, and choices that break standard procedure.
STEPPING IN LOOKS LIKE — 'you asked if she wanted to start — what would you have done if she'd said no? Let's offer her the seat or the break time instead.'</t>
        </is>
      </c>
      <c r="K306" s="207" t="inlineStr">
        <is>
          <t>YOU DO IT ALONE — build at least one genuine, permitted decision into the opening of every session, offer it in words the child understands, and act on whatever they choose.
PASS TEST — Something was actually theirs to decide
EVIDENCE TO FILE — a note in the session record of the choice offered and taken; a reflective line in Appendix 5 on how it affected engagement. Log against 5. Working with Others.
WHAT FAILURE LOOKS LIKE — a session transcript where every question to the child had only one acceptable answer, or where the child chose and you then did the other thing.</t>
        </is>
      </c>
      <c r="L306" s="165" t="inlineStr">
        <is>
          <t>YOU CAN TEACH IT — you can explain the difference between a real and a rhetorical choice, list the choices that are safe within standardised administration, and link agency to both effort and to the child's right to be heard (UNCRC, 1989, Art. 12).
WHEN IT GOES WRONG — you can say what to do when the child chooses something you cannot allow: say so honestly, explain why in a sentence, and offer a different decision that is genuinely theirs.</t>
        </is>
      </c>
      <c r="M306" s="224" t="inlineStr">
        <is>
          <t>Offering a choice the child is not actually allowed to refuse.</t>
        </is>
      </c>
      <c r="N306" s="165" t="inlineStr">
        <is>
          <t>→ Feeds into 'Notice and respond to reluctance', 'Ask the child what they think would help', and the voice of the child in Formulation.</t>
        </is>
      </c>
      <c r="O306" s="225" t="inlineStr">
        <is>
          <t>Not started</t>
        </is>
      </c>
      <c r="P306" s="165" t="inlineStr">
        <is>
          <t>WATCH FOR — every point where your supervisor offers the child a decision, and whether each one is real: which seat, pencil or pen, which of two permitted tasks first, when to take the break, whether the door is open or closed.</t>
        </is>
      </c>
      <c r="Q306" s="139" t="inlineStr">
        <is>
          <t>Year 1</t>
        </is>
      </c>
      <c r="R306" s="226" t="inlineStr">
        <is>
          <t>26/10/2026</t>
        </is>
      </c>
      <c r="S306" s="226" t="inlineStr">
        <is>
          <t>16/11/2026</t>
        </is>
      </c>
      <c r="T306" s="226" t="inlineStr">
        <is>
          <t>14/12/2026</t>
        </is>
      </c>
      <c r="U306" s="139" t="inlineStr">
        <is>
          <t>Session record · Appendix 5 · Log sheet tagged 5. Working with Others</t>
        </is>
      </c>
    </row>
    <row r="307" outlineLevel="2" ht="120" customHeight="1" s="128">
      <c r="A307" s="139" t="inlineStr">
        <is>
          <t>MICRO-SKILL</t>
        </is>
      </c>
      <c r="B307" s="139" t="inlineStr">
        <is>
          <t>5. Working with Others</t>
        </is>
      </c>
      <c r="C307" s="139" t="inlineStr">
        <is>
          <t>Build rapport with a child during assessment</t>
        </is>
      </c>
      <c r="D307" s="139" t="inlineStr">
        <is>
          <t>Block 2 · Giving real agency</t>
        </is>
      </c>
      <c r="E307" s="223" t="inlineStr">
        <is>
          <t>Notice and respond to reluctance</t>
        </is>
      </c>
      <c r="F307" s="139" t="inlineStr">
        <is>
          <t>CORU SoP 5.31</t>
        </is>
      </c>
      <c r="G307" s="227" t="inlineStr">
        <is>
          <t>The Reference sheet: refusal is data, and a completed protocol obtained under pressure is worse data than stopping and returning another day. CORU SoP 5.31 is mapped here — adapting and re-evaluating as appropriate, which includes writing it down. Reluctance is rarely a single refusal; it is quieter answers, faster guessing, 'I don't know' before the item is finished, and the shift from effort to compliance. Miss it and you report a low score that measures the child's state, not their ability.</t>
        </is>
      </c>
      <c r="H307" s="165" t="inlineStr">
        <is>
          <t>WATCH FOR — the early signs your supervisor reacts to: longer response times, rapid guessing, glancing at the door, slumping, asking how many are left. Notice what they do first — a break, a change of task within permitted limits, a brief acknowledgement — and what they do not do.
WRITE DOWN — the sign, the item or subtest at which it appeared, what preceded it, and the response.
ASK AFTERWARDS — 'at what point would you have stopped the session altogether, and how would you have explained that to the school?'</t>
        </is>
      </c>
      <c r="I307" s="165" t="inlineStr">
        <is>
          <t>YOU TAKE — keeping a running behaviour record during the session (time, subtest, sign) while your supervisor administers.
THEY HOLD — the in-the-moment decision to pause, change task or stop.
WHY THAT SPLIT — recording reluctance trains you to see it and gives the report its evidence. Deciding to stop has consequences for validity, for the school's expectations and for the child, and your supervisor is accountable for it.</t>
        </is>
      </c>
      <c r="J307" s="165" t="inlineStr">
        <is>
          <t>YOU RUN IT — administer the session and make the call when reluctance appears: pause, acknowledge, offer a break or a permitted change, and record it, with your supervisor present.
WHAT THEY ARE WATCHING FOR — pushing on to finish the battery because the room is booked or the school expects a report, and encouragement that shades into pressure ('just a few more, come on').
STEPPING IN LOOKS LIKE — 'let's take a break there' said to the child, then a quiet 'what did you see just now?' to you.</t>
        </is>
      </c>
      <c r="K307" s="207" t="inlineStr">
        <is>
          <t>YOU DO IT ALONE — notice reluctance early, respond by adjusting rather than pushing, record what you saw and did at the moment it happened, and state in the report what it means for how the scores can be read.
PASS TEST — You adjusted rather than pushed on
EVIDENCE TO FILE — the behavioural observations and validity statement in the report; the session record with timings. Log against 5. Working with Others and 1. Assessment.
WHAT FAILURE LOOKS LIKE — a full battery reported as valid when your own notes show the child was guessing from the second half onward.</t>
        </is>
      </c>
      <c r="L307" s="165" t="inlineStr">
        <is>
          <t>YOU CAN TEACH IT — you can explain the difference between fatigue, anxiety, boredom and opposition as causes of reluctance, what the manual permits for each, and why stopping can be the more rigorous choice.
WHEN IT GOES WRONG — you can say what to do when you realise afterwards that you pushed through: flag it in supervision, weaken or withhold the affected scores in the report, and plan a return visit if needed.</t>
        </is>
      </c>
      <c r="M307" s="224" t="inlineStr">
        <is>
          <t>Completing the battery through visible reluctance and reporting the scores as valid.</t>
        </is>
      </c>
      <c r="N307" s="165" t="inlineStr">
        <is>
          <t>→ Feeds into 'Recognise when standard procedure is not working', 'Re-evaluate whether to continue at all', and 'State the effect on validity in the report'.</t>
        </is>
      </c>
      <c r="O307" s="225" t="inlineStr">
        <is>
          <t>Not started</t>
        </is>
      </c>
      <c r="P307" s="165" t="inlineStr">
        <is>
          <t>WATCH FOR — the early signs your supervisor reacts to: longer response times, rapid guessing, glancing at the door, slumping, asking how many are left. Notice what they do first — a break, a change of task within permitted limits, a brief acknowledgement — and what they do not do.</t>
        </is>
      </c>
      <c r="Q307" s="139" t="inlineStr">
        <is>
          <t>Year 1</t>
        </is>
      </c>
      <c r="R307" s="226" t="inlineStr">
        <is>
          <t>26/10/2026</t>
        </is>
      </c>
      <c r="S307" s="226" t="inlineStr">
        <is>
          <t>16/11/2026</t>
        </is>
      </c>
      <c r="T307" s="226" t="inlineStr">
        <is>
          <t>14/12/2026</t>
        </is>
      </c>
      <c r="U307" s="139" t="inlineStr">
        <is>
          <t>Report — behavioural observations and validity · session record · Log sheet tagged 5. Working with Others</t>
        </is>
      </c>
    </row>
    <row r="308" outlineLevel="2" ht="120" customHeight="1" s="128">
      <c r="A308" s="139" t="inlineStr">
        <is>
          <t>MICRO-SKILL</t>
        </is>
      </c>
      <c r="B308" s="139" t="inlineStr">
        <is>
          <t>5. Working with Others</t>
        </is>
      </c>
      <c r="C308" s="139" t="inlineStr">
        <is>
          <t>Build rapport with a child during assessment</t>
        </is>
      </c>
      <c r="D308" s="139" t="inlineStr">
        <is>
          <t>Block 2 · Giving real agency</t>
        </is>
      </c>
      <c r="E308" s="223" t="inlineStr">
        <is>
          <t>Ask the child what they think would help</t>
        </is>
      </c>
      <c r="F308" s="139" t="inlineStr">
        <is>
          <t>UNCRC Art. 12</t>
        </is>
      </c>
      <c r="G308" s="227" t="inlineStr">
        <is>
          <t>UNCRC Article 12 (United Nations, 1989) gives a child capable of forming views the right to express them in matters affecting them, with due weight given according to age and maturity. Lundy (British Educational Research Journal, 2007) argues that voice alone is not enough: the child also needs space, an audience and influence. Children often know exactly what helps — sitting near the window, being told the plan for the day, not being picked to read aloud — and no one asks. A report without the child's view is missing a source.</t>
        </is>
      </c>
      <c r="H308" s="165" t="inlineStr">
        <is>
          <t>WATCH FOR — when and how your supervisor asks the child for their view: after rapport is built, not as the first question, and often through an activity rather than directly (drawing, rating scales, sorting cards, a 'best day / worst day').
WRITE DOWN — the questions or tools used, and the child's answers in their own words.
ASK AFTERWARDS — 'how do you decide how much weight a seven-year-old's suggestion gets in the recommendations?'</t>
        </is>
      </c>
      <c r="I308" s="165" t="inlineStr">
        <is>
          <t>YOU TAKE — preparing an age-appropriate way of gathering the child's view for this case, and running that part of the session.
THEY HOLD — deciding which of the child's suggestions go into the report and how they are attributed.
WHY THAT SPLIT — gathering views well is a skill you build by doing. Putting a child's words into a report that the school and family will read needs a judgement about what is safe and fair to the child to include.</t>
        </is>
      </c>
      <c r="J308" s="165" t="inlineStr">
        <is>
          <t>YOU RUN IT — ask the child what makes school harder and what would help, using a method suited to their age and language, with your supervisor observing.
WHAT THEY ARE WATCHING FOR — leading questions ('would it help if your teacher…?'), asking only at the very end when the child is tired, and hearing an answer without following it up.
STEPPING IN LOOKS LIKE — 'you said the yard is the worst bit — tell me more about the yard.'</t>
        </is>
      </c>
      <c r="K308" s="207" t="inlineStr">
        <is>
          <t>YOU DO IT ALONE — seek the child's view on what would help in every assessment, record it in their words, and show in the report where it shaped a recommendation, or why it did not.
PASS TEST — The child's view was sought
EVIDENCE TO FILE — the 'child's view' section of the report, and the record of the method used. Log against 5. Working with Others (and UNCRC Art. 12 as the mapped standard).
WHAT FAILURE LOOKS LIKE — a report whose recommendations came entirely from adults, with the child mentioned only as the subject of test scores.</t>
        </is>
      </c>
      <c r="L308" s="165" t="inlineStr">
        <is>
          <t>YOU CAN TEACH IT — you can explain Article 12 and Lundy's four elements (space, voice, audience, influence), describe methods for gathering views across the UCD Table 3 age bands and for a child with limited language, and say how due weight is judged.
WHEN IT GOES WRONG — you can say what to do when the child's suggestion conflicts with the adults': report both, explain the reasoning, and tell the child honestly what happened to their idea.</t>
        </is>
      </c>
      <c r="M308" s="224" t="inlineStr">
        <is>
          <t>Recording the child's view in the report but letting it change nothing.</t>
        </is>
      </c>
      <c r="N308" s="165" t="inlineStr">
        <is>
          <t>→ Feeds into the voice of the child in Formulation, recommendations, and 'Include the child's own self-report where age-appropriate'.</t>
        </is>
      </c>
      <c r="O308" s="225" t="inlineStr">
        <is>
          <t>Not started</t>
        </is>
      </c>
      <c r="P308" s="165" t="inlineStr">
        <is>
          <t>WATCH FOR — when and how your supervisor asks the child for their view: after rapport is built, not as the first question, and often through an activity rather than directly (drawing, rating scales, sorting cards, a 'best day / worst day').</t>
        </is>
      </c>
      <c r="Q308" s="139" t="inlineStr">
        <is>
          <t>Year 1</t>
        </is>
      </c>
      <c r="R308" s="226" t="inlineStr">
        <is>
          <t>26/10/2026</t>
        </is>
      </c>
      <c r="S308" s="226" t="inlineStr">
        <is>
          <t>16/11/2026</t>
        </is>
      </c>
      <c r="T308" s="226" t="inlineStr">
        <is>
          <t>14/12/2026</t>
        </is>
      </c>
      <c r="U308" s="139" t="inlineStr">
        <is>
          <t>Report — child's view · Appendix 5 · Log sheet tagged 5. Working with Others</t>
        </is>
      </c>
    </row>
    <row r="309" outlineLevel="2" ht="43.5" customHeight="1" s="128">
      <c r="A309" s="220" t="inlineStr">
        <is>
          <t>BLOCK</t>
        </is>
      </c>
      <c r="B309" s="220" t="inlineStr">
        <is>
          <t>5. Working with Others</t>
        </is>
      </c>
      <c r="C309" s="220" t="inlineStr">
        <is>
          <t>Build rapport with a child during assessment</t>
        </is>
      </c>
      <c r="D309" s="221" t="inlineStr">
        <is>
          <t>Block 3 · Closing</t>
        </is>
      </c>
      <c r="E309" s="222" t="inlineStr">
        <is>
          <t>Ending so the child leaves feeling competent rather than tested.</t>
        </is>
      </c>
      <c r="F309" s="220" t="inlineStr">
        <is>
          <t>Habit · Weeks 3–6</t>
        </is>
      </c>
      <c r="G309" s="220" t="n"/>
      <c r="H309" s="220" t="n"/>
      <c r="I309" s="220" t="n"/>
      <c r="J309" s="220" t="n"/>
      <c r="K309" s="220" t="n"/>
      <c r="L309" s="220" t="n"/>
      <c r="M309" s="222" t="n"/>
      <c r="N309" s="220" t="n"/>
      <c r="O309" s="220" t="n"/>
      <c r="P309" s="220" t="inlineStr">
        <is>
          <t>How you build it: Have a closing line you use every time. Watch how they walk out.</t>
        </is>
      </c>
      <c r="Q309" s="220" t="n"/>
      <c r="R309" s="220" t="n"/>
      <c r="S309" s="220" t="n"/>
      <c r="T309" s="220" t="n"/>
      <c r="U309" s="220" t="n"/>
    </row>
    <row r="310" outlineLevel="2" ht="120" customHeight="1" s="128">
      <c r="A310" s="139" t="inlineStr">
        <is>
          <t>MICRO-SKILL</t>
        </is>
      </c>
      <c r="B310" s="139" t="inlineStr">
        <is>
          <t>5. Working with Others</t>
        </is>
      </c>
      <c r="C310" s="139" t="inlineStr">
        <is>
          <t>Build rapport with a child during assessment</t>
        </is>
      </c>
      <c r="D310" s="139" t="inlineStr">
        <is>
          <t>Block 3 · Closing</t>
        </is>
      </c>
      <c r="E310" s="223" t="inlineStr">
        <is>
          <t>Close so the child leaves feeling competent</t>
        </is>
      </c>
      <c r="F310" s="139" t="inlineStr">
        <is>
          <t>CORU SoP 5.21</t>
        </is>
      </c>
      <c r="G310" s="227" t="inlineStr">
        <is>
          <t>The Reference sheet: thank them specifically, tell them what happens next and who will be told what — children worry about this more than adults assume, and an unclear ending can undo a good session. The child walks back into a classroom of peers who saw them leave with the psychologist; how they walk in matters. CORU SoP 5.21 is mapped here. A session that ends on the hardest item of the hardest subtest leaves the child with that item as their memory of you, and makes a return visit harder.</t>
        </is>
      </c>
      <c r="H310" s="165" t="inlineStr">
        <is>
          <t>WATCH FOR — how your supervisor ends: whether they finish on a task the child can do, what they thank the child for, whether they say what happens next, and how they walk the child back (do they go in with them, or leave them at the door?).
WRITE DOWN — the closing words, and the child's demeanour walking out compared with walking in.
ASK AFTERWARDS — 'what do you tell a child about who will hear about today, and what do you never promise?'</t>
        </is>
      </c>
      <c r="I310" s="165" t="inlineStr">
        <is>
          <t>YOU TAKE — the specific thank-you and the walk back to class.
THEY HOLD — what the child is told about next steps and who will hear what.
WHY THAT SPLIT — a specific thank-you ('you kept going on the block puzzles even when they got tricky') is something you can practise at once. Next steps depend on the plan for feedback to parents and school, which your supervisor holds, and a wrong promise to a child is hard to undo.</t>
        </is>
      </c>
      <c r="J310" s="165" t="inlineStr">
        <is>
          <t>YOU RUN IT — close the whole session: end on a manageable activity, thank the child for something specific, explain next steps and who will be told, and return them to class, with your supervisor present.
WHAT THEY ARE WATCHING FOR — ending abruptly when time runs out, generic praise ('you did great'), promises you cannot keep ('I won't tell anyone'), and leaving the child to walk back alone into a class that is watching.
STEPPING IN LOOKS LIKE — 'before you go — do you remember what happens next?'</t>
        </is>
      </c>
      <c r="K310" s="207" t="inlineStr">
        <is>
          <t>YOU DO IT ALONE — plan the ending before the session starts, leave time for it, and close with a specific thank-you, a clear account of next steps and a return to class that protects the child's dignity in front of peers.
PASS TEST — How they walk out
EVIDENCE TO FILE — the session record's closing note on the child's presentation; a reflective line in Appendix 5. Log against 5. Working with Others.
WHAT FAILURE LOOKS LIKE — a child who leaves near tears after a failed ceiling item, or a teacher who tells you later the child asked if they had 'failed the test'.</t>
        </is>
      </c>
      <c r="L310" s="165" t="inlineStr">
        <is>
          <t>YOU CAN TEACH IT — you can explain why the ending shapes the child's memory of the session, how to build a manageable final activity into a standardised battery without breaking it, and how to explain next steps at different ages without promising what you cannot deliver.
WHEN IT GOES WRONG — you can say what to do when a session ends badly: tell the class teacher, check in with the child before you leave the school, and plan the next contact to start differently.</t>
        </is>
      </c>
      <c r="M310" s="224" t="inlineStr">
        <is>
          <t>Ending on the child's hardest failure because the time ran out.</t>
        </is>
      </c>
      <c r="N310" s="165" t="inlineStr">
        <is>
          <t>→ Feeds into 'Give feedback to parents on assessment findings', return visits, and the relationship the school keeps with the child after you leave.</t>
        </is>
      </c>
      <c r="O310" s="225" t="inlineStr">
        <is>
          <t>Not started</t>
        </is>
      </c>
      <c r="P310" s="165" t="inlineStr">
        <is>
          <t>WATCH FOR — how your supervisor ends: whether they finish on a task the child can do, what they thank the child for, whether they say what happens next, and how they walk the child back (do they go in with them, or leave them at the door?).</t>
        </is>
      </c>
      <c r="Q310" s="139" t="inlineStr">
        <is>
          <t>Year 1</t>
        </is>
      </c>
      <c r="R310" s="226" t="inlineStr">
        <is>
          <t>26/10/2026</t>
        </is>
      </c>
      <c r="S310" s="226" t="inlineStr">
        <is>
          <t>16/11/2026</t>
        </is>
      </c>
      <c r="T310" s="226" t="inlineStr">
        <is>
          <t>14/12/2026</t>
        </is>
      </c>
      <c r="U310" s="139" t="inlineStr">
        <is>
          <t>Session record · Appendix 5 · Log sheet tagged 5. Working with Others</t>
        </is>
      </c>
    </row>
    <row r="311" outlineLevel="2" ht="19.5" customHeight="1" s="128">
      <c r="A311" s="219" t="inlineStr">
        <is>
          <t>MACRO SKILL</t>
        </is>
      </c>
      <c r="B311" s="219" t="inlineStr">
        <is>
          <t>5. Working with Others</t>
        </is>
      </c>
      <c r="C311" s="219" t="inlineStr">
        <is>
          <t>Communicate with school staff, SENCO and principal</t>
        </is>
      </c>
      <c r="D311" s="219" t="n"/>
      <c r="E311" s="219" t="inlineStr">
        <is>
          <t>3 blocks · 4 micro-skills</t>
        </is>
      </c>
      <c r="F311" s="219" t="inlineStr">
        <is>
          <t>CORU 5.13 · 2.13 · 2.17</t>
        </is>
      </c>
      <c r="G311" s="219" t="n"/>
      <c r="H311" s="219" t="n"/>
      <c r="I311" s="219" t="n"/>
      <c r="J311" s="219" t="n"/>
      <c r="K311" s="219" t="n"/>
      <c r="L311" s="219" t="n"/>
      <c r="M311" s="219" t="n"/>
      <c r="N311" s="219" t="n"/>
      <c r="O311" s="219" t="n"/>
      <c r="P311" s="219" t="n"/>
      <c r="Q311" s="219" t="inlineStr">
        <is>
          <t>Year 1</t>
        </is>
      </c>
      <c r="R311" s="219" t="n"/>
      <c r="S311" s="219" t="n"/>
      <c r="T311" s="219" t="n"/>
      <c r="U311" s="219" t="n"/>
    </row>
    <row r="312" outlineLevel="2" ht="43.5" customHeight="1" s="128">
      <c r="A312" s="220" t="inlineStr">
        <is>
          <t>BLOCK</t>
        </is>
      </c>
      <c r="B312" s="220" t="inlineStr">
        <is>
          <t>5. Working with Others</t>
        </is>
      </c>
      <c r="C312" s="220" t="inlineStr">
        <is>
          <t>Communicate with school staff, SENCO and principal</t>
        </is>
      </c>
      <c r="D312" s="221" t="inlineStr">
        <is>
          <t>Block 1 · Knowing the roles</t>
        </is>
      </c>
      <c r="E312" s="222" t="inlineStr">
        <is>
          <t>Who does what in an Irish school and who to approach for what.</t>
        </is>
      </c>
      <c r="F312" s="220" t="inlineStr">
        <is>
          <t>2 hours, once · Weeks 1–2</t>
        </is>
      </c>
      <c r="G312" s="220" t="n"/>
      <c r="H312" s="220" t="n"/>
      <c r="I312" s="220" t="n"/>
      <c r="J312" s="220" t="n"/>
      <c r="K312" s="220" t="n"/>
      <c r="L312" s="220" t="n"/>
      <c r="M312" s="222" t="n"/>
      <c r="N312" s="220" t="n"/>
      <c r="O312" s="220" t="n"/>
      <c r="P312" s="220" t="inlineStr">
        <is>
          <t>How you build it: One page: principal, deputy, SENCO, SET, class teacher, SNA. What each can decide.</t>
        </is>
      </c>
      <c r="Q312" s="220" t="n"/>
      <c r="R312" s="220" t="n"/>
      <c r="S312" s="220" t="n"/>
      <c r="T312" s="220" t="n"/>
      <c r="U312" s="220" t="n"/>
    </row>
    <row r="313" outlineLevel="2" ht="120" customHeight="1" s="128">
      <c r="A313" s="139" t="inlineStr">
        <is>
          <t>MICRO-SKILL</t>
        </is>
      </c>
      <c r="B313" s="139" t="inlineStr">
        <is>
          <t>5. Working with Others</t>
        </is>
      </c>
      <c r="C313" s="139" t="inlineStr">
        <is>
          <t>Communicate with school staff, SENCO and principal</t>
        </is>
      </c>
      <c r="D313" s="139" t="inlineStr">
        <is>
          <t>Block 1 · Knowing the roles</t>
        </is>
      </c>
      <c r="E313" s="223" t="inlineStr">
        <is>
          <t>Know who does what in this school</t>
        </is>
      </c>
      <c r="F313" s="139" t="inlineStr">
        <is>
          <t>CORU SoP 5.13</t>
        </is>
      </c>
      <c r="G313" s="227" t="inlineStr">
        <is>
          <t>The Reference sheet: the principal decides and allocates; the SENCO holds the overview and usually the documentation; the class teacher delivers most of what you recommend; the SNA often knows the child best and is asked least. In Irish schools the SENCO role is usually a special education teacher (SET) or SET co-ordinator, and at post-primary there is often a Student Support Team — titles and roles vary by school. CORU SoP 5.13 is mapped here. Treating 'the school' as one entity is on the Reference sheet's error list.</t>
        </is>
      </c>
      <c r="H313" s="165" t="inlineStr">
        <is>
          <t>WATCH FOR — who your supervisor asks for what in the first visit to a school: who they book time with, who they ask for the Student Support File, who they ask about the child's day, and who they tell when they leave.
WRITE DOWN — a one-page role map for each school: principal, deputy, SET co-ordinator, class teacher(s), SNA, secretary, and at post-primary year head and guidance counsellor. Names stay in the service record, not your Log.
ASK AFTERWARDS — 'in this school, who actually decides whether a recommendation happens?'</t>
        </is>
      </c>
      <c r="I313" s="165" t="inlineStr">
        <is>
          <t>YOU TAKE — building and updating the role map for each Cavan school on your caseload, and checking it with the SET co-ordinator.
THEY HOLD — the relationship with the principal, including agreeing the school's priorities for the service's time.
WHY THAT SPLIT — mapping roles is information-gathering you can do from week one. The principal relationship covers the whole service's work in the school, not only your cases, and it is your supervisor's to hold.</t>
        </is>
      </c>
      <c r="J313" s="165" t="inlineStr">
        <is>
          <t>YOU RUN IT — make first contact with each role yourself for your own cases: book time through the right person, ask the SNA for their view, and brief the principal at the right point, with your supervisor reviewing who you approached.
WHAT THEY ARE WATCHING FOR — going to the teacher you like rather than the one with the responsibility, and bypassing the SET co-ordinator or the principal on a decision that is theirs.
STEPPING IN LOOKS LIKE — 'before you agree that with the class teacher, has the SET co-ordinator seen it?'</t>
        </is>
      </c>
      <c r="K313" s="207" t="inlineStr">
        <is>
          <t>YOU DO IT ALONE — for each request (information, a meeting, a room, a change in provision) identify whose role it is in this particular school and approach them first.
PASS TEST — You approached the right person
EVIDENCE TO FILE — the school role map as a working paper and the case contact log. Log against 5. Working with Others.
WHAT FAILURE LOOKS LIKE — a recommendation for extra SET time agreed with the class teacher, who cannot allocate it, and a principal who hears about it from a parent.</t>
        </is>
      </c>
      <c r="L313" s="165" t="inlineStr">
        <is>
          <t>YOU CAN TEACH IT — you can explain the typical division of roles in Irish primary and post-primary schools, how the NEPS Continuum of Support (Classroom Support, School Support, School Support Plus) maps onto who leads at each level, and why the SNA's knowledge is often overlooked.
WHEN IT GOES WRONG — you can say what to do when you went to the wrong person: tell the right person directly, explain what was said, and do not leave the first person holding a commitment they cannot keep.</t>
        </is>
      </c>
      <c r="M313" s="224" t="inlineStr">
        <is>
          <t>Treating 'the school' as one entity and agreeing a change with someone who cannot deliver it.</t>
        </is>
      </c>
      <c r="N313" s="165" t="inlineStr">
        <is>
          <t>→ Feeds into 'Negotiate a shared referral question', consultation, and implementation of recommendations.</t>
        </is>
      </c>
      <c r="O313" s="225" t="inlineStr">
        <is>
          <t>Not started</t>
        </is>
      </c>
      <c r="P313" s="165" t="inlineStr">
        <is>
          <t>WATCH FOR — who your supervisor asks for what in the first visit to a school: who they book time with, who they ask for the Student Support File, who they ask about the child's day, and who they tell when they leave.</t>
        </is>
      </c>
      <c r="Q313" s="139" t="inlineStr">
        <is>
          <t>Year 1</t>
        </is>
      </c>
      <c r="R313" s="226" t="inlineStr">
        <is>
          <t>26/10/2026</t>
        </is>
      </c>
      <c r="S313" s="226" t="inlineStr">
        <is>
          <t>16/11/2026</t>
        </is>
      </c>
      <c r="T313" s="226" t="inlineStr">
        <is>
          <t>14/12/2026</t>
        </is>
      </c>
      <c r="U313" s="139" t="inlineStr">
        <is>
          <t>School role map · contact log · Appendix 5 · Log sheet tagged 5. Working with Others</t>
        </is>
      </c>
    </row>
    <row r="314" outlineLevel="2" ht="43.5" customHeight="1" s="128">
      <c r="A314" s="220" t="inlineStr">
        <is>
          <t>BLOCK</t>
        </is>
      </c>
      <c r="B314" s="220" t="inlineStr">
        <is>
          <t>5. Working with Others</t>
        </is>
      </c>
      <c r="C314" s="220" t="inlineStr">
        <is>
          <t>Communicate with school staff, SENCO and principal</t>
        </is>
      </c>
      <c r="D314" s="221" t="inlineStr">
        <is>
          <t>Block 2 · Negotiating a shared question</t>
        </is>
      </c>
      <c r="E314" s="222" t="inlineStr">
        <is>
          <t>Getting agreement on what you are all trying to answer.</t>
        </is>
      </c>
      <c r="F314" s="220" t="inlineStr">
        <is>
          <t>Habit · Weeks 3–6</t>
        </is>
      </c>
      <c r="G314" s="220" t="n"/>
      <c r="H314" s="220" t="n"/>
      <c r="I314" s="220" t="n"/>
      <c r="J314" s="220" t="n"/>
      <c r="K314" s="220" t="n"/>
      <c r="L314" s="220" t="n"/>
      <c r="M314" s="222" t="n"/>
      <c r="N314" s="220" t="n"/>
      <c r="O314" s="220" t="n"/>
      <c r="P314" s="220" t="inlineStr">
        <is>
          <t>How you build it: Write the question and read it back. Adjust until both agree.</t>
        </is>
      </c>
      <c r="Q314" s="220" t="n"/>
      <c r="R314" s="220" t="n"/>
      <c r="S314" s="220" t="n"/>
      <c r="T314" s="220" t="n"/>
      <c r="U314" s="220" t="n"/>
    </row>
    <row r="315" outlineLevel="2" ht="120" customHeight="1" s="128">
      <c r="A315" s="139" t="inlineStr">
        <is>
          <t>MICRO-SKILL</t>
        </is>
      </c>
      <c r="B315" s="139" t="inlineStr">
        <is>
          <t>5. Working with Others</t>
        </is>
      </c>
      <c r="C315" s="139" t="inlineStr">
        <is>
          <t>Communicate with school staff, SENCO and principal</t>
        </is>
      </c>
      <c r="D315" s="139" t="inlineStr">
        <is>
          <t>Block 2 · Negotiating a shared question</t>
        </is>
      </c>
      <c r="E315" s="223" t="inlineStr">
        <is>
          <t>Negotiate a shared referral question</t>
        </is>
      </c>
      <c r="F315" s="139" t="inlineStr">
        <is>
          <t>CORU SoP 2.13</t>
        </is>
      </c>
      <c r="G315" s="227" t="inlineStr">
        <is>
          <t>The referral form often carries a request ('assess for dyslexia', 'is it ADHD?') rather than a question the psychologist can usefully answer. Consultation models treat agreeing the question as the first piece of work, not a formality (Wagner, 2000, Consultation: Developing a comprehensive approach to service delivery — read the source itself). CORU SoP 2.13 is mapped here. If school, parent and psychologist hold different questions, the report will satisfy none of them, and the school will read a careful formulation as 'the psychologist didn't give us an answer'.</t>
        </is>
      </c>
      <c r="H315" s="165" t="inlineStr">
        <is>
          <t>WATCH FOR — how your supervisor turns the school's request into a question: which follow-up questions they ask ('what would be different if this went well?', 'what have you tried?', 'what are you hoping the assessment tells you?'), and whether the parent's question is asked separately.
WRITE DOWN — the original request in the referrer's words, the agreed question, and each step between them.
ASK AFTERWARDS — 'what do you do when the school's question and the parent's question are different?'</t>
        </is>
      </c>
      <c r="I315" s="165" t="inlineStr">
        <is>
          <t>YOU TAKE — reading the referral and the Student Support File beforehand and drafting two or three possible questions to bring to the planning meeting.
THEY HOLD — the planning conversation with the SET co-ordinator and teacher, including any reframing the school may resist.
WHY THAT SPLIT — drafting questions from the file teaches you to see the gap between request and question. Reframing a school's request in the room needs a relationship and credibility you are still building.</t>
        </is>
      </c>
      <c r="J315" s="165" t="inlineStr">
        <is>
          <t>YOU RUN IT — lead the planning conversation for your own case, with your supervisor present, and end it by reading back the agreed question.
WHAT THEY ARE WATCHING FOR — accepting the request unchanged, imposing your own question over the school's, and ending the meeting without saying the question aloud.
STEPPING IN LOOKS LIKE — 'can I just check we're all agreed what we're trying to find out — would you read it back for us?'</t>
        </is>
      </c>
      <c r="K315" s="207" t="inlineStr">
        <is>
          <t>YOU DO IT ALONE — take a school referral, explore the concern behind it with the teacher and SET co-ordinator, agree a question the assessment can answer, check it with the parent, and confirm it in writing.
PASS TEST — Both parties recognise the question
EVIDENCE TO FILE — the agreed question on the case file and in the written summary sent after the planning meeting. Log against 5. Working with Others and 1. Assessment.
WHAT FAILURE LOOKS LIKE — at feedback the teacher says 'but we wanted to know if he needs a special class', and nothing in your file shows that was discussed.</t>
        </is>
      </c>
      <c r="L315" s="165" t="inlineStr">
        <is>
          <t>YOU CAN TEACH IT — you can explain the difference between a request and a referral question, show a peer the questions that uncover the concern behind a request, and explain why the parent's question is part of the negotiation, not an afterthought.
WHEN IT GOES WRONG — you can say what to do when the question shifts mid-assessment: go back to the school and parent, renegotiate openly, and record the change rather than quietly answering a different question.</t>
        </is>
      </c>
      <c r="M315" s="224" t="inlineStr">
        <is>
          <t>Accepting 'assess for X' as the referral question without finding out what the school needs to know.</t>
        </is>
      </c>
      <c r="N315" s="165" t="inlineStr">
        <is>
          <t>→ Feeds into 'Ask whether the profile answers the referral question', choice of framework in Formulation, and 'Manage disagreement rather than avoiding it'.</t>
        </is>
      </c>
      <c r="O315" s="225" t="inlineStr">
        <is>
          <t>Not started</t>
        </is>
      </c>
      <c r="P315" s="165" t="inlineStr">
        <is>
          <t>WATCH FOR — how your supervisor turns the school's request into a question: which follow-up questions they ask ('what would be different if this went well?', 'what have you tried?', 'what are you hoping the assessment tells you?'), and whether the parent's question is asked separately.</t>
        </is>
      </c>
      <c r="Q315" s="139" t="inlineStr">
        <is>
          <t>Year 1</t>
        </is>
      </c>
      <c r="R315" s="226" t="inlineStr">
        <is>
          <t>26/10/2026</t>
        </is>
      </c>
      <c r="S315" s="226" t="inlineStr">
        <is>
          <t>16/11/2026</t>
        </is>
      </c>
      <c r="T315" s="226" t="inlineStr">
        <is>
          <t>14/12/2026</t>
        </is>
      </c>
      <c r="U315" s="139" t="inlineStr">
        <is>
          <t>Case file — agreed question · written summary · Log sheet tagged 5. Working with Others</t>
        </is>
      </c>
    </row>
    <row r="316" outlineLevel="2" ht="43.5" customHeight="1" s="128">
      <c r="A316" s="220" t="inlineStr">
        <is>
          <t>BLOCK</t>
        </is>
      </c>
      <c r="B316" s="220" t="inlineStr">
        <is>
          <t>5. Working with Others</t>
        </is>
      </c>
      <c r="C316" s="220" t="inlineStr">
        <is>
          <t>Communicate with school staff, SENCO and principal</t>
        </is>
      </c>
      <c r="D316" s="221" t="inlineStr">
        <is>
          <t>Block 3 · Repairing</t>
        </is>
      </c>
      <c r="E316" s="222" t="inlineStr">
        <is>
          <t>Going back after a difficult conversation.</t>
        </is>
      </c>
      <c r="F316" s="220" t="inlineStr">
        <is>
          <t>Habit · Weeks 7–12</t>
        </is>
      </c>
      <c r="G316" s="220" t="n"/>
      <c r="H316" s="220" t="n"/>
      <c r="I316" s="220" t="n"/>
      <c r="J316" s="220" t="n"/>
      <c r="K316" s="220" t="n"/>
      <c r="L316" s="220" t="n"/>
      <c r="M316" s="222" t="n"/>
      <c r="N316" s="220" t="n"/>
      <c r="O316" s="220" t="n"/>
      <c r="P316" s="220" t="inlineStr">
        <is>
          <t>How you build it: Make the second contact within a week. Always.</t>
        </is>
      </c>
      <c r="Q316" s="220" t="n"/>
      <c r="R316" s="220" t="n"/>
      <c r="S316" s="220" t="n"/>
      <c r="T316" s="220" t="n"/>
      <c r="U316" s="220" t="n"/>
    </row>
    <row r="317" outlineLevel="2" ht="120" customHeight="1" s="128">
      <c r="A317" s="139" t="inlineStr">
        <is>
          <t>MICRO-SKILL</t>
        </is>
      </c>
      <c r="B317" s="139" t="inlineStr">
        <is>
          <t>5. Working with Others</t>
        </is>
      </c>
      <c r="C317" s="139" t="inlineStr">
        <is>
          <t>Communicate with school staff, SENCO and principal</t>
        </is>
      </c>
      <c r="D317" s="139" t="inlineStr">
        <is>
          <t>Block 3 · Repairing</t>
        </is>
      </c>
      <c r="E317" s="223" t="inlineStr">
        <is>
          <t>Manage disagreement rather than avoiding it</t>
        </is>
      </c>
      <c r="F317" s="139" t="inlineStr">
        <is>
          <t>CORU SoP 2.13</t>
        </is>
      </c>
      <c r="G317" s="227" t="inlineStr">
        <is>
          <t>The Reference sheet: teachers sometimes disagree with findings, and sometimes they are right, so ask what they see and get to the specific observation behind the position. CORU SoP 2.13 is mapped here. Stone, Patton and Heen (Difficult Conversations, 2010) separate the 'what happened' conversation from the feelings and identity conversations running underneath it, which is useful when a finding implies a teacher's practice is part of the problem. Avoided disagreement does not go away; it resurfaces as recommendations that are politely never implemented.</t>
        </is>
      </c>
      <c r="H317" s="165" t="inlineStr">
        <is>
          <t>WATCH FOR — how your supervisor responds when a teacher or principal disagrees: whether they defend the finding or ask a question, and how they word a message that implicates provision (describe, don't evaluate; lead with shared purpose; offer one change).
WRITE DOWN — the disagreement in neutral terms, the question your supervisor asked, and what the teacher's specific observation turned out to be.
ASK AFTERWARDS — 'when did a teacher's disagreement change your view of a case?'</t>
        </is>
      </c>
      <c r="I317" s="165" t="inlineStr">
        <is>
          <t>YOU TAKE — preparing for a likely disagreement: listing the evidence, the teacher's probable view, and a descriptive rather than evaluative way to say the difficult part.
THEY HOLD — the conversation itself where the message implicates provision or the relationship with the school is fragile.
WHY THAT SPLIT — preparation is where most of the skill lies and can be done safely. A provision-level message delivered badly can, as the Reference sheet warns, end the relationship, and that relationship belongs to the service.</t>
        </is>
      </c>
      <c r="J317" s="165" t="inlineStr">
        <is>
          <t>YOU RUN IT — handle a disagreement yourself in a meeting on your own case, with your supervisor present but letting you lead.
WHAT THEY ARE WATCHING FOR — repeating the finding more firmly, conceding to end the discomfort, and evaluative language ('the differentiation is inadequate') where description would do.
STEPPING IN LOOKS LIKE — 'can we hear more about what you're seeing in class? That might be something we didn't capture.'</t>
        </is>
      </c>
      <c r="K317" s="207" t="inlineStr">
        <is>
          <t>YOU DO IT ALONE — raise or respond to a disagreement directly: ask what the other person sees, find the specific observation behind their view, say what would change your view, and agree a next step even if you still differ.
PASS TEST — The disagreement was addressed
EVIDENCE TO FILE — the meeting note recording both positions and the agreed next step; a reflective entry in Appendix 5 without identifying details. Log against 5. Working with Others.
WHAT FAILURE LOOKS LIKE — a meeting that ends with everyone nodding, followed by an email from the principal a week later disputing the report.</t>
        </is>
      </c>
      <c r="L317" s="165" t="inlineStr">
        <is>
          <t>YOU CAN TEACH IT — you can explain why asking 'what do you see?' works better than restating evidence, how to phrase a provision-level message descriptively, and when a disagreement should change your finding versus when it should be recorded as a difference.
WHEN IT GOES WRONG — you can say what to do when a disagreement escalates: pause the meeting, acknowledge the strength of feeling, agree to return with more information, and bring it to supervision the same day.</t>
        </is>
      </c>
      <c r="M317" s="224" t="inlineStr">
        <is>
          <t>Defending a finding by restating it instead of asking what the teacher is seeing.</t>
        </is>
      </c>
      <c r="N317" s="165" t="inlineStr">
        <is>
          <t>→ Feeds into 'Maintain the relationship afterwards', consultation, and 'Identify where sources diverge and say so'.</t>
        </is>
      </c>
      <c r="O317" s="225" t="inlineStr">
        <is>
          <t>Not started</t>
        </is>
      </c>
      <c r="P317" s="165" t="inlineStr">
        <is>
          <t>WATCH FOR — how your supervisor responds when a teacher or principal disagrees: whether they defend the finding or ask a question, and how they word a message that implicates provision (describe, don't evaluate; lead with shared purpose; offer one change).</t>
        </is>
      </c>
      <c r="Q317" s="139" t="inlineStr">
        <is>
          <t>Year 1</t>
        </is>
      </c>
      <c r="R317" s="226" t="inlineStr">
        <is>
          <t>26/10/2026</t>
        </is>
      </c>
      <c r="S317" s="226" t="inlineStr">
        <is>
          <t>16/11/2026</t>
        </is>
      </c>
      <c r="T317" s="226" t="inlineStr">
        <is>
          <t>14/12/2026</t>
        </is>
      </c>
      <c r="U317" s="139" t="inlineStr">
        <is>
          <t>Meeting note · Appendix 5 · Log sheet tagged 5. Working with Others</t>
        </is>
      </c>
    </row>
    <row r="318" outlineLevel="2" ht="120" customHeight="1" s="128">
      <c r="A318" s="139" t="inlineStr">
        <is>
          <t>MICRO-SKILL</t>
        </is>
      </c>
      <c r="B318" s="139" t="inlineStr">
        <is>
          <t>5. Working with Others</t>
        </is>
      </c>
      <c r="C318" s="139" t="inlineStr">
        <is>
          <t>Communicate with school staff, SENCO and principal</t>
        </is>
      </c>
      <c r="D318" s="139" t="inlineStr">
        <is>
          <t>Block 3 · Repairing</t>
        </is>
      </c>
      <c r="E318" s="223" t="inlineStr">
        <is>
          <t>Maintain the relationship afterwards</t>
        </is>
      </c>
      <c r="F318" s="139" t="inlineStr">
        <is>
          <t>CORU SoP 2.17</t>
        </is>
      </c>
      <c r="G318" s="227" t="inlineStr">
        <is>
          <t>The Reference sheet: send a short written summary of what was agreed within a day — it prevents misremembering, gives the school something to act from, and evidences record-keeping, which your placement review named as a development area (per the Reference sheet). CORU SoP 2.17 is mapped here. Schools notice psychologists who appear for the assessment and vanish; implementation depends on someone coming back to ask how it is going. Relationships after a disagreement need repair most of all, and they rarely repair themselves.</t>
        </is>
      </c>
      <c r="H318" s="165" t="inlineStr">
        <is>
          <t>WATCH FOR — what your supervisor does after a school meeting: whether a written summary goes out and how quickly, what is in it, and whether they return to the school to review — especially after a difficult conversation.
WRITE DOWN — the structure of their follow-up summary (agreed actions, who, by when, next contact) and when they next contacted the school.
ASK AFTERWARDS — 'after a meeting that went badly, what's the first thing you do to repair it?'</t>
        </is>
      </c>
      <c r="I318" s="165" t="inlineStr">
        <is>
          <t>YOU TAKE — drafting the written summary within one working day of every school meeting on shared cases, for your supervisor to check before it goes.
THEY HOLD — the follow-up call or visit where a relationship has been strained.
WHY THAT SPLIT — the written summary is a discrete, checkable task and the fastest way to build a reputation for reliability. Repair after strain needs the standing your supervisor has with the principal.</t>
        </is>
      </c>
      <c r="J318" s="165" t="inlineStr">
        <is>
          <t>YOU RUN IT — send the summary yourself and make the review contact on your own cases (a call or visit to ask how the recommendations are going), with your supervisor reviewing the summary and your plan.
WHAT THEY ARE WATCHING FOR — summaries that arrive a week late, summaries that record what you said rather than what was agreed, and review contact that never happens because the case felt finished.
STEPPING IN LOOKS LIKE — 'when are you next in contact with that school about this child? Put it in the diary now.'</t>
        </is>
      </c>
      <c r="K318" s="207" t="inlineStr">
        <is>
          <t>YOU DO IT ALONE — send a written summary of agreed actions within a day, diarise a review, go back to the school to check implementation, and after any disagreement make a repair contact.
PASS TEST — You went back
EVIDENCE TO FILE — the follow-up summaries and the review contact note on the case file. Log against 5. Working with Others.
WHAT FAILURE LOOKS LIKE — a school that, three months later, has not implemented the plan, and a file showing no contact since the feedback meeting. In Cavan (05/10/2026–18/12/2026) plan review dates that fall inside the placement.</t>
        </is>
      </c>
      <c r="L318" s="165" t="inlineStr">
        <is>
          <t>YOU CAN TEACH IT — you can explain why follow-up drives implementation, what a good one-page summary contains, how to plan review within a time-limited placement, and how to hand a school relationship over at the end of placement so it does not lapse.
WHEN IT GOES WRONG — you can say what to do when you missed the follow-up: contact the school, acknowledge the delay without excuses, send the summary, and set the review date.</t>
        </is>
      </c>
      <c r="M318" s="224" t="inlineStr">
        <is>
          <t>No written follow-up, so the school acts on what it remembers rather than what was agreed.</t>
        </is>
      </c>
      <c r="N318" s="165" t="inlineStr">
        <is>
          <t>→ Feeds into implementation of recommendations, review in Intervention, and record-keeping in Ethical Practice.</t>
        </is>
      </c>
      <c r="O318" s="225" t="inlineStr">
        <is>
          <t>Not started</t>
        </is>
      </c>
      <c r="P318" s="165" t="inlineStr">
        <is>
          <t>WATCH FOR — what your supervisor does after a school meeting: whether a written summary goes out and how quickly, what is in it, and whether they return to the school to review — especially after a difficult conversation.</t>
        </is>
      </c>
      <c r="Q318" s="139" t="inlineStr">
        <is>
          <t>Year 1</t>
        </is>
      </c>
      <c r="R318" s="226" t="inlineStr">
        <is>
          <t>26/10/2026</t>
        </is>
      </c>
      <c r="S318" s="226" t="inlineStr">
        <is>
          <t>16/11/2026</t>
        </is>
      </c>
      <c r="T318" s="226" t="inlineStr">
        <is>
          <t>14/12/2026</t>
        </is>
      </c>
      <c r="U318" s="139" t="inlineStr">
        <is>
          <t>Follow-up summary · case contact note · Appendix 5 · Log sheet tagged 5. Working with Others</t>
        </is>
      </c>
    </row>
    <row r="319" outlineLevel="2" ht="19.5" customHeight="1" s="128">
      <c r="A319" s="219" t="inlineStr">
        <is>
          <t>MACRO SKILL</t>
        </is>
      </c>
      <c r="B319" s="219" t="inlineStr">
        <is>
          <t>5. Working with Others</t>
        </is>
      </c>
      <c r="C319" s="219" t="inlineStr">
        <is>
          <t>Give feedback to parents on assessment findings</t>
        </is>
      </c>
      <c r="D319" s="219" t="n"/>
      <c r="E319" s="219" t="inlineStr">
        <is>
          <t>3 blocks · 6 micro-skills</t>
        </is>
      </c>
      <c r="F319" s="219" t="inlineStr">
        <is>
          <t>CORU 2.1 · 5.27 · 2.2</t>
        </is>
      </c>
      <c r="G319" s="219" t="n"/>
      <c r="H319" s="219" t="n"/>
      <c r="I319" s="219" t="n"/>
      <c r="J319" s="219" t="n"/>
      <c r="K319" s="219" t="n"/>
      <c r="L319" s="219" t="n"/>
      <c r="M319" s="219" t="n"/>
      <c r="N319" s="219" t="n"/>
      <c r="O319" s="219" t="n"/>
      <c r="P319" s="219" t="n"/>
      <c r="Q319" s="219" t="inlineStr">
        <is>
          <t>Year 1</t>
        </is>
      </c>
      <c r="R319" s="219" t="n"/>
      <c r="S319" s="219" t="n"/>
      <c r="T319" s="219" t="n"/>
      <c r="U319" s="219" t="n"/>
    </row>
    <row r="320" outlineLevel="2" ht="43.5" customHeight="1" s="128">
      <c r="A320" s="220" t="inlineStr">
        <is>
          <t>BLOCK</t>
        </is>
      </c>
      <c r="B320" s="220" t="inlineStr">
        <is>
          <t>5. Working with Others</t>
        </is>
      </c>
      <c r="C320" s="220" t="inlineStr">
        <is>
          <t>Give feedback to parents on assessment findings</t>
        </is>
      </c>
      <c r="D320" s="221" t="inlineStr">
        <is>
          <t>Block 1 · Preparing</t>
        </is>
      </c>
      <c r="E320" s="222" t="inlineStr">
        <is>
          <t>Knowing the order and having the plain-language version ready.</t>
        </is>
      </c>
      <c r="F320" s="220" t="inlineStr">
        <is>
          <t>20 minutes per session · Weeks 3–6</t>
        </is>
      </c>
      <c r="G320" s="220" t="n"/>
      <c r="H320" s="220" t="n"/>
      <c r="I320" s="220" t="n"/>
      <c r="J320" s="220" t="n"/>
      <c r="K320" s="220" t="n"/>
      <c r="L320" s="220" t="n"/>
      <c r="M320" s="222" t="n"/>
      <c r="N320" s="220" t="n"/>
      <c r="O320" s="220" t="n"/>
      <c r="P320" s="220" t="inlineStr">
        <is>
          <t>How you build it: Write the first three sentences and the three hardest translations before every session.</t>
        </is>
      </c>
      <c r="Q320" s="220" t="n"/>
      <c r="R320" s="220" t="n"/>
      <c r="S320" s="220" t="n"/>
      <c r="T320" s="220" t="n"/>
      <c r="U320" s="220" t="n"/>
    </row>
    <row r="321" outlineLevel="2" ht="120" customHeight="1" s="128">
      <c r="A321" s="139" t="inlineStr">
        <is>
          <t>MICRO-SKILL</t>
        </is>
      </c>
      <c r="B321" s="139" t="inlineStr">
        <is>
          <t>5. Working with Others</t>
        </is>
      </c>
      <c r="C321" s="139" t="inlineStr">
        <is>
          <t>Give feedback to parents on assessment findings</t>
        </is>
      </c>
      <c r="D321" s="139" t="inlineStr">
        <is>
          <t>Block 1 · Preparing</t>
        </is>
      </c>
      <c r="E321" s="223" t="inlineStr">
        <is>
          <t>Prepare the structure before the meeting</t>
        </is>
      </c>
      <c r="F321" s="139" t="inlineStr">
        <is>
          <t>CORU SoP 2.1</t>
        </is>
      </c>
      <c r="G321" s="227" t="inlineStr">
        <is>
          <t>The Reference sheet: parents wait through explanation for the verdict and hear almost none of it, so give the headline in the first two minutes, then the detail, then what it means, then what happens next. That order has to be decided before the meeting; under the pressure of a parent's face it will not be improvised. CORU SoP 2.1 is mapped here. Patients forget much of what clinicians tell them (Kessels, Journal of the Royal Society of Medicine, 2003 — check the figures before quoting), which is why a structure matters more than completeness.</t>
        </is>
      </c>
      <c r="H321" s="165" t="inlineStr">
        <is>
          <t>WATCH FOR — what your supervisor prepares before a feedback meeting: notes on one page, the headline written out, the order of topics, the room and who is attending, and anything they expect to be difficult.
WRITE DOWN — their plan, and afterwards how closely the meeting followed it and where it departed.
ASK AFTERWARDS — 'what's the one sentence you want the parent to repeat to their partner tonight?'</t>
        </is>
      </c>
      <c r="I321" s="165" t="inlineStr">
        <is>
          <t>YOU TAKE — writing the one-page feedback plan for a case: headline, one evidenced strength, key findings in plain words, what it means, next steps, and the likely questions.
THEY HOLD — the headline wording where the finding is significant or distressing, and the decision on who attends (school staff, the young person).
WHY THAT SPLIT — the plan is the thinking and is fully checkable in advance. How to word a diagnosis-level or distressing headline, and who should be in the room, carry relational risk your supervisor holds.</t>
        </is>
      </c>
      <c r="J321" s="165" t="inlineStr">
        <is>
          <t>YOU RUN IT — prepare the plan and lead the feedback meeting for your own case, with your supervisor present.
WHAT THEY ARE WATCHING FOR — a plan that follows the report's section order (test by test) instead of the parent's, and a headline that is buried after ten minutes of background.
STEPPING IN LOOKS LIKE — in the pre-meeting: 'read me your first two minutes.' In the meeting: 'maybe it would help to say where we got to overall, and then go through how.'</t>
        </is>
      </c>
      <c r="K321" s="207" t="inlineStr">
        <is>
          <t>YOU DO IT ALONE — before every feedback meeting, write a one-page plan with the headline, order, plain-language translations, next steps and expected questions, and follow it.
PASS TEST — You knew the order you would take
EVIDENCE TO FILE — the feedback plan as a working paper on the case file. Log against 5. Working with Others.
WHAT FAILURE LOOKS LIKE — forty minutes of subtest-by-subtest explanation and a parent who asks at the door 'so does he have dyslexia or not?'.</t>
        </is>
      </c>
      <c r="L321" s="165" t="inlineStr">
        <is>
          <t>YOU CAN TEACH IT — you can explain why the headline-first structure works, how to write a headline that is honest without being brutal, and how to adapt the plan when the young person or school staff are in the room.
WHEN IT GOES WRONG — you can say what to do when the meeting departs from the plan (a parent arrives with a different concern, or becomes distressed): follow the parent, then return to the headline before the end so it is not lost.</t>
        </is>
      </c>
      <c r="M321" s="224" t="inlineStr">
        <is>
          <t>Walking in without a written headline and working through the report in section order.</t>
        </is>
      </c>
      <c r="N321" s="165" t="inlineStr">
        <is>
          <t>→ Feeds into 'Use plain language and check understanding', 'Lead with the child, not the scores', and 'Leave the parent with something concrete'.</t>
        </is>
      </c>
      <c r="O321" s="225" t="inlineStr">
        <is>
          <t>Not started</t>
        </is>
      </c>
      <c r="P321" s="165" t="inlineStr">
        <is>
          <t>WATCH FOR — what your supervisor prepares before a feedback meeting: notes on one page, the headline written out, the order of topics, the room and who is attending, and anything they expect to be difficult.</t>
        </is>
      </c>
      <c r="Q321" s="139" t="inlineStr">
        <is>
          <t>Year 1</t>
        </is>
      </c>
      <c r="R321" s="226" t="inlineStr">
        <is>
          <t>26/10/2026</t>
        </is>
      </c>
      <c r="S321" s="226" t="inlineStr">
        <is>
          <t>16/11/2026</t>
        </is>
      </c>
      <c r="T321" s="226" t="inlineStr">
        <is>
          <t>14/12/2026</t>
        </is>
      </c>
      <c r="U321" s="139" t="inlineStr">
        <is>
          <t>Feedback plan on case file · Appendix 5 · Log sheet tagged 5. Working with Others</t>
        </is>
      </c>
    </row>
    <row r="322" outlineLevel="2" ht="120" customHeight="1" s="128">
      <c r="A322" s="139" t="inlineStr">
        <is>
          <t>MICRO-SKILL</t>
        </is>
      </c>
      <c r="B322" s="139" t="inlineStr">
        <is>
          <t>5. Working with Others</t>
        </is>
      </c>
      <c r="C322" s="139" t="inlineStr">
        <is>
          <t>Give feedback to parents on assessment findings</t>
        </is>
      </c>
      <c r="D322" s="139" t="inlineStr">
        <is>
          <t>Block 1 · Preparing</t>
        </is>
      </c>
      <c r="E322" s="223" t="inlineStr">
        <is>
          <t>Use plain language and check understanding</t>
        </is>
      </c>
      <c r="F322" s="139" t="inlineStr">
        <is>
          <t>PSI Code 4.3.1</t>
        </is>
      </c>
      <c r="G322" s="227" t="inlineStr">
        <is>
          <t>The Reference sheet: plain language is a professional obligation — replace 'percentile' with a comparison to peers, 'working memory' with holding information in mind while doing something with it. If you cannot explain a finding without the term, you do not yet understand it well enough to report it. PSI Code 4.3.1 is mapped here. 'Does that make sense?' is on the Reference sheet's error list because almost everyone says yes. A parent who does not understand the findings cannot advocate for their child.</t>
        </is>
      </c>
      <c r="H322" s="165" t="inlineStr">
        <is>
          <t>WATCH FOR — every technical term your supervisor avoids or translates in a feedback meeting, and how they check understanding. Notice whether they ask the parent to put it in their own words, and what that reveals.
WRITE DOWN — a glossary: each term (standard score, percentile, processing speed, phonological awareness, working memory) with your supervisor's plain-language version.
ASK AFTERWARDS — 'when a parent says it back, what are the misunderstandings you hear most often?'</t>
        </is>
      </c>
      <c r="I322" s="165" t="inlineStr">
        <is>
          <t>YOU TAKE — building your own plain-language glossary for the tests you use and rehearsing the translations with your supervisor before a meeting.
THEY HOLD — the understanding check at the end of the meeting, until you have seen it done several times.
WHY THAT SPLIT — translating terms is preparation you can practise and have corrected. The teach-back check can feel like a test to a parent, and the tone of asking it is learned by watching.</t>
        </is>
      </c>
      <c r="J322" s="165" t="inlineStr">
        <is>
          <t>YOU RUN IT — deliver the findings in plain language and run the understanding check yourself ('when you tell his dad about today, what will you say?'), with your supervisor present.
WHAT THEY ARE WATCHING FOR — jargon that slips back in under pressure, translations that are accurate but still abstract, and 'does that make sense?' used as the only check.
STEPPING IN LOOKS LIKE — your supervisor asking the parent 'what's your sense of what that means for him in class?' after you use a technical term.</t>
        </is>
      </c>
      <c r="K322" s="207" t="inlineStr">
        <is>
          <t>YOU DO IT ALONE — explain every finding without jargon, and before the end ask the parent to say back what they will tell someone else; correct anything that did not land.
PASS TEST — You checked
EVIDENCE TO FILE — the feedback plan (with your plain-language versions) and a case note recording the parent's summary in their words. Log against 5. Working with Others.
WHAT FAILURE LOOKS LIKE — a parent who tells the school afterwards that the psychologist said their child was 'in the bottom percent for everything', from a profile that said nothing of the kind.</t>
        </is>
      </c>
      <c r="L322" s="165" t="inlineStr">
        <is>
          <t>YOU CAN TEACH IT — you can give a plain-language explanation for each score type and cognitive term you use, explain why teach-back is more reliable than a closed question, and adapt both for a parent with literacy difficulties or for whom English is an additional language, including when to use an interpreter.
WHEN IT GOES WRONG — you can say what to do when the say-back reveals a major misunderstanding: thank them, re-explain the central point differently, check again, and put the headline in writing.</t>
        </is>
      </c>
      <c r="M322" s="224" t="inlineStr">
        <is>
          <t>Using technical language and checking understanding with 'does that make sense?'.</t>
        </is>
      </c>
      <c r="N322" s="165" t="inlineStr">
        <is>
          <t>→ Feeds into 'Leave the parent with something concrete', plain-language report writing, and the parent's own advocacy with the school.</t>
        </is>
      </c>
      <c r="O322" s="225" t="inlineStr">
        <is>
          <t>Not started</t>
        </is>
      </c>
      <c r="P322" s="165" t="inlineStr">
        <is>
          <t>WATCH FOR — every technical term your supervisor avoids or translates in a feedback meeting, and how they check understanding. Notice whether they ask the parent to put it in their own words, and what that reveals.</t>
        </is>
      </c>
      <c r="Q322" s="139" t="inlineStr">
        <is>
          <t>Year 1</t>
        </is>
      </c>
      <c r="R322" s="226" t="inlineStr">
        <is>
          <t>26/10/2026</t>
        </is>
      </c>
      <c r="S322" s="226" t="inlineStr">
        <is>
          <t>16/11/2026</t>
        </is>
      </c>
      <c r="T322" s="226" t="inlineStr">
        <is>
          <t>14/12/2026</t>
        </is>
      </c>
      <c r="U322" s="139" t="inlineStr">
        <is>
          <t>Feedback plan · case note · Appendix 5 · Log sheet tagged 5. Working with Others</t>
        </is>
      </c>
    </row>
    <row r="323" outlineLevel="2" ht="43.5" customHeight="1" s="128">
      <c r="A323" s="220" t="inlineStr">
        <is>
          <t>BLOCK</t>
        </is>
      </c>
      <c r="B323" s="220" t="inlineStr">
        <is>
          <t>5. Working with Others</t>
        </is>
      </c>
      <c r="C323" s="220" t="inlineStr">
        <is>
          <t>Give feedback to parents on assessment findings</t>
        </is>
      </c>
      <c r="D323" s="221" t="inlineStr">
        <is>
          <t>Block 2 · Leading with the person</t>
        </is>
      </c>
      <c r="E323" s="222" t="inlineStr">
        <is>
          <t>Describing the child rather than the scores.</t>
        </is>
      </c>
      <c r="F323" s="220" t="inlineStr">
        <is>
          <t>Habit · Weeks 7–12</t>
        </is>
      </c>
      <c r="G323" s="220" t="n"/>
      <c r="H323" s="220" t="n"/>
      <c r="I323" s="220" t="n"/>
      <c r="J323" s="220" t="n"/>
      <c r="K323" s="220" t="n"/>
      <c r="L323" s="220" t="n"/>
      <c r="M323" s="222" t="n"/>
      <c r="N323" s="220" t="n"/>
      <c r="O323" s="220" t="n"/>
      <c r="P323" s="220" t="inlineStr">
        <is>
          <t>How you build it: Write two sentences about the child that contain no numbers. Open with those.</t>
        </is>
      </c>
      <c r="Q323" s="220" t="n"/>
      <c r="R323" s="220" t="n"/>
      <c r="S323" s="220" t="n"/>
      <c r="T323" s="220" t="n"/>
      <c r="U323" s="220" t="n"/>
    </row>
    <row r="324" outlineLevel="2" ht="120" customHeight="1" s="128">
      <c r="A324" s="139" t="inlineStr">
        <is>
          <t>MICRO-SKILL</t>
        </is>
      </c>
      <c r="B324" s="139" t="inlineStr">
        <is>
          <t>5. Working with Others</t>
        </is>
      </c>
      <c r="C324" s="139" t="inlineStr">
        <is>
          <t>Give feedback to parents on assessment findings</t>
        </is>
      </c>
      <c r="D324" s="139" t="inlineStr">
        <is>
          <t>Block 2 · Leading with the person</t>
        </is>
      </c>
      <c r="E324" s="223" t="inlineStr">
        <is>
          <t>Lead with the child, not the scores</t>
        </is>
      </c>
      <c r="F324" s="139" t="inlineStr">
        <is>
          <t>CORU SoP 5.27</t>
        </is>
      </c>
      <c r="G324" s="227" t="inlineStr">
        <is>
          <t>Leading with scores is the first item on the Reference sheet's error list. Parents know their child as a person, and a feedback meeting that opens with numbers tells them the psychologist met a profile, not their son or daughter. CORU SoP 5.27 is mapped here. Starting from something recognisable — how the child approached the tasks, what they said, what they enjoyed — earns the credibility that makes the harder findings believable, and it gives the parent evidence that you actually saw their child.</t>
        </is>
      </c>
      <c r="H324" s="165" t="inlineStr">
        <is>
          <t>WATCH FOR — how your supervisor opens a feedback meeting: the first thing they say about the child, whether it is a specific observation or a general comment, and how long before any number is mentioned.
WRITE DOWN — the opening description word for word, and the parent's reaction to it.
ASK AFTERWARDS — 'how do you choose the detail about the child to open with, especially when the session was difficult?'</t>
        </is>
      </c>
      <c r="I324" s="165" t="inlineStr">
        <is>
          <t>YOU TAKE — writing the opening paragraph of the feedback plan: two or three specific observations of how the child engaged, drawn from your session record.
THEY HOLD — the transition from the child to the findings, where the tone shifts.
WHY THAT SPLIT — describing the child from your notes tests how well you observed, and is safe to practise. The move into findings sets the emotional register for the rest of the meeting.</t>
        </is>
      </c>
      <c r="J324" s="165" t="inlineStr">
        <is>
          <t>YOU RUN IT — open the meeting with your description of the child, then move into the findings, keeping the child present throughout ('this is why he found the reading tasks so tiring'), with your supervisor present.
WHAT THEY ARE WATCHING FOR — a description that could fit any child ('she was lovely to work with'), and findings reported as scores detached from anything the parent recognises.
STEPPING IN LOOKS LIKE — 'do you see that at home — the way she checks everything twice before she answers?'</t>
        </is>
      </c>
      <c r="K324" s="207" t="inlineStr">
        <is>
          <t>YOU DO IT ALONE — begin with a specific, evidenced description of the child as you met them, and tie each finding back to something the parent can recognise at home or in school.
PASS TEST — The child is recognisable in your description
EVIDENCE TO FILE — the feedback plan and the report's background and observation sections. Log against 5. Working with Others.
WHAT FAILURE LOOKS LIKE — a parent who says 'that doesn't sound like him' in the first five minutes, after which nothing else you say is trusted.</t>
        </is>
      </c>
      <c r="L324" s="165" t="inlineStr">
        <is>
          <t>YOU CAN TEACH IT — you can explain why the child-first opening builds credibility for the findings, how to select observations that are specific and honest, and how to keep linking scores back to everyday behaviour.
WHEN IT GOES WRONG — you can say what to do when the parent does not recognise your description: ask what they see, treat it as information about context (home vs school, one session vs years), and say so in the report.</t>
        </is>
      </c>
      <c r="M324" s="224" t="inlineStr">
        <is>
          <t>Opening with scores before the parent has recognised their child in anything you have said.</t>
        </is>
      </c>
      <c r="N324" s="165" t="inlineStr">
        <is>
          <t>→ Feeds into 'Name strengths specifically', 'Hold distress without rushing past it', and the parent's trust in the findings.</t>
        </is>
      </c>
      <c r="O324" s="225" t="inlineStr">
        <is>
          <t>Not started</t>
        </is>
      </c>
      <c r="P324" s="165" t="inlineStr">
        <is>
          <t>WATCH FOR — how your supervisor opens a feedback meeting: the first thing they say about the child, whether it is a specific observation or a general comment, and how long before any number is mentioned.</t>
        </is>
      </c>
      <c r="Q324" s="139" t="inlineStr">
        <is>
          <t>Year 1</t>
        </is>
      </c>
      <c r="R324" s="226" t="inlineStr">
        <is>
          <t>26/10/2026</t>
        </is>
      </c>
      <c r="S324" s="226" t="inlineStr">
        <is>
          <t>16/11/2026</t>
        </is>
      </c>
      <c r="T324" s="226" t="inlineStr">
        <is>
          <t>14/12/2026</t>
        </is>
      </c>
      <c r="U324" s="139" t="inlineStr">
        <is>
          <t>Feedback plan · report — observations · Log sheet tagged 5. Working with Others</t>
        </is>
      </c>
    </row>
    <row r="325" outlineLevel="2" ht="120" customHeight="1" s="128">
      <c r="A325" s="139" t="inlineStr">
        <is>
          <t>MICRO-SKILL</t>
        </is>
      </c>
      <c r="B325" s="139" t="inlineStr">
        <is>
          <t>5. Working with Others</t>
        </is>
      </c>
      <c r="C325" s="139" t="inlineStr">
        <is>
          <t>Give feedback to parents on assessment findings</t>
        </is>
      </c>
      <c r="D325" s="139" t="inlineStr">
        <is>
          <t>Block 2 · Leading with the person</t>
        </is>
      </c>
      <c r="E325" s="223" t="inlineStr">
        <is>
          <t>Name strengths specifically</t>
        </is>
      </c>
      <c r="F325" s="139" t="inlineStr">
        <is>
          <t>CORU SoP 1.3</t>
        </is>
      </c>
      <c r="G325" s="227" t="inlineStr">
        <is>
          <t>The Reference sheet: lead with a strength, but only one you can evidence from the assessment — invented strengths are heard as consolation and undermine everything else you say. CORU SoP 1.3 is mapped here. 'He's a lovely boy' is not a strength finding; 'his vocabulary is well above what we'd expect for his age, and he used it to explain the picture tasks in real detail' is. Specific strengths also do work: they are what recommendations can build on.</t>
        </is>
      </c>
      <c r="H325" s="165" t="inlineStr">
        <is>
          <t>WATCH FOR — the strengths your supervisor names in feedback and whether each one is tied to evidence (a score, an observation, a teacher report) or is a general compliment.
WRITE DOWN — each strength named and its evidence, and note any that were generic.
ASK AFTERWARDS — 'what do you do when the assessment genuinely didn't show a cognitive strength?'</t>
        </is>
      </c>
      <c r="I325" s="165" t="inlineStr">
        <is>
          <t>YOU TAKE — going through the file and your session record to list every evidenced strength: cognitive, attainment, approach to tasks, social, interests, and what other adults report.
THEY HOLD — deciding which strength leads, especially where the overall picture is of significant difficulty.
WHY THAT SPLIT — finding strengths across sources is thorough, checkable work. Choosing the lead strength when the news is hard is a judgement about how the parent will hear it.</t>
        </is>
      </c>
      <c r="J325" s="165" t="inlineStr">
        <is>
          <t>YOU RUN IT — name the strengths in the feedback meeting, each with its evidence, and link at least one to a recommendation, with your supervisor present.
WHAT THEY ARE WATCHING FOR — generic praise, a strength the scores do not support, and strengths mentioned once at the start then dropped.
STEPPING IN LOOKS LIKE — 'and that persistence you saw on the puzzles — that's something the school can really use when they set up the reading programme.'</t>
        </is>
      </c>
      <c r="K325" s="207" t="inlineStr">
        <is>
          <t>YOU DO IT ALONE — name at least one real strength with the evidence for it, in plain words, and show how it connects to what happens next.
PASS TEST — Not generic praise
EVIDENCE TO FILE — the strengths section of the report and the feedback plan. Log against 5. Working with Others.
WHAT FAILURE LOOKS LIKE — 'he's a great kid and he tried really hard' as the only positive, followed by twenty minutes of difficulty, and a parent who hears the positive as a cushion.</t>
        </is>
      </c>
      <c r="L325" s="165" t="inlineStr">
        <is>
          <t>YOU CAN TEACH IT — you can explain why specificity is what makes a strength credible, where to look for strengths when test scores are uniformly low (approach to tasks, interests, relationships, adult reports), and how strengths should drive recommendations rather than decorate the report.
WHEN IT GOES WRONG — you can say what to do when a parent dismisses a strength ('you're just saying that'): give the evidence for it, and do not inflate it to persuade them.</t>
        </is>
      </c>
      <c r="M325" s="224" t="inlineStr">
        <is>
          <t>Offering a strength the assessment does not support, so the parent discounts the real findings.</t>
        </is>
      </c>
      <c r="N325" s="165" t="inlineStr">
        <is>
          <t>→ Feeds into strengths-based recommendations, Intervention planning, and 'Leave the parent with something concrete'.</t>
        </is>
      </c>
      <c r="O325" s="225" t="inlineStr">
        <is>
          <t>Not started</t>
        </is>
      </c>
      <c r="P325" s="165" t="inlineStr">
        <is>
          <t>WATCH FOR — the strengths your supervisor names in feedback and whether each one is tied to evidence (a score, an observation, a teacher report) or is a general compliment.</t>
        </is>
      </c>
      <c r="Q325" s="139" t="inlineStr">
        <is>
          <t>Year 1</t>
        </is>
      </c>
      <c r="R325" s="226" t="inlineStr">
        <is>
          <t>26/10/2026</t>
        </is>
      </c>
      <c r="S325" s="226" t="inlineStr">
        <is>
          <t>16/11/2026</t>
        </is>
      </c>
      <c r="T325" s="226" t="inlineStr">
        <is>
          <t>14/12/2026</t>
        </is>
      </c>
      <c r="U325" s="139" t="inlineStr">
        <is>
          <t>Report — strengths · feedback plan · Log sheet tagged 5. Working with Others</t>
        </is>
      </c>
    </row>
    <row r="326" outlineLevel="2" ht="43.5" customHeight="1" s="128">
      <c r="A326" s="220" t="inlineStr">
        <is>
          <t>BLOCK</t>
        </is>
      </c>
      <c r="B326" s="220" t="inlineStr">
        <is>
          <t>5. Working with Others</t>
        </is>
      </c>
      <c r="C326" s="220" t="inlineStr">
        <is>
          <t>Give feedback to parents on assessment findings</t>
        </is>
      </c>
      <c r="D326" s="221" t="inlineStr">
        <is>
          <t>Block 3 · Managing distress</t>
        </is>
      </c>
      <c r="E326" s="222" t="inlineStr">
        <is>
          <t>Slowing down rather than pushing through.</t>
        </is>
      </c>
      <c r="F326" s="220" t="inlineStr">
        <is>
          <t>2 hours, then practice · Ongoing all year</t>
        </is>
      </c>
      <c r="G326" s="220" t="n"/>
      <c r="H326" s="220" t="n"/>
      <c r="I326" s="220" t="n"/>
      <c r="J326" s="220" t="n"/>
      <c r="K326" s="220" t="n"/>
      <c r="L326" s="220" t="n"/>
      <c r="M326" s="222" t="n"/>
      <c r="N326" s="220" t="n"/>
      <c r="O326" s="220" t="n"/>
      <c r="P326" s="220" t="inlineStr">
        <is>
          <t>How you build it: Ask your supervisor what they do. Have your own two sentences ready.</t>
        </is>
      </c>
      <c r="Q326" s="220" t="n"/>
      <c r="R326" s="220" t="n"/>
      <c r="S326" s="220" t="n"/>
      <c r="T326" s="220" t="n"/>
      <c r="U326" s="220" t="n"/>
    </row>
    <row r="327" outlineLevel="2" ht="120" customHeight="1" s="128">
      <c r="A327" s="139" t="inlineStr">
        <is>
          <t>MICRO-SKILL</t>
        </is>
      </c>
      <c r="B327" s="139" t="inlineStr">
        <is>
          <t>5. Working with Others</t>
        </is>
      </c>
      <c r="C327" s="139" t="inlineStr">
        <is>
          <t>Give feedback to parents on assessment findings</t>
        </is>
      </c>
      <c r="D327" s="139" t="inlineStr">
        <is>
          <t>Block 3 · Managing distress</t>
        </is>
      </c>
      <c r="E327" s="223" t="inlineStr">
        <is>
          <t>Hold distress without rushing past it</t>
        </is>
      </c>
      <c r="F327" s="139" t="inlineStr">
        <is>
          <t>CORU SoP 2.2</t>
        </is>
      </c>
      <c r="G327" s="227" t="inlineStr">
        <is>
          <t>Feedback can confirm something a parent has feared for years, or tell them something they did not expect; either can bring grief, anger, guilt or relief. Rushing to reassurance or to the recommendations tells them their reaction is in the way. CORU SoP 2.2 is mapped here. Baile and colleagues' SPIKES protocol for breaking bad news in medicine (The Oncologist, 2000) names responding to emotion as a distinct step before moving on; it was written for oncology, so adapt rather than transplant it.</t>
        </is>
      </c>
      <c r="H327" s="165" t="inlineStr">
        <is>
          <t>WATCH FOR — what your supervisor does when a parent becomes upset: the pause, the tone, whether they name the feeling, whether they offer tissues or water, how long before they return to the content, and how they check the parent is ready.
WRITE DOWN — what was said at the moment of distress and what brought the meeting back — without identifying details in your Log.
ASK AFTERWARDS — 'how do you know when a parent is ready to hear the next part?'</t>
        </is>
      </c>
      <c r="I327" s="165" t="inlineStr">
        <is>
          <t>YOU TAKE — preparing for likely distress: which finding is most likely to land hard, what you will say if it does, and making sure there is time, privacy and tissues.
THEY HOLD — responding to the distress in the room.
WHY THAT SPLIT — anticipating distress is planning you can do. Being with a distressed parent without rushing, while holding the professional frame, is learned by watching someone who does it well first.</t>
        </is>
      </c>
      <c r="J327" s="165" t="inlineStr">
        <is>
          <t>YOU RUN IT — lead the feedback meeting and respond yourself when the parent becomes upset, with your supervisor present and ready to support.
WHAT THEY ARE WATCHING FOR — filling the silence, premature reassurance ('lots of children have this'), jumping to recommendations, and the opposite: losing the structure so the parent leaves without the key message.
STEPPING IN LOOKS LIKE — a hand signal to wait, or 'we don't have to go on right now — take whatever time you need.'</t>
        </is>
      </c>
      <c r="K327" s="207" t="inlineStr">
        <is>
          <t>YOU DO IT ALONE — when a parent is distressed, stop, acknowledge it in plain words, allow silence, and return to the content only when they indicate they are ready; offer a second meeting if needed.
PASS TEST — You slowed down
EVIDENCE TO FILE — the case note (including any offer of a follow-up meeting) and a supervision note on the meeting. Log against 5. Working with Others.
WHAT FAILURE LOOKS LIKE — a parent in tears while you talk them through the recommendations, and a complaint afterwards that 'she just kept going'.</t>
        </is>
      </c>
      <c r="L327" s="165" t="inlineStr">
        <is>
          <t>YOU CAN TEACH IT — you can explain why pausing is a professional act and not a loss of control, how to name emotion without interpreting it, how cultural context shapes how distress is shown (Tervalon &amp; Murray-García, 1998, on cultural humility), and when to end a meeting and reschedule.
WHEN IT GOES WRONG — you can say what to do when you realise afterwards that you rushed: contact the parent, acknowledge it, offer another meeting, and take it to supervision.</t>
        </is>
      </c>
      <c r="M327" s="224" t="inlineStr">
        <is>
          <t>Rushing to reassurance or recommendations the moment a parent becomes upset.</t>
        </is>
      </c>
      <c r="N327" s="165" t="inlineStr">
        <is>
          <t>→ Feeds into 'Leave the parent with something concrete', relationship with the family, and your own wellbeing (Ethical Practice — Manage workload and your own wellbeing).</t>
        </is>
      </c>
      <c r="O327" s="225" t="inlineStr">
        <is>
          <t>Not started</t>
        </is>
      </c>
      <c r="P327" s="165" t="inlineStr">
        <is>
          <t>WATCH FOR — what your supervisor does when a parent becomes upset: the pause, the tone, whether they name the feeling, whether they offer tissues or water, how long before they return to the content, and how they check the parent is ready.</t>
        </is>
      </c>
      <c r="Q327" s="139" t="inlineStr">
        <is>
          <t>Year 1</t>
        </is>
      </c>
      <c r="R327" s="226" t="inlineStr">
        <is>
          <t>26/10/2026</t>
        </is>
      </c>
      <c r="S327" s="226" t="inlineStr">
        <is>
          <t>16/11/2026</t>
        </is>
      </c>
      <c r="T327" s="226" t="inlineStr">
        <is>
          <t>14/12/2026</t>
        </is>
      </c>
      <c r="U327" s="139" t="inlineStr">
        <is>
          <t>Case note · supervision note · Appendix 5 · Log sheet tagged 5. Working with Others</t>
        </is>
      </c>
    </row>
    <row r="328" outlineLevel="2" ht="120" customHeight="1" s="128">
      <c r="A328" s="139" t="inlineStr">
        <is>
          <t>MICRO-SKILL</t>
        </is>
      </c>
      <c r="B328" s="139" t="inlineStr">
        <is>
          <t>5. Working with Others</t>
        </is>
      </c>
      <c r="C328" s="139" t="inlineStr">
        <is>
          <t>Give feedback to parents on assessment findings</t>
        </is>
      </c>
      <c r="D328" s="139" t="inlineStr">
        <is>
          <t>Block 3 · Managing distress</t>
        </is>
      </c>
      <c r="E328" s="223" t="inlineStr">
        <is>
          <t>Leave the parent with something concrete</t>
        </is>
      </c>
      <c r="F328" s="139" t="inlineStr">
        <is>
          <t>CORU SoP 2.16</t>
        </is>
      </c>
      <c r="G328" s="227" t="inlineStr">
        <is>
          <t>A parent who leaves with a feeling but no plan will ring the school, the GP or you within a week. They need to know what happens next, who does it, by when, and what they can do themselves. CORU SoP 2.16 is mapped here. In the Irish system, next steps usually sit on the NEPS Continuum of Support (Classroom Support, School Support, School Support Plus) or involve onward referral to HSE CDNT or CAMHS; parents rarely know what these mean, or how long waits may be, unless someone tells them.</t>
        </is>
      </c>
      <c r="H328" s="165" t="inlineStr">
        <is>
          <t>WATCH FOR — how your supervisor ends a feedback meeting: whether they summarise next steps, name who does what, say when the report will arrive, explain any onward referral and its process, and give the parent something written.
WRITE DOWN — the next steps as your supervisor stated them, and what the parent was given to take away.
ASK AFTERWARDS — 'what do you tell a parent about a CDNT or CAMHS referral when you don't know how long the wait will be?'</t>
        </is>
      </c>
      <c r="I328" s="165" t="inlineStr">
        <is>
          <t>YOU TAKE — preparing the next-steps section of the feedback plan and a short written summary for the parent: actions, who, when, contacts, and what they can do at home.
THEY HOLD — anything involving onward referral or service commitments, until you know the local pathways and what the service can promise.
WHY THAT SPLIT — a written next-steps summary is concrete and checkable. Referral pathways and waiting times are local knowledge; a wrong promise about a CDNT or CAMHS referral damages trust in the whole service.</t>
        </is>
      </c>
      <c r="J328" s="165" t="inlineStr">
        <is>
          <t>YOU RUN IT — close the feedback meeting yourself: summarise next steps, check the parent knows what happens next, and hand over the written summary, with your supervisor present.
WHAT THEY ARE WATCHING FOR — vague endings ('the school will be in touch'), promises about other services' timelines, and next steps that are all for professionals with nothing the parent can do.
STEPPING IN LOOKS LIKE — 'just so you've got it clearly — the three things that happen now are…'</t>
        </is>
      </c>
      <c r="K328" s="207" t="inlineStr">
        <is>
          <t>YOU DO IT ALONE — end every feedback meeting with next steps stated, a named person and timescale for each, when the report will arrive, one thing the parent can do, and a written summary to take away.
PASS TEST — They know what happens next
EVIDENCE TO FILE — the written next-steps summary and the case note. Log against 5. Working with Others.
WHAT FAILURE LOOKS LIKE — a parent phoning the school a week later to ask whether a referral was made, and nobody knowing who was meant to do it.</t>
        </is>
      </c>
      <c r="L328" s="165" t="inlineStr">
        <is>
          <t>YOU CAN TEACH IT — you can explain the Continuum of Support levels and the main onward pathways (HSE CDNT, CAMHS, and Tusla where relevant) in plain words, how to talk about waiting lists without guessing, and why a parent needs one action of their own.
WHEN IT GOES WRONG — you can say what to do when a next step does not happen: find out who held it, tell the parent honestly, and make sure it is picked up and recorded.</t>
        </is>
      </c>
      <c r="M328" s="224" t="inlineStr">
        <is>
          <t>Ending the meeting without saying who will do what, and by when.</t>
        </is>
      </c>
      <c r="N328" s="165" t="inlineStr">
        <is>
          <t>→ Feeds into implementation and review in Intervention, 'Maintain the relationship afterwards', and the parent's advocacy for their child.</t>
        </is>
      </c>
      <c r="O328" s="225" t="inlineStr">
        <is>
          <t>Not started</t>
        </is>
      </c>
      <c r="P328" s="165" t="inlineStr">
        <is>
          <t>WATCH FOR — how your supervisor ends a feedback meeting: whether they summarise next steps, name who does what, say when the report will arrive, explain any onward referral and its process, and give the parent something written.</t>
        </is>
      </c>
      <c r="Q328" s="139" t="inlineStr">
        <is>
          <t>Year 1</t>
        </is>
      </c>
      <c r="R328" s="226" t="inlineStr">
        <is>
          <t>26/10/2026</t>
        </is>
      </c>
      <c r="S328" s="226" t="inlineStr">
        <is>
          <t>16/11/2026</t>
        </is>
      </c>
      <c r="T328" s="226" t="inlineStr">
        <is>
          <t>14/12/2026</t>
        </is>
      </c>
      <c r="U328" s="139" t="inlineStr">
        <is>
          <t>Written next-steps summary · case note · Log sheet tagged 5. Working with Others</t>
        </is>
      </c>
    </row>
    <row r="329" outlineLevel="2" ht="19.5" customHeight="1" s="128">
      <c r="A329" s="219" t="inlineStr">
        <is>
          <t>MACRO SKILL</t>
        </is>
      </c>
      <c r="B329" s="219" t="inlineStr">
        <is>
          <t>5. Working with Others</t>
        </is>
      </c>
      <c r="C329" s="219" t="inlineStr">
        <is>
          <t>Keep case notes to service standard</t>
        </is>
      </c>
      <c r="D329" s="219" t="n"/>
      <c r="E329" s="219" t="inlineStr">
        <is>
          <t>3 blocks · 6 micro-skills</t>
        </is>
      </c>
      <c r="F329" s="219" t="inlineStr">
        <is>
          <t>CORU 2.8 · 2.10 · 1.13</t>
        </is>
      </c>
      <c r="G329" s="219" t="n"/>
      <c r="H329" s="219" t="n"/>
      <c r="I329" s="219" t="n"/>
      <c r="J329" s="219" t="n"/>
      <c r="K329" s="219" t="n"/>
      <c r="L329" s="219" t="n"/>
      <c r="M329" s="219" t="n"/>
      <c r="N329" s="219" t="n"/>
      <c r="O329" s="219" t="n"/>
      <c r="P329" s="219" t="n"/>
      <c r="Q329" s="219" t="inlineStr">
        <is>
          <t>Year 1</t>
        </is>
      </c>
      <c r="R329" s="219" t="n"/>
      <c r="S329" s="219" t="n"/>
      <c r="T329" s="219" t="n"/>
      <c r="U329" s="219" t="n"/>
    </row>
    <row r="330" outlineLevel="2" ht="43.5" customHeight="1" s="128">
      <c r="A330" s="220" t="inlineStr">
        <is>
          <t>BLOCK</t>
        </is>
      </c>
      <c r="B330" s="220" t="inlineStr">
        <is>
          <t>5. Working with Others</t>
        </is>
      </c>
      <c r="C330" s="220" t="inlineStr">
        <is>
          <t>Keep case notes to service standard</t>
        </is>
      </c>
      <c r="D330" s="221" t="inlineStr">
        <is>
          <t>Block 1 · Knowing the standard</t>
        </is>
      </c>
      <c r="E330" s="222" t="inlineStr">
        <is>
          <t>This service's format, terminology, signature and retention requirements.</t>
        </is>
      </c>
      <c r="F330" s="220" t="inlineStr">
        <is>
          <t>2 hours, once · Weeks 1–2</t>
        </is>
      </c>
      <c r="G330" s="220" t="n"/>
      <c r="H330" s="220" t="n"/>
      <c r="I330" s="220" t="n"/>
      <c r="J330" s="220" t="n"/>
      <c r="K330" s="220" t="n"/>
      <c r="L330" s="220" t="n"/>
      <c r="M330" s="222" t="n"/>
      <c r="N330" s="220" t="n"/>
      <c r="O330" s="220" t="n"/>
      <c r="P330" s="220" t="inlineStr">
        <is>
          <t>How you build it: Read the records policy in week one. Ask for three sample notes.</t>
        </is>
      </c>
      <c r="Q330" s="220" t="n"/>
      <c r="R330" s="220" t="n"/>
      <c r="S330" s="220" t="n"/>
      <c r="T330" s="220" t="n"/>
      <c r="U330" s="220" t="n"/>
    </row>
    <row r="331" outlineLevel="2" ht="120" customHeight="1" s="128">
      <c r="A331" s="139" t="inlineStr">
        <is>
          <t>MICRO-SKILL</t>
        </is>
      </c>
      <c r="B331" s="139" t="inlineStr">
        <is>
          <t>5. Working with Others</t>
        </is>
      </c>
      <c r="C331" s="139" t="inlineStr">
        <is>
          <t>Keep case notes to service standard</t>
        </is>
      </c>
      <c r="D331" s="139" t="inlineStr">
        <is>
          <t>Block 1 · Knowing the standard</t>
        </is>
      </c>
      <c r="E331" s="223" t="inlineStr">
        <is>
          <t>Use the service's format and terminology</t>
        </is>
      </c>
      <c r="F331" s="139" t="inlineStr">
        <is>
          <t>CORU SoP 2.10</t>
        </is>
      </c>
      <c r="G331" s="227" t="inlineStr">
        <is>
          <t>Every service records differently: a NEPS team, a CDNT and a CAMHS team each have their own headings, file structure and accepted abbreviations. The note has to be usable by the next person who opens the file, not only by you. CORU SoP 2.10 is the standard mapped here — read the full text on the Reference sheet, Part B. A note in your own format, or in shorthand only you understand, cannot be used once you leave, and in Cavan you leave on 18/12/2026 with cases still open.</t>
        </is>
      </c>
      <c r="H331" s="165" t="inlineStr">
        <is>
          <t>WATCH FOR — the template or headings your supervisor uses for each kind of contact (school visit, consultation, parent phone call, review meeting), where each kind of note sits in the file, and which abbreviations the service accepts. Check even ones that look standard, such as 'SS+' for School Support Plus or 'SSF' for Student Support File.
WRITE DOWN — the headings in order, the document-naming convention, and a list of accepted abbreviations with what they stand for. Ask for the written records policy if the service has one.
ASK AFTERWARDS — 'if you were off sick tomorrow, what would a colleague need to find in this note to pick up the case?'</t>
        </is>
      </c>
      <c r="I331" s="165" t="inlineStr">
        <is>
          <t>YOU TAKE — drafting the note of a visit your supervisor led, on the service template, in the service's terms, and sending it to them the same day.
THEY HOLD — corrections to format and terminology, and the decision on what goes on the formal file and what stays a working paper.
WHY THAT SPLIT — you learn a template by using it, and mistakes cost nothing if they are corrected before filing. What counts as part of the record is a service policy question, and you do not yet know this service's policy.</t>
        </is>
      </c>
      <c r="J331" s="165" t="inlineStr">
        <is>
          <t>YOU RUN IT — for your first few weeks in Cavan, write every note on your own cases in the service format and submit it for review before it is filed.
WHAT THEY ARE WATCHING FOR — Roscommon habits or university assignment conventions carried into a new service's file; private shorthand; notes filed under the wrong heading or name, so that nobody can find them.
STEPPING IN LOOKS LIKE — 'what does "SC re WM" mean here? Would the new principal know, or the psychologist who takes this case after you?'</t>
        </is>
      </c>
      <c r="K331" s="207" t="inlineStr">
        <is>
          <t>YOU DO IT ALONE — every note is on the service template, filed in the right place, uses only accepted abbreviations, and can be read by a colleague who has never met the child.
PASS TEST — Notes match the service standard
EVIDENCE TO FILE — your supervisor's comment, in the supervision record, on a sample of your notes checked against the template. Do not copy notes into your own Log. Log against 5. Working with Others.
WHAT FAILURE LOOKS LIKE — a colleague covering the case cannot tell from the file what was agreed at the last school meeting, because the note is in a format only you use.</t>
        </is>
      </c>
      <c r="L331" s="165" t="inlineStr">
        <is>
          <t>YOU CAN TEACH IT — you can explain to a new trainee that format is not bureaucracy. It serves continuity of care, handover, audit and subject access. You can show them where the template lives and walk them through one of your own anonymised notes line by line.
WHEN IT GOES WRONG — you find your early notes used a different format. Do not rewrite or back-date them. If something needs clarifying, add a dated, signed entry marked as a later addition, and use the correct format from then on. Check the service policy on how to amend a record.</t>
        </is>
      </c>
      <c r="M331" s="224" t="inlineStr">
        <is>
          <t>Bringing the last service's format and private shorthand into a new service's file.</t>
        </is>
      </c>
      <c r="N331" s="165" t="inlineStr">
        <is>
          <t>→ Feeds into 'Record consent, contacts and decisions', 'Write the same day', and handover of open cases at the end of the Cavan placement.</t>
        </is>
      </c>
      <c r="O331" s="225" t="inlineStr">
        <is>
          <t>Not started</t>
        </is>
      </c>
      <c r="P331" s="165" t="inlineStr">
        <is>
          <t>WATCH FOR — the template or headings your supervisor uses for each kind of contact (school visit, consultation, parent phone call, review meeting), where each kind of note sits in the file, and which abbreviations the service accepts. Check even ones that look standard, such as 'SS+' for School Support Plus or 'SSF' for Student Support File.</t>
        </is>
      </c>
      <c r="Q331" s="139" t="inlineStr">
        <is>
          <t>Year 1</t>
        </is>
      </c>
      <c r="R331" s="226" t="inlineStr">
        <is>
          <t>26/10/2026</t>
        </is>
      </c>
      <c r="S331" s="226" t="inlineStr">
        <is>
          <t>16/11/2026</t>
        </is>
      </c>
      <c r="T331" s="226" t="inlineStr">
        <is>
          <t>14/12/2026</t>
        </is>
      </c>
      <c r="U331" s="139" t="inlineStr">
        <is>
          <t>Supervision record — sample of notes reviewed · Appendix 5 · Log sheet tagged 5. Working with Others</t>
        </is>
      </c>
    </row>
    <row r="332" outlineLevel="2" ht="120" customHeight="1" s="128">
      <c r="A332" s="139" t="inlineStr">
        <is>
          <t>MICRO-SKILL</t>
        </is>
      </c>
      <c r="B332" s="139" t="inlineStr">
        <is>
          <t>5. Working with Others</t>
        </is>
      </c>
      <c r="C332" s="139" t="inlineStr">
        <is>
          <t>Keep case notes to service standard</t>
        </is>
      </c>
      <c r="D332" s="139" t="inlineStr">
        <is>
          <t>Block 1 · Knowing the standard</t>
        </is>
      </c>
      <c r="E332" s="223" t="inlineStr">
        <is>
          <t>Store and transfer records lawfully</t>
        </is>
      </c>
      <c r="F332" s="139" t="inlineStr">
        <is>
          <t>GDPR · CORU SoP 1.13</t>
        </is>
      </c>
      <c r="G332" s="227" t="inlineStr">
        <is>
          <t>Psychological records hold health data, which is special category data under GDPR Article 9. The Data Protection Act 2018 adds further rules in Irish law. The Article 5 principles, including data minimisation and integrity and confidentiality, apply to every note, test protocol and draft report. PSI Code 1.2.6 and 1.2.7 and CORU SoP 1.13 are mapped here. The Reference sheet names records as the area where trainees most often slip through convenience: a draft on a personal laptop, a photo of a record form on a phone, a child's name in an email subject line. Each can be a personal data breach.</t>
        </is>
      </c>
      <c r="H332" s="165" t="inlineStr">
        <is>
          <t>WATCH FOR — where your supervisor keeps protocols between the school and the office, how they send a report to a school or family (secure email, portal, post, by hand), what goes in an email subject line, and what happens to rough notes once they are typed up.
WRITE DOWN — the service's approved route for storing, sending and destroying each kind of record, and the name of the data protection contact. Do not rely on a remembered retention period — check the service policy for that.
ASK AFTERWARDS — 'what's the most common near miss you've seen with records here, and what should I do if I have one?'</t>
        </is>
      </c>
      <c r="I332" s="165" t="inlineStr">
        <is>
          <t>YOU TAKE — carrying and returning protocols by the approved route, sending documents only through service systems, and keeping a simple list of which files you have taken out of the office.
THEY HOLD — any sharing with other agencies (CDNT, CAMHS, Tusla), and any decision on retention or destruction of the formal record.
WHY THAT SPLIT — handling records is a daily routine you must get right from day one. Sharing across agencies needs a lawful basis and a consent decision, and those belong to the service.</t>
        </is>
      </c>
      <c r="J332" s="165" t="inlineStr">
        <is>
          <t>YOU RUN IT — manage the records for your own cases from start to finish (storage, sending to school, destroying rough notes as the policy says), with your supervisor spot-checking.
WHAT THEY ARE WATCHING FOR — shortcuts taken for convenience: a draft typed on your own laptop, protocols left in the car overnight, the child's name and school in a subject line, a WhatsApp message to a teacher about a pupil.
STEPPING IN LOOKS LIKE — 'where is that draft saved right now? Is that a service device?'</t>
        </is>
      </c>
      <c r="K332" s="207" t="inlineStr">
        <is>
          <t>YOU DO IT ALONE — every identifiable record is stored and moved only by approved routes. Nothing goes on a personal phone, laptop, cloud account or messaging app. Rough notes are destroyed as the policy says.
PASS TEST — Nothing identifiable on a personal device
EVIDENCE TO FILE — a line in the supervision record confirming your records practice was reviewed. Your own Log entries contain no identifiers. Log against 5. Working with Others and 6. Ethical Practice.
WHAT FAILURE LOOKS LIKE — a photo of a record form in your phone's camera roll, syncing to your personal cloud account.</t>
        </is>
      </c>
      <c r="L332" s="165" t="inlineStr">
        <is>
          <t>YOU CAN TEACH IT — you can explain special category data, the Article 5 principles, why a trainee's own device is outside the service's control, and why 'how long do we keep it?' is answered from the service's retention policy, not from memory.
WHEN IT GOES WRONG — you send something to the wrong person, or lose a protocol. Tell your supervisor and the data protection contact the same day. Do not try to fix it quietly. The service has to assess it, and may have to notify the Data Protection Commission (GDPR Article 33).</t>
        </is>
      </c>
      <c r="M332" s="224" t="inlineStr">
        <is>
          <t>Working on an identifiable draft report on a personal laptop because the service device was slow.</t>
        </is>
      </c>
      <c r="N332" s="165" t="inlineStr">
        <is>
          <t>→ Feeds into 'Learn the records, IT and information governance policy', 'Record consent, contacts and decisions', and 6. Ethical Practice.</t>
        </is>
      </c>
      <c r="O332" s="225" t="inlineStr">
        <is>
          <t>Not started</t>
        </is>
      </c>
      <c r="P332" s="165" t="inlineStr">
        <is>
          <t>WATCH FOR — where your supervisor keeps protocols between the school and the office, how they send a report to a school or family (secure email, portal, post, by hand), what goes in an email subject line, and what happens to rough notes once they are typed up.</t>
        </is>
      </c>
      <c r="Q332" s="139" t="inlineStr">
        <is>
          <t>Year 1</t>
        </is>
      </c>
      <c r="R332" s="226" t="inlineStr">
        <is>
          <t>26/10/2026</t>
        </is>
      </c>
      <c r="S332" s="226" t="inlineStr">
        <is>
          <t>16/11/2026</t>
        </is>
      </c>
      <c r="T332" s="226" t="inlineStr">
        <is>
          <t>14/12/2026</t>
        </is>
      </c>
      <c r="U332" s="139" t="inlineStr">
        <is>
          <t>Supervision record — records practice reviewed · Log sheet tagged 5. Working with Others and 6. Ethical Practice</t>
        </is>
      </c>
    </row>
    <row r="333" outlineLevel="2" ht="43.5" customHeight="1" s="128">
      <c r="A333" s="220" t="inlineStr">
        <is>
          <t>BLOCK</t>
        </is>
      </c>
      <c r="B333" s="220" t="inlineStr">
        <is>
          <t>5. Working with Others</t>
        </is>
      </c>
      <c r="C333" s="220" t="inlineStr">
        <is>
          <t>Keep case notes to service standard</t>
        </is>
      </c>
      <c r="D333" s="221" t="inlineStr">
        <is>
          <t>Block 2 · Writing defensibly</t>
        </is>
      </c>
      <c r="E333" s="222" t="inlineStr">
        <is>
          <t>Fact separated from opinion, no conjecture, opinion labelled.</t>
        </is>
      </c>
      <c r="F333" s="220" t="inlineStr">
        <is>
          <t>2 hours plus audit · Weeks 3–6</t>
        </is>
      </c>
      <c r="G333" s="220" t="n"/>
      <c r="H333" s="220" t="n"/>
      <c r="I333" s="220" t="n"/>
      <c r="J333" s="220" t="n"/>
      <c r="K333" s="220" t="n"/>
      <c r="L333" s="220" t="n"/>
      <c r="M333" s="222" t="n"/>
      <c r="N333" s="220" t="n"/>
      <c r="O333" s="220" t="n"/>
      <c r="P333" s="220" t="inlineStr">
        <is>
          <t>How you build it: Have one week of notes audited by your supervisor early, while the habit is forming.</t>
        </is>
      </c>
      <c r="Q333" s="220" t="n"/>
      <c r="R333" s="220" t="n"/>
      <c r="S333" s="220" t="n"/>
      <c r="T333" s="220" t="n"/>
      <c r="U333" s="220" t="n"/>
    </row>
    <row r="334" outlineLevel="2" ht="120" customHeight="1" s="128">
      <c r="A334" s="139" t="inlineStr">
        <is>
          <t>MICRO-SKILL</t>
        </is>
      </c>
      <c r="B334" s="139" t="inlineStr">
        <is>
          <t>5. Working with Others</t>
        </is>
      </c>
      <c r="C334" s="139" t="inlineStr">
        <is>
          <t>Keep case notes to service standard</t>
        </is>
      </c>
      <c r="D334" s="139" t="inlineStr">
        <is>
          <t>Block 2 · Writing defensibly</t>
        </is>
      </c>
      <c r="E334" s="223" t="inlineStr">
        <is>
          <t>Separate fact from opinion and label opinion</t>
        </is>
      </c>
      <c r="F334" s="139" t="inlineStr">
        <is>
          <t>PSI Code 1.2.8 · 4.2.5</t>
        </is>
      </c>
      <c r="G334" s="227" t="inlineStr">
        <is>
          <t>'Left his seat four times in twenty minutes' is observation. 'Was not engaged' is inference. The Reference sheet maps PSI Code 1.2.8 as requiring you to avoid conjecture and label opinion clearly; PSI Code 4.2.5 is also mapped — read both clauses in the Code itself. Notes can be disclosed through a subject access request, or read by Tusla or a court. Whoever reads them must be able to tell what you saw, what you were told and by whom, and what you concluded. Inference written as fact cannot be checked by the reader, and you cannot defend it either.</t>
        </is>
      </c>
      <c r="H334" s="165" t="inlineStr">
        <is>
          <t>WATCH FOR — the verbs in your supervisor's notes: 'observed', 'said', 'reported by' against 'appeared', 'in my view', 'suggests'. Notice that every reported statement is attributed to someone: teacher, parent, child or psychologist.
WRITE DOWN — three sentences from an anonymised note, each marked as observed, reported (by whom) or opinion. Note the exact words that give each one away.
ASK AFTERWARDS — 'how do you write down a strong clinical impression without it reading as fact?'</t>
        </is>
      </c>
      <c r="I334" s="165" t="inlineStr">
        <is>
          <t>YOU TAKE — writing the observation section of a note as pure description: the behaviour, how often, how long, where, and what came before and after.
THEY HOLD — the interpretive sentence, and how it is worded and labelled.
WHY THAT SPLIT — plain description is the discipline to learn first. Once you can write a paragraph with no inference leaking into it, adding a labelled opinion is safe, because the reader can see what it rests on.</t>
        </is>
      </c>
      <c r="J334" s="165" t="inlineStr">
        <is>
          <t>YOU RUN IT — write the full note using a visible split, such as 'Observed:', 'Reported by (role):' and 'Psychologist's view:'.
WHAT THEY ARE WATCHING FOR — judgement words ('defiant', 'chaotic home', 'anxious mother') sitting in the factual part, and something a teacher told you written as though you saw it yourself.
STEPPING IN LOOKS LIKE — '"Mum is overprotective" — did you see that, did someone tell you, or is it your reading? Then which heading does it go under?'</t>
        </is>
      </c>
      <c r="K334" s="207" t="inlineStr">
        <is>
          <t>YOU DO IT ALONE — every note separates observed, reported and opinion, names the source of every reported statement, and labels your opinion as yours.
PASS TEST — A reader can tell which is which
EVIDENCE TO FILE — an anonymised extract reviewed in supervision, with the labelling noted in the supervision record. Log against 5. Working with Others and 6. Ethical Practice.
WHAT FAILURE LOOKS LIKE — 'child is anxious about school due to difficulties at home' in a note, with no source and no label, read by the parent after a subject access request.</t>
        </is>
      </c>
      <c r="L334" s="165" t="inlineStr">
        <is>
          <t>YOU CAN TEACH IT — you can explain the three categories (observed, reported by a named person, your labelled opinion) and why a labelled opinion is professional while an unlabelled one is a liability. You can rewrite a peer's sentence to show the difference.
WHEN IT GOES WRONG — a parent disputes a note. Check whether the disputed line was fact or opinion. Do not alter the original entry. Add a dated correction, marked as later, for a factual error. Record the parent's disagreement beside an opinion. Follow the service's procedure for correction requests.</t>
        </is>
      </c>
      <c r="M334" s="224" t="inlineStr">
        <is>
          <t>Writing an interpretation such as 'disengaged' or 'chaotic home' in the factual part of the note without a source or a label.</t>
        </is>
      </c>
      <c r="N334" s="165" t="inlineStr">
        <is>
          <t>→ Feeds into 'Avoid conjecture', into 'Identify where sources converge' in Assessment, and into writing a report the family can read.</t>
        </is>
      </c>
      <c r="O334" s="225" t="inlineStr">
        <is>
          <t>Not started</t>
        </is>
      </c>
      <c r="P334" s="165" t="inlineStr">
        <is>
          <t>WATCH FOR — the verbs in your supervisor's notes: 'observed', 'said', 'reported by' against 'appeared', 'in my view', 'suggests'. Notice that every reported statement is attributed to someone: teacher, parent, child or psychologist.</t>
        </is>
      </c>
      <c r="Q334" s="139" t="inlineStr">
        <is>
          <t>Year 1</t>
        </is>
      </c>
      <c r="R334" s="226" t="inlineStr">
        <is>
          <t>26/10/2026</t>
        </is>
      </c>
      <c r="S334" s="226" t="inlineStr">
        <is>
          <t>16/11/2026</t>
        </is>
      </c>
      <c r="T334" s="226" t="inlineStr">
        <is>
          <t>14/12/2026</t>
        </is>
      </c>
      <c r="U334" s="139" t="inlineStr">
        <is>
          <t>Anonymised extract reviewed in supervision · Appendix 5 · Log sheet tagged 5. Working with Others and 6. Ethical Practice</t>
        </is>
      </c>
    </row>
    <row r="335" outlineLevel="2" ht="120" customHeight="1" s="128">
      <c r="A335" s="139" t="inlineStr">
        <is>
          <t>MICRO-SKILL</t>
        </is>
      </c>
      <c r="B335" s="139" t="inlineStr">
        <is>
          <t>5. Working with Others</t>
        </is>
      </c>
      <c r="C335" s="139" t="inlineStr">
        <is>
          <t>Keep case notes to service standard</t>
        </is>
      </c>
      <c r="D335" s="139" t="inlineStr">
        <is>
          <t>Block 2 · Writing defensibly</t>
        </is>
      </c>
      <c r="E335" s="223" t="inlineStr">
        <is>
          <t>Avoid conjecture</t>
        </is>
      </c>
      <c r="F335" s="139" t="inlineStr">
        <is>
          <t>PSI Code 1.2.8</t>
        </is>
      </c>
      <c r="G335" s="227" t="inlineStr">
        <is>
          <t>Conjecture is a guess written down as if it were evidence: 'probably ADHD', 'likely something going on at home'. It is different from labelled opinion, because it goes beyond anything your evidence supports. PSI Code 1.2.8 is the clause mapped here. A guess about diagnosis in a case note can travel into the school's records, a SENO application or a family's view of their child. It can be disclosed, and it shapes how the next professional reads the child before they have met them.</t>
        </is>
      </c>
      <c r="H335" s="165" t="inlineStr">
        <is>
          <t>WATCH FOR — what your supervisor does with a hunch. Many record it as a question to explore, in the supervision record or a working hypothesis, and never as a conclusion in the case note.
WRITE DOWN — where hypotheses are kept in this service (case note, working paper, supervision record) and the exact wording used for a hypothesis that has not been tested yet.
ASK AFTERWARDS — 'where do you write down a hypothesis you haven't tested yet, and what words do you use?'</t>
        </is>
      </c>
      <c r="I335" s="165" t="inlineStr">
        <is>
          <t>YOU TAKE — writing notes that stop at the evidence, and bringing your hunches to supervision to talk through.
THEY HOLD — deciding whether a hypothesis is strong enough to go on the file as a labelled question for further assessment, and how it is worded.
WHY THAT SPLIT — hunches are useful and should be discussed. The risk is in where they are written down, and your supervisor knows what this service's file can safely carry.</t>
        </is>
      </c>
      <c r="J335" s="165" t="inlineStr">
        <is>
          <t>YOU RUN IT — write notes on your own cases, then reread each one before filing and take out any sentence that goes beyond what you saw, heard or were told.
WHAT THEY ARE WATCHING FOR — diagnostic labels you are not in a position to give ('presents as autistic'), guesses about family life, and words like 'probably', 'likely' and 'seems to be due to'.
STEPPING IN LOOKS LIKE — 'what in this visit would let you write "likely dyslexic"? If nothing, where does that sentence belong?'</t>
        </is>
      </c>
      <c r="K335" s="207" t="inlineStr">
        <is>
          <t>YOU DO IT ALONE — reread every note for conjecture before filing. A hypothesis goes to supervision, or onto the file as a clearly labelled question for further assessment. It never goes in as a finding.
PASS TEST — You did not speculate in the record
EVIDENCE TO FILE — an anonymised before-and-after rewrite discussed in supervision, noted in the supervision record. Log against 5. Working with Others.
WHAT FAILURE LOOKS LIKE — 'possible ASD?' in a note after a single classroom visit, which the school then repeats in a letter home.</t>
        </is>
      </c>
      <c r="L335" s="165" t="inlineStr">
        <is>
          <t>YOU CAN TEACH IT — you can show a peer the difference between observation, labelled opinion that rests on evidence, and conjecture. You can rewrite a guess as a question for assessment, e.g. 'attention across settings to be explored through teacher rating scales and a second observation'.
WHEN IT GOES WRONG — you find a guess on the file. Do not delete it. Add a dated, signed entry marked as a later addition, saying the comment was a hypothesis and not a finding. Tell your supervisor, and follow the service policy on amending records.</t>
        </is>
      </c>
      <c r="M335" s="224" t="inlineStr">
        <is>
          <t>Writing a possible diagnosis into a case note after one visit.</t>
        </is>
      </c>
      <c r="N335" s="165" t="inlineStr">
        <is>
          <t>→ Feeds into 'Separate fact from opinion and label opinion', into Formulation (hypotheses tested, not assumed), and into 'Include a limitations paragraph'.</t>
        </is>
      </c>
      <c r="O335" s="225" t="inlineStr">
        <is>
          <t>Not started</t>
        </is>
      </c>
      <c r="P335" s="165" t="inlineStr">
        <is>
          <t>WATCH FOR — what your supervisor does with a hunch. Many record it as a question to explore, in the supervision record or a working hypothesis, and never as a conclusion in the case note.</t>
        </is>
      </c>
      <c r="Q335" s="139" t="inlineStr">
        <is>
          <t>Year 1</t>
        </is>
      </c>
      <c r="R335" s="226" t="inlineStr">
        <is>
          <t>26/10/2026</t>
        </is>
      </c>
      <c r="S335" s="226" t="inlineStr">
        <is>
          <t>16/11/2026</t>
        </is>
      </c>
      <c r="T335" s="226" t="inlineStr">
        <is>
          <t>14/12/2026</t>
        </is>
      </c>
      <c r="U335" s="139" t="inlineStr">
        <is>
          <t>Before-and-after rewrite in supervision record · Log sheet tagged 5. Working with Others</t>
        </is>
      </c>
    </row>
    <row r="336" outlineLevel="2" ht="43.5" customHeight="1" s="128">
      <c r="A336" s="220" t="inlineStr">
        <is>
          <t>BLOCK</t>
        </is>
      </c>
      <c r="B336" s="220" t="inlineStr">
        <is>
          <t>5. Working with Others</t>
        </is>
      </c>
      <c r="C336" s="220" t="inlineStr">
        <is>
          <t>Keep case notes to service standard</t>
        </is>
      </c>
      <c r="D336" s="221" t="inlineStr">
        <is>
          <t>Block 3 · Writing them at all</t>
        </is>
      </c>
      <c r="E336" s="222" t="inlineStr">
        <is>
          <t>The discipline of same-day recording.</t>
        </is>
      </c>
      <c r="F336" s="220" t="inlineStr">
        <is>
          <t>Habit · Weeks 1–2</t>
        </is>
      </c>
      <c r="G336" s="220" t="n"/>
      <c r="H336" s="220" t="n"/>
      <c r="I336" s="220" t="n"/>
      <c r="J336" s="220" t="n"/>
      <c r="K336" s="220" t="n"/>
      <c r="L336" s="220" t="n"/>
      <c r="M336" s="222" t="n"/>
      <c r="N336" s="220" t="n"/>
      <c r="O336" s="220" t="n"/>
      <c r="P336" s="220" t="inlineStr">
        <is>
          <t>How you build it: Block fifteen minutes after every contact. Defend it.</t>
        </is>
      </c>
      <c r="Q336" s="220" t="n"/>
      <c r="R336" s="220" t="n"/>
      <c r="S336" s="220" t="n"/>
      <c r="T336" s="220" t="n"/>
      <c r="U336" s="220" t="n"/>
    </row>
    <row r="337" outlineLevel="2" ht="120" customHeight="1" s="128">
      <c r="A337" s="139" t="inlineStr">
        <is>
          <t>MICRO-SKILL</t>
        </is>
      </c>
      <c r="B337" s="139" t="inlineStr">
        <is>
          <t>5. Working with Others</t>
        </is>
      </c>
      <c r="C337" s="139" t="inlineStr">
        <is>
          <t>Keep case notes to service standard</t>
        </is>
      </c>
      <c r="D337" s="139" t="inlineStr">
        <is>
          <t>Block 3 · Writing them at all</t>
        </is>
      </c>
      <c r="E337" s="223" t="inlineStr">
        <is>
          <t>Write the same day</t>
        </is>
      </c>
      <c r="F337" s="139" t="inlineStr">
        <is>
          <t>CORU SoP 2.8</t>
        </is>
      </c>
      <c r="G337" s="227" t="inlineStr">
        <is>
          <t>Contemporaneous notes carry weight because they are written at or near the time, before memory starts filling gaps. CORU SoP 2.8 is the standard mapped here. The Reference sheet records that record keeping and the write-up of observations and consultations were named in your review. It says this one habit addresses that more than anything else in the skill. A note written on the day takes minutes. A note rebuilt a week later takes far longer, loses detail, and reads as rebuilt.</t>
        </is>
      </c>
      <c r="H337" s="165" t="inlineStr">
        <is>
          <t>WATCH FOR — when and where your supervisor writes notes: in the car, in the staffroom, in the last slot of the day. Notice roughly how long each one takes, and how they plan a school day to leave room for it.
WRITE DOWN — the gap between contact and note for every note you see written, and the method (typed, dictated, handwritten then typed).
ASK AFTERWARDS — 'what's your rule when a day runs over and you can't write up before you leave?'</t>
        </is>
      </c>
      <c r="I337" s="165" t="inlineStr">
        <is>
          <t>YOU TAKE — writing your own note of every meeting you attend jointly, before you leave the school, and sending it to your supervisor that day.
THEY HOLD — the official note on their cases, and a comparison of your note with theirs.
WHY THAT SPLIT — you build the habit when little rides on it. Comparing the two notes while memory is still fresh shows you exactly what you missed and what you added.</t>
        </is>
      </c>
      <c r="J337" s="165" t="inlineStr">
        <is>
          <t>YOU RUN IT — same-day notes on all your own cases, with your supervisor checking the dates of notes against the dates of contact.
WHAT THEY ARE WATCHING FOR — a Friday batch of the week's notes, and notes dated the day of contact but written later, which misrepresents the record.
STEPPING IN LOOKS LIKE — 'this note is for Tuesday. When did you actually write it? Then that's the date that goes on it.'</t>
        </is>
      </c>
      <c r="K337" s="207" t="inlineStr">
        <is>
          <t>YOU DO IT ALONE — plan every school day with a writing slot after each contact. The Reference sheet suggests eight minutes in the car before you drive off. If same-day truly fails, write it the next working day and record both the contact date and the date written.
PASS TEST — Notes are contemporaneous
EVIDENCE TO FILE — dates on the file, checked by your supervisor, plus a weekly tally in your Log of notes written the same day and later (numbers only, no identifiers). Log against 5. Working with Others.
WHAT FAILURE LOOKS LIKE — five school visits written up from memory on a Sunday evening, each dated as if written on the day.</t>
        </is>
      </c>
      <c r="L337" s="165" t="inlineStr">
        <is>
          <t>YOU CAN TEACH IT — you can explain why contemporaneity matters, both legally and for accuracy, and show a peer how to fit writing time into a rural school-visit day with long drives between schools.
WHEN IT GOES WRONG — you have a backlog. Write the oldest notes first, each with the true date of writing. Tell your supervisor. If the backlog comes from the workload rather than from habit, raise it as a workload issue.</t>
        </is>
      </c>
      <c r="M337" s="224" t="inlineStr">
        <is>
          <t>Writing up a week's notes in one batch and dating them as though they were written on the day.</t>
        </is>
      </c>
      <c r="N337" s="165" t="inlineStr">
        <is>
          <t>→ Feeds into 'Record consent, contacts and decisions', 'Raise workload before it becomes a problem', and the review development area on record keeping.</t>
        </is>
      </c>
      <c r="O337" s="225" t="inlineStr">
        <is>
          <t>Not started</t>
        </is>
      </c>
      <c r="P337" s="165" t="inlineStr">
        <is>
          <t>WATCH FOR — when and where your supervisor writes notes: in the car, in the staffroom, in the last slot of the day. Notice roughly how long each one takes, and how they plan a school day to leave room for it.</t>
        </is>
      </c>
      <c r="Q337" s="139" t="inlineStr">
        <is>
          <t>Year 1</t>
        </is>
      </c>
      <c r="R337" s="226" t="inlineStr">
        <is>
          <t>26/10/2026</t>
        </is>
      </c>
      <c r="S337" s="226" t="inlineStr">
        <is>
          <t>16/11/2026</t>
        </is>
      </c>
      <c r="T337" s="226" t="inlineStr">
        <is>
          <t>14/12/2026</t>
        </is>
      </c>
      <c r="U337" s="139" t="inlineStr">
        <is>
          <t>Dated notes on file · Log tally of same-day notes · Log sheet tagged 5. Working with Others</t>
        </is>
      </c>
    </row>
    <row r="338" outlineLevel="2" ht="120" customHeight="1" s="128">
      <c r="A338" s="139" t="inlineStr">
        <is>
          <t>MICRO-SKILL</t>
        </is>
      </c>
      <c r="B338" s="139" t="inlineStr">
        <is>
          <t>5. Working with Others</t>
        </is>
      </c>
      <c r="C338" s="139" t="inlineStr">
        <is>
          <t>Keep case notes to service standard</t>
        </is>
      </c>
      <c r="D338" s="139" t="inlineStr">
        <is>
          <t>Block 3 · Writing them at all</t>
        </is>
      </c>
      <c r="E338" s="223" t="inlineStr">
        <is>
          <t>Record consent, contacts and decisions</t>
        </is>
      </c>
      <c r="F338" s="139" t="inlineStr">
        <is>
          <t>CORU SoP 1.15</t>
        </is>
      </c>
      <c r="G338" s="227" t="inlineStr">
        <is>
          <t>The file should let anyone rebuild what you did, with whom, when, on what consent, and what was decided. CORU SoP 1.15 is the standard mapped here. The Reference sheet lists 'recording what was discussed but not what was decided' as a common error. In a complaint or review, a file that holds the conversation but not the decision, who owns it and the date leaves the service unable to show what was agreed. It also leaves the school unable to show it did what was agreed.</t>
        </is>
      </c>
      <c r="H338" s="165" t="inlineStr">
        <is>
          <t>WATCH FOR — whether your supervisor keeps a contact log (date, who, how, why) apart from the narrative notes, and how they end every meeting note: the action, who owns it, and the date.
WRITE DOWN — the closing structure they use, e.g. 'Agreed: … / By whom: … / By when: … / Review: …', and how phone calls and emails are logged.
ASK AFTERWARDS — 'when a school says "we never agreed that", what does the file need to show?'</t>
        </is>
      </c>
      <c r="I338" s="165" t="inlineStr">
        <is>
          <t>YOU TAKE — keeping the contact log for a shared case, and drafting the decisions section of each meeting note.
THEY HOLD — confirming decisions with the school and parents, and settling any disagreement about what was agreed.
WHY THAT SPLIT — logging contacts is mechanical and teaches you the rhythm of a case. Confirming decisions with other people is consultation, and a mistake there affects the relationship with the school.</t>
        </is>
      </c>
      <c r="J338" s="165" t="inlineStr">
        <is>
          <t>YOU RUN IT — on your own cases: a consent note of what was explained, every contact logged (phone calls and emails included), and every meeting closed by reading back the decisions, owners and dates to the group before it ends.
WHAT THEY ARE WATCHING FOR — phone calls with parents that never reach the file, and 'discussed next steps' with no step named.
STEPPING IN LOOKS LIKE — 'who is running the reading intervention, from when, and when do we check it?'</t>
        </is>
      </c>
      <c r="K338" s="207" t="inlineStr">
        <is>
          <t>YOU DO IT ALONE — the file shows consent and what was explained, every contact, and every decision with an owner, a date and a review point.
PASS TEST — The file shows what you did and when
EVIDENCE TO FILE — the contact log and meeting notes on the case file, and an anonymised count of contacts in your Log. Log against 5. Working with Others.
WHAT FAILURE LOOKS LIKE — the file shows three school visits but not the phone call in which the parent withdrew consent for a classroom observation.</t>
        </is>
      </c>
      <c r="L338" s="165" t="inlineStr">
        <is>
          <t>YOU CAN TEACH IT — you can set out the minimum a file needs: consent and what was explained, every contact, and each decision with owner, date and review. You can explain why reading decisions back at the end of a meeting prevents most later disputes.
WHEN IT GOES WRONG — you find a contact that was never recorded. Add it now, dated today and marked as a later entry, giving the date of the original contact and why it was missed.</t>
        </is>
      </c>
      <c r="M338" s="224" t="inlineStr">
        <is>
          <t>Recording what was discussed at a meeting but not what was decided, by whom, or by when.</t>
        </is>
      </c>
      <c r="N338" s="165" t="inlineStr">
        <is>
          <t>→ Feeds into 'Record what was explained, not just that consent was given', 'Write recommendations a teacher could act on Monday', and review meetings on the Continuum of Support.</t>
        </is>
      </c>
      <c r="O338" s="225" t="inlineStr">
        <is>
          <t>Not started</t>
        </is>
      </c>
      <c r="P338" s="165" t="inlineStr">
        <is>
          <t>WATCH FOR — whether your supervisor keeps a contact log (date, who, how, why) apart from the narrative notes, and how they end every meeting note: the action, who owns it, and the date.</t>
        </is>
      </c>
      <c r="Q338" s="139" t="inlineStr">
        <is>
          <t>Year 1</t>
        </is>
      </c>
      <c r="R338" s="226" t="inlineStr">
        <is>
          <t>26/10/2026</t>
        </is>
      </c>
      <c r="S338" s="226" t="inlineStr">
        <is>
          <t>16/11/2026</t>
        </is>
      </c>
      <c r="T338" s="226" t="inlineStr">
        <is>
          <t>14/12/2026</t>
        </is>
      </c>
      <c r="U338" s="139" t="inlineStr">
        <is>
          <t>Contact log · meeting notes · Appendix 5 · Log sheet tagged 5. Working with Others</t>
        </is>
      </c>
    </row>
    <row r="339" outlineLevel="2" ht="19.5" customHeight="1" s="128">
      <c r="A339" s="219" t="inlineStr">
        <is>
          <t>MACRO SKILL</t>
        </is>
      </c>
      <c r="B339" s="219" t="inlineStr">
        <is>
          <t>5. Working with Others</t>
        </is>
      </c>
      <c r="C339" s="219" t="inlineStr">
        <is>
          <t>Produce the psychological report to countersigning standard</t>
        </is>
      </c>
      <c r="D339" s="219" t="n"/>
      <c r="E339" s="219" t="inlineStr">
        <is>
          <t>3 blocks · 8 micro-skills</t>
        </is>
      </c>
      <c r="F339" s="219" t="inlineStr">
        <is>
          <t>CORU 5.27 · 3.2 · 5.32</t>
        </is>
      </c>
      <c r="G339" s="219" t="n"/>
      <c r="H339" s="219" t="n"/>
      <c r="I339" s="219" t="n"/>
      <c r="J339" s="219" t="n"/>
      <c r="K339" s="219" t="n"/>
      <c r="L339" s="219" t="n"/>
      <c r="M339" s="219" t="n"/>
      <c r="N339" s="219" t="n"/>
      <c r="O339" s="219" t="n"/>
      <c r="P339" s="219" t="n"/>
      <c r="Q339" s="219" t="inlineStr">
        <is>
          <t>Year 1</t>
        </is>
      </c>
      <c r="R339" s="219" t="n"/>
      <c r="S339" s="219" t="n"/>
      <c r="T339" s="219" t="n"/>
      <c r="U339" s="219" t="n"/>
    </row>
    <row r="340" outlineLevel="2" ht="43.5" customHeight="1" s="128">
      <c r="A340" s="220" t="inlineStr">
        <is>
          <t>BLOCK</t>
        </is>
      </c>
      <c r="B340" s="220" t="inlineStr">
        <is>
          <t>5. Working with Others</t>
        </is>
      </c>
      <c r="C340" s="220" t="inlineStr">
        <is>
          <t>Produce the psychological report to countersigning standard</t>
        </is>
      </c>
      <c r="D340" s="221" t="inlineStr">
        <is>
          <t>Block 1 · Knowing the template</t>
        </is>
      </c>
      <c r="E340" s="222" t="inlineStr">
        <is>
          <t>This service's structure and what belongs in each section.</t>
        </is>
      </c>
      <c r="F340" s="220" t="inlineStr">
        <is>
          <t>3–4 hours, once · Weeks 1–2</t>
        </is>
      </c>
      <c r="G340" s="220" t="n"/>
      <c r="H340" s="220" t="n"/>
      <c r="I340" s="220" t="n"/>
      <c r="J340" s="220" t="n"/>
      <c r="K340" s="220" t="n"/>
      <c r="L340" s="220" t="n"/>
      <c r="M340" s="222" t="n"/>
      <c r="N340" s="220" t="n"/>
      <c r="O340" s="220" t="n"/>
      <c r="P340" s="220" t="inlineStr">
        <is>
          <t>How you build it: Read five reports by experienced EPs in this service before writing your first.</t>
        </is>
      </c>
      <c r="Q340" s="220" t="n"/>
      <c r="R340" s="220" t="n"/>
      <c r="S340" s="220" t="n"/>
      <c r="T340" s="220" t="n"/>
      <c r="U340" s="220" t="n"/>
    </row>
    <row r="341" outlineLevel="2" ht="120" customHeight="1" s="128">
      <c r="A341" s="139" t="inlineStr">
        <is>
          <t>MICRO-SKILL</t>
        </is>
      </c>
      <c r="B341" s="139" t="inlineStr">
        <is>
          <t>5. Working with Others</t>
        </is>
      </c>
      <c r="C341" s="139" t="inlineStr">
        <is>
          <t>Produce the psychological report to countersigning standard</t>
        </is>
      </c>
      <c r="D341" s="139" t="inlineStr">
        <is>
          <t>Block 1 · Knowing the template</t>
        </is>
      </c>
      <c r="E341" s="223" t="inlineStr">
        <is>
          <t>Know the countersigning standard before drafting</t>
        </is>
      </c>
      <c r="F341" s="139" t="inlineStr">
        <is>
          <t>CORU SoP 2.10</t>
        </is>
      </c>
      <c r="G341" s="227" t="inlineStr">
        <is>
          <t>Countersigning means your supervisor puts their name to your report. The Reference sheet calls that a higher bar than 'accurate', because they are staking their registration on your reasoning. Each supervisor and service has a standard: template version, section order, how scores are reported, what goes in an appendix, what is sent with the draft, and turnaround. CORU SoP 2.10 is mapped here. The Reference sheet points to NEPS templates and house style. Ask for the current version rather than reusing Roscommon's. Finding the standard out from a returned draft wastes a draft and a week.</t>
        </is>
      </c>
      <c r="H341" s="165" t="inlineStr">
        <is>
          <t>WATCH FOR — ask for two or three recent anonymised reports your supervisor wrote or countersigned. Look at section order, length, how scores and confidence intervals are shown, whether raw scores appear, and how recommendations are laid out.
WRITE DOWN — a one-page house-standard checklist: template version, headings, score conventions, what goes with the draft (raw data, scoring), and the expected turnaround.
ASK AFTERWARDS — 'what makes you send a trainee's draft back unread, rather than edit it?'</t>
        </is>
      </c>
      <c r="I341" s="165" t="inlineStr">
        <is>
          <t>YOU TAKE — drafting the house-standard checklist and bringing it to supervision in the first week in Cavan.
THEY HOLD — the standard itself, and any exceptions for particular cases, referrers or report types.
WHY THAT SPLIT — you can only aim at a standard you can see. Writing it down makes your supervisor's unspoken expectations explicit, and gives you both something to point to when a draft comes back.</t>
        </is>
      </c>
      <c r="J341" s="165" t="inlineStr">
        <is>
          <t>YOU RUN IT — before each draft, say the standard back to your supervisor: template, length, main reader, due date, and what you will send with it.
WHAT THEY ARE WATCHING FOR — assuming the Roscommon template or a university assignment format applies, and starting to draft before asking.
STEPPING IN LOOKS LIKE — 'before you start: what is this one for, who reads it first, and when do I get it?'</t>
        </is>
      </c>
      <c r="K341" s="207" t="inlineStr">
        <is>
          <t>YOU DO IT ALONE — ask for the standard at the start of every placement and with every new supervisor, keep the checklist, and draft to it.
PASS TEST — You asked at the start
EVIDENCE TO FILE — the checklist (no identifiers) with the Placement Plan, and the supervision record of the conversation. Log against 5. Working with Others.
WHAT FAILURE LOOKS LIKE — a first draft in the wrong template, with scores reported differently from the service's convention, returned before the reasoning was even read.</t>
        </is>
      </c>
      <c r="L341" s="165" t="inlineStr">
        <is>
          <t>YOU CAN TEACH IT — you can explain why countersigning is a higher bar than accuracy, and give a new trainee the questions to ask a supervisor in week one.
WHEN IT GOES WRONG — two psychologists you work with hold different standards. Name it in supervision and agree which applies to which case. Do not blend the two into a report that meets neither.</t>
        </is>
      </c>
      <c r="M341" s="224" t="inlineStr">
        <is>
          <t>Drafting the first report of a placement in the previous service's template without asking.</t>
        </is>
      </c>
      <c r="N341" s="165" t="inlineStr">
        <is>
          <t>→ Feeds into 'Proofread against the service template', every other report micro-skill, and the Cavan Placement Plan.</t>
        </is>
      </c>
      <c r="O341" s="225" t="inlineStr">
        <is>
          <t>Not started</t>
        </is>
      </c>
      <c r="P341" s="165" t="inlineStr">
        <is>
          <t>WATCH FOR — ask for two or three recent anonymised reports your supervisor wrote or countersigned. Look at section order, length, how scores and confidence intervals are shown, whether raw scores appear, and how recommendations are laid out.</t>
        </is>
      </c>
      <c r="Q341" s="139" t="inlineStr">
        <is>
          <t>Year 1</t>
        </is>
      </c>
      <c r="R341" s="226" t="inlineStr">
        <is>
          <t>26/10/2026</t>
        </is>
      </c>
      <c r="S341" s="226" t="inlineStr">
        <is>
          <t>16/11/2026</t>
        </is>
      </c>
      <c r="T341" s="226" t="inlineStr">
        <is>
          <t>14/12/2026</t>
        </is>
      </c>
      <c r="U341" s="139" t="inlineStr">
        <is>
          <t>House-standard checklist with Placement Plan · supervision record · Log sheet tagged 5. Working with Others</t>
        </is>
      </c>
    </row>
    <row r="342" outlineLevel="2" ht="120" customHeight="1" s="128">
      <c r="A342" s="139" t="inlineStr">
        <is>
          <t>MICRO-SKILL</t>
        </is>
      </c>
      <c r="B342" s="139" t="inlineStr">
        <is>
          <t>5. Working with Others</t>
        </is>
      </c>
      <c r="C342" s="139" t="inlineStr">
        <is>
          <t>Produce the psychological report to countersigning standard</t>
        </is>
      </c>
      <c r="D342" s="139" t="inlineStr">
        <is>
          <t>Block 1 · Knowing the template</t>
        </is>
      </c>
      <c r="E342" s="223" t="inlineStr">
        <is>
          <t>Proofread against the service template</t>
        </is>
      </c>
      <c r="F342" s="139" t="inlineStr">
        <is>
          <t>CORU SoP 2.8</t>
        </is>
      </c>
      <c r="G342" s="227" t="inlineStr">
        <is>
          <t>Most errors a supervisor catches are not reasoning errors. They are another child's name left over from a previous report, a score copied wrongly from the record form, a percentile that does not match the standard score, the wrong pronoun, or the wrong age at testing. A parent who spots one stops trusting the whole report, and a wrong score can change what a school or SENO does. CORU SoP 2.8 is the standard mapped here. Proofreading is a method, not a final skim.</t>
        </is>
      </c>
      <c r="H342" s="165" t="inlineStr">
        <is>
          <t>WATCH FOR — how your supervisor checks a report before it leaves: whether they check every score against the protocol, check names and dates in a separate pass, or read it aloud.
WRITE DOWN — their checking sequence as a numbered list, and which classification descriptors the service uses for each test.
ASK AFTERWARDS — 'what's the worst error you've seen reach a family, and how was it caught?'</t>
        </is>
      </c>
      <c r="I342" s="165" t="inlineStr">
        <is>
          <t>YOU TAKE — a score-by-score check of one of your supervisor's draft reports against the record forms and scoring output, before they send it.
THEY HOLD — sign-off, and the decision on any discrepancy you find.
WHY THAT SPLIT — checking someone else's report trains your eye. You are not blind to text you did not write, the way every author is to their own.</t>
        </is>
      </c>
      <c r="J342" s="165" t="inlineStr">
        <is>
          <t>YOU RUN IT — proofread your own draft in separate passes: (1) names, pronouns, date of birth, age at testing, school, class; (2) every score, confidence interval, percentile and descriptor against the protocol; (3) template headings and order; (4) read aloud for sense.
WHAT THEY ARE WATCHING FOR — a previous report reused as a starting point (the usual source of wrong names), and descriptors taken from a different test's classification system.
STEPPING IN LOOKS LIKE — 'your text says "average" but the table says 78. Which test's descriptors are you using?'</t>
        </is>
      </c>
      <c r="K342" s="207" t="inlineStr">
        <is>
          <t>YOU DO IT ALONE — every draft goes to your supervisor already checked in separate passes against the protocols and the template, with raw data and scoring attached.
PASS TEST — No score or name errors
EVIDENCE TO FILE — your supervisor's feedback on the draft, and your proofreading checklist. Log against 5. Working with Others and 1. Assessment.
WHAT FAILURE LOOKS LIKE — a report reaches a family with another child's first name in paragraph four.</t>
        </is>
      </c>
      <c r="L342" s="165" t="inlineStr">
        <is>
          <t>YOU CAN TEACH IT — you can show a peer the multi-pass method, and explain why scores are checked against the protocol, not against your own earlier table, which may already hold the error.
WHEN IT GOES WRONG — an error is found after the report is issued. Tell your supervisor at once. Issue a corrected version marked as corrected, dated, with the reason, as the service policy says. If personal data went to the wrong person, treat it as a possible data breach.</t>
        </is>
      </c>
      <c r="M342" s="224" t="inlineStr">
        <is>
          <t>Building a new report from an old one and leaving the previous child's name in the text.</t>
        </is>
      </c>
      <c r="N342" s="165" t="inlineStr">
        <is>
          <t>→ Feeds into 'Score the phonological composites correctly', 'Store and transfer records lawfully', and requiring only house-style edits (Reference sheet grade 5).</t>
        </is>
      </c>
      <c r="O342" s="225" t="inlineStr">
        <is>
          <t>Not started</t>
        </is>
      </c>
      <c r="P342" s="165" t="inlineStr">
        <is>
          <t>WATCH FOR — how your supervisor checks a report before it leaves: whether they check every score against the protocol, check names and dates in a separate pass, or read it aloud.</t>
        </is>
      </c>
      <c r="Q342" s="139" t="inlineStr">
        <is>
          <t>Year 1</t>
        </is>
      </c>
      <c r="R342" s="226" t="inlineStr">
        <is>
          <t>26/10/2026</t>
        </is>
      </c>
      <c r="S342" s="226" t="inlineStr">
        <is>
          <t>16/11/2026</t>
        </is>
      </c>
      <c r="T342" s="226" t="inlineStr">
        <is>
          <t>14/12/2026</t>
        </is>
      </c>
      <c r="U342" s="139" t="inlineStr">
        <is>
          <t>Supervisor feedback on draft · proofreading checklist · Log sheet tagged 5. Working with Others and 1. Assessment</t>
        </is>
      </c>
    </row>
    <row r="343" outlineLevel="2" ht="43.5" customHeight="1" s="128">
      <c r="A343" s="220" t="inlineStr">
        <is>
          <t>BLOCK</t>
        </is>
      </c>
      <c r="B343" s="220" t="inlineStr">
        <is>
          <t>5. Working with Others</t>
        </is>
      </c>
      <c r="C343" s="220" t="inlineStr">
        <is>
          <t>Produce the psychological report to countersigning standard</t>
        </is>
      </c>
      <c r="D343" s="221" t="inlineStr">
        <is>
          <t>Block 2 · The four sections that carry the marks</t>
        </is>
      </c>
      <c r="E343" s="222" t="inlineStr">
        <is>
          <t>Tool rationale, integration, formulation, limitations.</t>
        </is>
      </c>
      <c r="F343" s="220" t="inlineStr">
        <is>
          <t>Ongoing · 2–3 hours per report initially · Weeks 7–12</t>
        </is>
      </c>
      <c r="G343" s="220" t="n"/>
      <c r="H343" s="220" t="n"/>
      <c r="I343" s="220" t="n"/>
      <c r="J343" s="220" t="n"/>
      <c r="K343" s="220" t="n"/>
      <c r="L343" s="220" t="n"/>
      <c r="M343" s="222" t="n"/>
      <c r="N343" s="220" t="n"/>
      <c r="O343" s="220" t="n"/>
      <c r="P343" s="220" t="inlineStr">
        <is>
          <t>How you build it: Draft each separately and have each critiqued once.</t>
        </is>
      </c>
      <c r="Q343" s="220" t="n"/>
      <c r="R343" s="220" t="n"/>
      <c r="S343" s="220" t="n"/>
      <c r="T343" s="220" t="n"/>
      <c r="U343" s="220" t="n"/>
    </row>
    <row r="344" outlineLevel="2" ht="120" customHeight="1" s="128">
      <c r="A344" s="139" t="inlineStr">
        <is>
          <t>MICRO-SKILL</t>
        </is>
      </c>
      <c r="B344" s="139" t="inlineStr">
        <is>
          <t>5. Working with Others</t>
        </is>
      </c>
      <c r="C344" s="139" t="inlineStr">
        <is>
          <t>Produce the psychological report to countersigning standard</t>
        </is>
      </c>
      <c r="D344" s="139" t="inlineStr">
        <is>
          <t>Block 2 · The four sections that carry the marks</t>
        </is>
      </c>
      <c r="E344" s="223" t="inlineStr">
        <is>
          <t>Include a tool rationale</t>
        </is>
      </c>
      <c r="F344" s="139" t="inlineStr">
        <is>
          <t>CORU SoP 3.2</t>
        </is>
      </c>
      <c r="G344" s="227" t="inlineStr">
        <is>
          <t>The reader needs to know why these tools were chosen for this referral question, not only which were used. A rationale shows the assessment was planned from the question rather than run as a default battery. It also lets a later psychologist judge what the results can and cannot answer. CORU SoP 3.2 is the standard mapped here. Without a rationale, a report that used a cognitive battery for a question about peer relationships has no defence.</t>
        </is>
      </c>
      <c r="H344" s="165" t="inlineStr">
        <is>
          <t>WATCH FOR — whether your supervisor's reports explain why each tool was chosen, and how: one line per tool, or a paragraph linking tools to hypotheses.
WRITE DOWN — the chain they use: referral question → hypothesis → tool → what the result could tell us. Note also where they explain choosing not to use a tool.
ASK AFTERWARDS — 'when do you decide not to do a cognitive assessment, and how do you explain that to the school?'</t>
        </is>
      </c>
      <c r="I344" s="165" t="inlineStr">
        <is>
          <t>YOU TAKE — drafting a rationale table for a shared case: each tool, the question or hypothesis it addresses, whether its age norms fit, and any limitation for this child (language, sensory, cultural).
THEY HOLD — the choice of tools, and whether each is within your agreed competence.
WHY THAT SPLIT — writing the rationale shows whether you understand why the tools were chosen. The choice itself has consequences, and competence levels, that you do not yet carry.</t>
        </is>
      </c>
      <c r="J344" s="165" t="inlineStr">
        <is>
          <t>YOU RUN IT — choose the tools for your own case, write the rationale before you administer anything, and defend it in supervision.
WHAT THEY ARE WATCHING FOR — a rationale written after the fact to justify a default battery; tools named with no link to the question; norms that may not fit the child. Check the manual's norm sample rather than assuming.
STEPPING IN LOOKS LIKE — 'which hypothesis does this subtest test? What would you conclude if it came out average?'</t>
        </is>
      </c>
      <c r="K344" s="207" t="inlineStr">
        <is>
          <t>YOU DO IT ALONE — the report states, for every tool, why it was used for this question, plus any reason its results should be read with caution for this child.
PASS TEST — It is there
EVIDENCE TO FILE — the rationale section of the report, named in your Appendix 5 entry. Log against 5. Working with Others and 1. Assessment.
WHAT FAILURE LOOKS LIKE — an 'assessments administered' list of five tools with no reason given for any, one of them normed on an age range that does not include the child.</t>
        </is>
      </c>
      <c r="L344" s="165" t="inlineStr">
        <is>
          <t>YOU CAN TEACH IT — you can explain the hypothesis-testing logic of choosing tools (Sattler, 2018, report-writing chapters; read the source for detail) and show a peer how one referral question leads to a short battery.
WHEN IT GOES WRONG — you realise after administering that a tool was the wrong fit. Say so in the rationale and the limitations, give its results less weight, and do not build conclusions on them.</t>
        </is>
      </c>
      <c r="M344" s="224" t="inlineStr">
        <is>
          <t>Listing the tools administered with no reason linking any of them to the referral question.</t>
        </is>
      </c>
      <c r="N344" s="165" t="inlineStr">
        <is>
          <t>→ Feeds into 'Know your publisher competence level for every tool', 'Include a limitations paragraph', and 'Judge which source to weight and why'.</t>
        </is>
      </c>
      <c r="O344" s="225" t="inlineStr">
        <is>
          <t>Not started</t>
        </is>
      </c>
      <c r="P344" s="165" t="inlineStr">
        <is>
          <t>WATCH FOR — whether your supervisor's reports explain why each tool was chosen, and how: one line per tool, or a paragraph linking tools to hypotheses.</t>
        </is>
      </c>
      <c r="Q344" s="139" t="inlineStr">
        <is>
          <t>Year 1</t>
        </is>
      </c>
      <c r="R344" s="226" t="inlineStr">
        <is>
          <t>26/10/2026</t>
        </is>
      </c>
      <c r="S344" s="226" t="inlineStr">
        <is>
          <t>16/11/2026</t>
        </is>
      </c>
      <c r="T344" s="226" t="inlineStr">
        <is>
          <t>14/12/2026</t>
        </is>
      </c>
      <c r="U344" s="139" t="inlineStr">
        <is>
          <t>Report — rationale section · Appendix 5 · Log sheet tagged 5. Working with Others and 1. Assessment</t>
        </is>
      </c>
    </row>
    <row r="345" outlineLevel="2" ht="120" customHeight="1" s="128">
      <c r="A345" s="139" t="inlineStr">
        <is>
          <t>MICRO-SKILL</t>
        </is>
      </c>
      <c r="B345" s="139" t="inlineStr">
        <is>
          <t>5. Working with Others</t>
        </is>
      </c>
      <c r="C345" s="139" t="inlineStr">
        <is>
          <t>Produce the psychological report to countersigning standard</t>
        </is>
      </c>
      <c r="D345" s="139" t="inlineStr">
        <is>
          <t>Block 2 · The four sections that carry the marks</t>
        </is>
      </c>
      <c r="E345" s="223" t="inlineStr">
        <is>
          <t>Include an integration section</t>
        </is>
      </c>
      <c r="F345" s="139" t="inlineStr">
        <is>
          <t>CORU SoP 5.27 · 5.32</t>
        </is>
      </c>
      <c r="G345" s="227" t="inlineStr">
        <is>
          <t>The Reference sheet puts it plainly. The findings section can be organised by source, but the formulation cannot. It must name where sources agree, where they conflict, and what you make of the conflict, and this is the biggest single difference between a grade 3 and a grade 5 report. Report-writing texts agree: organise the synthesis by theme or question, not by instrument (Lichtenberger, Mather, Kaufman &amp; Kaufman, 2004). CORU SoP 5.27 and 5.32 are mapped here. Without integration, your supervisor cannot see your reasoning, so cannot countersign it.</t>
        </is>
      </c>
      <c r="H345" s="165" t="inlineStr">
        <is>
          <t>WATCH FOR — in your supervisor's reports, where the findings end and the integration begins, and whether each integration paragraph draws on more than one source.
WRITE DOWN — the paragraph pattern: a claim about the child → evidence from two or more sources → any conflict named → what it means for the referral question.
ASK AFTERWARDS — 'when your test results and the teacher's account point opposite ways, how do you write that so the family doesn't feel disbelieved?'</t>
        </is>
      </c>
      <c r="I345" s="165" t="inlineStr">
        <is>
          <t>YOU TAKE — drafting the integration section of a shared case, working from the source-by-domain grid you built in Assessment.
THEY HOLD — the conclusions, and the wording of any conflict between a parent's account and a teacher's.
WHY THAT SPLIT — drafting integration is where you find out whether you understood the case. Wording conflict between people the family knows has consequences for relationships your supervisor holds.</t>
        </is>
      </c>
      <c r="J345" s="165" t="inlineStr">
        <is>
          <t>YOU RUN IT — write the integration section for your own case. Your supervisor reads it on its own, without the findings, to see if it stands.
WHAT THEY ARE WATCHING FOR — the findings repeated in the order collected, joined by 'furthermore'; conflicting evidence quietly dropped; paragraphs that open with a test name.
STEPPING IN LOOKS LIKE — 'cover the findings section. Does this still tell me what you think is going on, and why?'</t>
        </is>
      </c>
      <c r="K345" s="207" t="inlineStr">
        <is>
          <t>YOU DO IT ALONE — the report has an integration section organised by question or theme, where each paragraph makes a claim, cites more than one source, and names any conflict.
PASS TEST — Not a list of tests
EVIDENCE TO FILE — the report, with the integration section named in your Appendix 5 entry. Log against 5. Working with Others and 1. Assessment.
WHAT FAILURE LOOKS LIKE — a section headed 'Integration' that repeats the index scores in the order the subtests were given.</t>
        </is>
      </c>
      <c r="L345" s="165" t="inlineStr">
        <is>
          <t>YOU CAN TEACH IT — you can explain the difference between findings and integration, and take a peer's test-by-test summary through a rewrite into claim-first paragraphs.
WHEN IT GOES WRONG — the sources will not integrate. Say so. Name the competing readings, say which evidence supports each, and state what further information would decide between them.</t>
        </is>
      </c>
      <c r="M345" s="224" t="inlineStr">
        <is>
          <t>An integration section that lists findings in the order they were collected.</t>
        </is>
      </c>
      <c r="N345" s="165" t="inlineStr">
        <is>
          <t>→ Feeds into 'Name the framework in the formulation', 'Write recommendations a teacher could act on Monday', and 'Identify where sources diverge and say so'.</t>
        </is>
      </c>
      <c r="O345" s="225" t="inlineStr">
        <is>
          <t>Not started</t>
        </is>
      </c>
      <c r="P345" s="165" t="inlineStr">
        <is>
          <t>WATCH FOR — in your supervisor's reports, where the findings end and the integration begins, and whether each integration paragraph draws on more than one source.</t>
        </is>
      </c>
      <c r="Q345" s="139" t="inlineStr">
        <is>
          <t>Year 1</t>
        </is>
      </c>
      <c r="R345" s="226" t="inlineStr">
        <is>
          <t>26/10/2026</t>
        </is>
      </c>
      <c r="S345" s="226" t="inlineStr">
        <is>
          <t>16/11/2026</t>
        </is>
      </c>
      <c r="T345" s="226" t="inlineStr">
        <is>
          <t>14/12/2026</t>
        </is>
      </c>
      <c r="U345" s="139" t="inlineStr">
        <is>
          <t>Report — integration section · Appendix 5 · Log sheet tagged 5. Working with Others and 1. Assessment</t>
        </is>
      </c>
    </row>
    <row r="346" outlineLevel="2" ht="120" customHeight="1" s="128">
      <c r="A346" s="139" t="inlineStr">
        <is>
          <t>MICRO-SKILL</t>
        </is>
      </c>
      <c r="B346" s="139" t="inlineStr">
        <is>
          <t>5. Working with Others</t>
        </is>
      </c>
      <c r="C346" s="139" t="inlineStr">
        <is>
          <t>Produce the psychological report to countersigning standard</t>
        </is>
      </c>
      <c r="D346" s="139" t="inlineStr">
        <is>
          <t>Block 2 · The four sections that carry the marks</t>
        </is>
      </c>
      <c r="E346" s="223" t="inlineStr">
        <is>
          <t>Name the framework in the formulation</t>
        </is>
      </c>
      <c r="F346" s="139" t="inlineStr">
        <is>
          <t>CORU SoP 5.29</t>
        </is>
      </c>
      <c r="G346" s="227" t="inlineStr">
        <is>
          <t>A formulation without a named framework is the author's intuition, and the reader cannot check it. Naming the framework tells the reader how the evidence was organised and what kind of explanation to expect. The Reference sheet's reading for this macro is the problem-analysis framework (Monsen &amp; Frederickson, 2008, as cited there; the original is Monsen, Graham, Frederickson &amp; Cameron, 1998, Educational Psychology in Practice — check the citation before using it). CORU SoP 5.29 is mapped here. Grade 4 on the Reference sheet requires a named framework.</t>
        </is>
      </c>
      <c r="H346" s="165" t="inlineStr">
        <is>
          <t>WATCH FOR — whether your supervisor names a framework in the formulation, where it appears (a heading, the first sentence, a citation), and whether the paragraphs follow its structure.
WRITE DOWN — the framework used in each report you read, the citation, and one sentence on why it fitted that case.
ASK AFTERWARDS — 'do you name the framework even in a short report? Do schools and parents notice?'</t>
        </is>
      </c>
      <c r="I346" s="165" t="inlineStr">
        <is>
          <t>YOU TAKE — proposing a framework for a shared case with one line of reasoning, and drafting the formulation under its headings.
THEY HOLD — whether the framework fits, and the final formulation.
WHY THAT SPLIT — proposing and drafting show whether you can use a framework or can only name it. Whether it truly fits the case is a judgement your supervisor models first.</t>
        </is>
      </c>
      <c r="J346" s="165" t="inlineStr">
        <is>
          <t>YOU RUN IT — choose, name and cite the framework in your own report, and write the formulation using its steps.
WHAT THEY ARE WATCHING FOR — a framework named in the first sentence and then ignored, so the paragraphs still follow the order of the tests, or a citation copied from someone else's report without being read.
STEPPING IN LOOKS LIKE — 'you've named problem analysis. Show me where in this section the problem is defined and the hypotheses are tested.'</t>
        </is>
      </c>
      <c r="K346" s="207" t="inlineStr">
        <is>
          <t>YOU DO IT ALONE — the formulation names a framework, cites it in APA style in the text and the reference list, and follows its structure.
PASS TEST — Named and cited
EVIDENCE TO FILE — the formulation section of the report, named in your Appendix 5 entry. Log against 5. Working with Others and 2. Formulation.
WHAT FAILURE LOOKS LIKE — 'using an interactive factors approach' in one line, with no citation and nothing afterwards that follows the approach.</t>
        </is>
      </c>
      <c r="L346" s="165" t="inlineStr">
        <is>
          <t>YOU CAN TEACH IT — you can explain what naming a framework gives the reader, and show a peer how the same evidence reads differently under two frameworks named in the UCD Handbook.
WHEN IT GOES WRONG — halfway through, the framework does not fit the case. Say so in supervision, switch deliberately, and name the change rather than blending two frameworks without saying so.</t>
        </is>
      </c>
      <c r="M346" s="224" t="inlineStr">
        <is>
          <t>Naming a framework in the formulation and then writing a formulation that does not follow it.</t>
        </is>
      </c>
      <c r="N346" s="165" t="inlineStr">
        <is>
          <t>→ Feeds into 'Name and cite it in the report' and 'Use the framework's own structure' in Formulation, and into 'Include a limitations paragraph'.</t>
        </is>
      </c>
      <c r="O346" s="225" t="inlineStr">
        <is>
          <t>Not started</t>
        </is>
      </c>
      <c r="P346" s="165" t="inlineStr">
        <is>
          <t>WATCH FOR — whether your supervisor names a framework in the formulation, where it appears (a heading, the first sentence, a citation), and whether the paragraphs follow its structure.</t>
        </is>
      </c>
      <c r="Q346" s="139" t="inlineStr">
        <is>
          <t>Year 1</t>
        </is>
      </c>
      <c r="R346" s="226" t="inlineStr">
        <is>
          <t>26/10/2026</t>
        </is>
      </c>
      <c r="S346" s="226" t="inlineStr">
        <is>
          <t>16/11/2026</t>
        </is>
      </c>
      <c r="T346" s="226" t="inlineStr">
        <is>
          <t>14/12/2026</t>
        </is>
      </c>
      <c r="U346" s="139" t="inlineStr">
        <is>
          <t>Report — formulation section · Appendix 5 · Log sheet tagged 5. Working with Others and 2. Formulation</t>
        </is>
      </c>
    </row>
    <row r="347" outlineLevel="2" ht="120" customHeight="1" s="128">
      <c r="A347" s="139" t="inlineStr">
        <is>
          <t>MICRO-SKILL</t>
        </is>
      </c>
      <c r="B347" s="139" t="inlineStr">
        <is>
          <t>5. Working with Others</t>
        </is>
      </c>
      <c r="C347" s="139" t="inlineStr">
        <is>
          <t>Produce the psychological report to countersigning standard</t>
        </is>
      </c>
      <c r="D347" s="139" t="inlineStr">
        <is>
          <t>Block 2 · The four sections that carry the marks</t>
        </is>
      </c>
      <c r="E347" s="223" t="inlineStr">
        <is>
          <t>Include a limitations paragraph</t>
        </is>
      </c>
      <c r="F347" s="139" t="inlineStr">
        <is>
          <t>PSI Code 2.3.1</t>
        </is>
      </c>
      <c r="G347" s="227" t="inlineStr">
        <is>
          <t>The Reference sheet is blunt: a report with no limitations section is not at countersigning standard. The limitations must be specific. Not 'all assessment has limitations', but, for example, that a test was given in the child's second language, so the verbal index is likely to underestimate their reasoning. PSI Code 2.3.1 is the clause mapped here. Specific limitations show competence. A generic paragraph shows a template, and a supervisor putting their name to the report will notice.</t>
        </is>
      </c>
      <c r="H347" s="165" t="inlineStr">
        <is>
          <t>WATCH FOR — the limitations paragraph in each of your supervisor's reports: its position, its length, and whether each point is tied to this child and this assessment.
WRITE DOWN — every limitation named across three reports, sorted into types: language, attention or fatigue on the day, a missing informant, norms, a single observation, a tool adapted from standard procedure.
ASK AFTERWARDS — 'which limitation do you most often see missed in trainee reports?'</t>
        </is>
      </c>
      <c r="I347" s="165" t="inlineStr">
        <is>
          <t>YOU TAKE — drafting the limitations paragraph for a shared case from your session notes, the adaptation record and your list of sources not reached.
THEY HOLD — the final wording, and how strongly each limitation should qualify the conclusions.
WHY THAT SPLIT — collecting limitations is systematic work you can do. Judging how much each one weakens a conclusion is a skill your supervisor demonstrates first.</t>
        </is>
      </c>
      <c r="J347" s="165" t="inlineStr">
        <is>
          <t>YOU RUN IT — write the limitations paragraph for your own report and link each limitation to the conclusion it affects.
WHAT THEY ARE WATCHING FOR — a paragraph copied from the last report, and limitations stated but never linked to the conclusions they weaken.
STEPPING IN LOOKS LIKE — 'you say the teacher form wasn't returned. Which conclusion does that make less certain?'</t>
        </is>
      </c>
      <c r="K347" s="207" t="inlineStr">
        <is>
          <t>YOU DO IT ALONE — every report has a limitations paragraph, specific to this child and this assessment, with each limitation linked to the conclusion it affects.
PASS TEST — Every report, no exceptions
EVIDENCE TO FILE — the reports, and a running tally in your Log of reports with a specific limitations paragraph (numbers only). Log against 5. Working with Others and 6. Ethical Practice.
WHAT FAILURE LOOKS LIKE — 'the results should be interpreted with caution' as the whole paragraph, word for word as in your last three reports.</t>
        </is>
      </c>
      <c r="L347" s="165" t="inlineStr">
        <is>
          <t>YOU CAN TEACH IT — you can take the Reference sheet's second-language example and show a peer how to turn a generic caution into a specific one, and why that specific version is what makes the conclusions trustworthy.
WHEN IT GOES WRONG — a limitation comes to light after the report is issued. Discuss it with your supervisor and issue a dated addendum if it changes how a conclusion should be read.</t>
        </is>
      </c>
      <c r="M347" s="224" t="inlineStr">
        <is>
          <t>Pasting the same generic caution into every report instead of naming this child's specific limitations.</t>
        </is>
      </c>
      <c r="N347" s="165" t="inlineStr">
        <is>
          <t>→ Feeds into 'Include a limitations paragraph in every report' in Ethical Practice, 'State what you did not assess and what that limits', and 'State the effect on validity in the report'.</t>
        </is>
      </c>
      <c r="O347" s="225" t="inlineStr">
        <is>
          <t>Not started</t>
        </is>
      </c>
      <c r="P347" s="165" t="inlineStr">
        <is>
          <t>WATCH FOR — the limitations paragraph in each of your supervisor's reports: its position, its length, and whether each point is tied to this child and this assessment.</t>
        </is>
      </c>
      <c r="Q347" s="139" t="inlineStr">
        <is>
          <t>Year 1</t>
        </is>
      </c>
      <c r="R347" s="226" t="inlineStr">
        <is>
          <t>26/10/2026</t>
        </is>
      </c>
      <c r="S347" s="226" t="inlineStr">
        <is>
          <t>16/11/2026</t>
        </is>
      </c>
      <c r="T347" s="226" t="inlineStr">
        <is>
          <t>14/12/2026</t>
        </is>
      </c>
      <c r="U347" s="139" t="inlineStr">
        <is>
          <t>Reports · Log tally · Appendix 5 · Log sheet tagged 5. Working with Others and 6. Ethical Practice</t>
        </is>
      </c>
    </row>
    <row r="348" outlineLevel="2" ht="43.5" customHeight="1" s="128">
      <c r="A348" s="220" t="inlineStr">
        <is>
          <t>BLOCK</t>
        </is>
      </c>
      <c r="B348" s="220" t="inlineStr">
        <is>
          <t>5. Working with Others</t>
        </is>
      </c>
      <c r="C348" s="220" t="inlineStr">
        <is>
          <t>Produce the psychological report to countersigning standard</t>
        </is>
      </c>
      <c r="D348" s="221" t="inlineStr">
        <is>
          <t>Block 3 · Writing for use</t>
        </is>
      </c>
      <c r="E348" s="222" t="inlineStr">
        <is>
          <t>Recommendations and language pitched at the person who will act.</t>
        </is>
      </c>
      <c r="F348" s="220" t="inlineStr">
        <is>
          <t>Habit · Weeks 7–12</t>
        </is>
      </c>
      <c r="G348" s="220" t="n"/>
      <c r="H348" s="220" t="n"/>
      <c r="I348" s="220" t="n"/>
      <c r="J348" s="220" t="n"/>
      <c r="K348" s="220" t="n"/>
      <c r="L348" s="220" t="n"/>
      <c r="M348" s="222" t="n"/>
      <c r="N348" s="220" t="n"/>
      <c r="O348" s="220" t="n"/>
      <c r="P348" s="220" t="inlineStr">
        <is>
          <t>How you build it: Read it aloud. Anything you stumble over is badly written.</t>
        </is>
      </c>
      <c r="Q348" s="220" t="n"/>
      <c r="R348" s="220" t="n"/>
      <c r="S348" s="220" t="n"/>
      <c r="T348" s="220" t="n"/>
      <c r="U348" s="220" t="n"/>
    </row>
    <row r="349" outlineLevel="2" ht="120" customHeight="1" s="128">
      <c r="A349" s="139" t="inlineStr">
        <is>
          <t>MICRO-SKILL</t>
        </is>
      </c>
      <c r="B349" s="139" t="inlineStr">
        <is>
          <t>5. Working with Others</t>
        </is>
      </c>
      <c r="C349" s="139" t="inlineStr">
        <is>
          <t>Produce the psychological report to countersigning standard</t>
        </is>
      </c>
      <c r="D349" s="139" t="inlineStr">
        <is>
          <t>Block 3 · Writing for use</t>
        </is>
      </c>
      <c r="E349" s="223" t="inlineStr">
        <is>
          <t>Write recommendations a teacher could act on Monday</t>
        </is>
      </c>
      <c r="F349" s="139" t="inlineStr">
        <is>
          <t>CORU SoP 5.34</t>
        </is>
      </c>
      <c r="G349" s="227" t="inlineStr">
        <is>
          <t>The class teacher's question is 'what do I do on Monday?' (Reference sheet). Recommendations are the part most readers turn to first. The Reference sheet requires them to be addressed to roles and set at a level of the NEPS Continuum of Support (Classroom Support, School Support, School Support Plus). CORU SoP 5.34 is mapped here. A recommendation such as 'provide a structured literacy programme' gives nobody a task, a time or a resource, so it is unlikely to happen, and there is nothing to review.</t>
        </is>
      </c>
      <c r="H349" s="165" t="inlineStr">
        <is>
          <t>WATCH FOR — how your supervisor words recommendations: whether each one names who does it, what exactly, how often, with what resource, from when, and how it will be reviewed. Notice how they link it to the school's Student Support File.
WRITE DOWN — two or three recommendations you think work, and the parts that make them usable.
ASK AFTERWARDS — 'how do you know if a school can actually deliver what you recommend before you write it?'</t>
        </is>
      </c>
      <c r="I349" s="165" t="inlineStr">
        <is>
          <t>YOU TAKE — drafting recommendations for a shared case, grouped by Continuum level and by role (class teacher, special education teacher, parent, child).
THEY HOLD — checking that the school can realistically resource each one, and the final list.
WHY THAT SPLIT — drafting shows whether your recommendations flow from the formulation. Knowing what a particular school can deliver comes from a relationship with that school that your supervisor holds.</t>
        </is>
      </c>
      <c r="J349" s="165" t="inlineStr">
        <is>
          <t>YOU RUN IT — write the recommendations for your own report and test them: give them to the class teacher or a non-psychologist and ask what they would do first.
WHAT THEY ARE WATCHING FOR — jargon, recommendations that do not follow from the formulation, and wish lists no school could resource.
STEPPING IN LOOKS LIKE — 'who does this, how often, starting when, and what does it look like on a Tuesday morning in third class?'</t>
        </is>
      </c>
      <c r="K349" s="207" t="inlineStr">
        <is>
          <t>YOU DO IT ALONE — every recommendation names a role, a specific action, frequency, a resource the school has or can get, a start date and a review point, set at a Continuum level.
PASS TEST — Specific, resourced, dated
EVIDENCE TO FILE — the recommendations section, and a note of the readability test you ran. Log against 5. Working with Others and 3. Intervention.
WHAT FAILURE LOOKS LIKE — 'the school should consider social skills support' in a report, and at review no one can say who was meant to deliver it.</t>
        </is>
      </c>
      <c r="L349" s="165" t="inlineStr">
        <is>
          <t>YOU CAN TEACH IT — you can take a vague recommendation and rebuild it with role, action, frequency, resource, date and review, and explain why the Continuum level matters for the school's planning.
WHEN IT GOES WRONG — at review, a recommendation was not carried out. Find out why (resource, clarity, buy-in) before recommending it again, and rewrite it so it can be delivered.</t>
        </is>
      </c>
      <c r="M349" s="224" t="inlineStr">
        <is>
          <t>Recommendations with no named role, no Continuum level and no date, so nobody owns them and nothing can be reviewed.</t>
        </is>
      </c>
      <c r="N349" s="165" t="inlineStr">
        <is>
          <t>→ Feeds into 'Link the profile to what the school can deliver', Intervention planning, and 'Judge who will read this and what they need'.</t>
        </is>
      </c>
      <c r="O349" s="225" t="inlineStr">
        <is>
          <t>Not started</t>
        </is>
      </c>
      <c r="P349" s="165" t="inlineStr">
        <is>
          <t>WATCH FOR — how your supervisor words recommendations: whether each one names who does it, what exactly, how often, with what resource, from when, and how it will be reviewed. Notice how they link it to the school's Student Support File.</t>
        </is>
      </c>
      <c r="Q349" s="139" t="inlineStr">
        <is>
          <t>Year 1</t>
        </is>
      </c>
      <c r="R349" s="226" t="inlineStr">
        <is>
          <t>26/10/2026</t>
        </is>
      </c>
      <c r="S349" s="226" t="inlineStr">
        <is>
          <t>16/11/2026</t>
        </is>
      </c>
      <c r="T349" s="226" t="inlineStr">
        <is>
          <t>14/12/2026</t>
        </is>
      </c>
      <c r="U349" s="139" t="inlineStr">
        <is>
          <t>Report — recommendations · readability test note · Appendix 5 · Log sheet tagged 5. Working with Others and 3. Intervention</t>
        </is>
      </c>
    </row>
    <row r="350" outlineLevel="2" ht="120" customHeight="1" s="128">
      <c r="A350" s="139" t="inlineStr">
        <is>
          <t>MICRO-SKILL</t>
        </is>
      </c>
      <c r="B350" s="139" t="inlineStr">
        <is>
          <t>5. Working with Others</t>
        </is>
      </c>
      <c r="C350" s="139" t="inlineStr">
        <is>
          <t>Produce the psychological report to countersigning standard</t>
        </is>
      </c>
      <c r="D350" s="139" t="inlineStr">
        <is>
          <t>Block 3 · Writing for use</t>
        </is>
      </c>
      <c r="E350" s="223" t="inlineStr">
        <is>
          <t>Quote the child's own words</t>
        </is>
      </c>
      <c r="F350" s="139" t="inlineStr">
        <is>
          <t>UNCRC Art. 12</t>
        </is>
      </c>
      <c r="G350" s="227" t="inlineStr">
        <is>
          <t>Children have the right to express their views in matters affecting them, and to have those views given due weight (UNCRC Article 12). Lundy (2007, British Educational Research Journal) argues that voice alone is not enough: the view needs an audience and has to have influence. A report that describes a child only through scores and adult accounts is about the child without the child being in it. Quoting their own words, with their knowledge, puts the child in the report as a person, and often gives the recommendation that matters most.</t>
        </is>
      </c>
      <c r="H350" s="165" t="inlineStr">
        <is>
          <t>WATCH FOR — how your supervisor gathers the child's views (a conversation, a drawing, scaling, a sort of what helps and what is hard) and where those words appear in the report.
WRITE DOWN — the methods used at different ages, and how quotations are introduced and placed near the recommendations they inform.
ASK AFTERWARDS — 'do you tell the child their words will be in the report? What do you leave out, and why?'</t>
        </is>
      </c>
      <c r="I350" s="165" t="inlineStr">
        <is>
          <t>YOU TAKE — gathering the child's views in a session, recording their exact words at the time, and proposing which quotations belong in the report.
THEY HOLD — deciding whether any quotation could expose or embarrass the child if read by peers, parents or staff, and the final choice.
WHY THAT SPLIT — recording the child's words accurately is yours from the start. Judging how a quotation will land with each reader is a risk judgement your supervisor models first.</t>
        </is>
      </c>
      <c r="J350" s="165" t="inlineStr">
        <is>
          <t>YOU RUN IT — include the child's own words in your report, with the child told beforehand that what they say may be written down and who will read it.
WHAT THEY ARE WATCHING FOR — a token quotation at the end with no link to the recommendations, words paraphrased into adult language, and quotations that reveal more than the child agreed to.
STEPPING IN LOOKS LIKE — 'she said "I hate reading out loud". Which recommendation answers that?'</t>
        </is>
      </c>
      <c r="K350" s="207" t="inlineStr">
        <is>
          <t>YOU DO IT ALONE — the report quotes the child's own words, with their knowledge, in a section on their views, and at least one recommendation responds to what they said.
PASS TEST — The child appears as a person
EVIDENCE TO FILE — the child's-views section of the report, named in your Appendix 5 entry. Log against 5. Working with Others and 6. Ethical Practice.
WHAT FAILURE LOOKS LIKE — a twelve-page report on a ten-year-old in which the only mention of the child's view is 'X was cooperative throughout'.</t>
        </is>
      </c>
      <c r="L350" s="165" t="inlineStr">
        <is>
          <t>YOU CAN TEACH IT — you can explain Article 12 and Lundy's model, and show age-appropriate ways to get views from a child who is non-speaking, very young or reluctant (visual scales, choices, AAC, observation of preferences).
WHEN IT GOES WRONG — a parent objects to a quotation, or the child regrets saying something. Talk it through with your supervisor, and weigh removing or rewording it against the child's right to be heard.</t>
        </is>
      </c>
      <c r="M350" s="224" t="inlineStr">
        <is>
          <t>Describing the child only through test scores and adult reports, with no trace of their own view.</t>
        </is>
      </c>
      <c r="N350" s="165" t="inlineStr">
        <is>
          <t>→ Feeds into 'Include the child's own self-report where age-appropriate', 'Include the child's construction of the problem', and 'Check the young person could read what is written about them'.</t>
        </is>
      </c>
      <c r="O350" s="225" t="inlineStr">
        <is>
          <t>Not started</t>
        </is>
      </c>
      <c r="P350" s="165" t="inlineStr">
        <is>
          <t>WATCH FOR — how your supervisor gathers the child's views (a conversation, a drawing, scaling, a sort of what helps and what is hard) and where those words appear in the report.</t>
        </is>
      </c>
      <c r="Q350" s="139" t="inlineStr">
        <is>
          <t>Year 1</t>
        </is>
      </c>
      <c r="R350" s="226" t="inlineStr">
        <is>
          <t>26/10/2026</t>
        </is>
      </c>
      <c r="S350" s="226" t="inlineStr">
        <is>
          <t>16/11/2026</t>
        </is>
      </c>
      <c r="T350" s="226" t="inlineStr">
        <is>
          <t>14/12/2026</t>
        </is>
      </c>
      <c r="U350" s="139" t="inlineStr">
        <is>
          <t>Report — child's views section · Appendix 5 · Log sheet tagged 5. Working with Others and 6. Ethical Practice</t>
        </is>
      </c>
    </row>
    <row r="351" outlineLevel="2" ht="19.5" customHeight="1" s="128">
      <c r="A351" s="219" t="inlineStr">
        <is>
          <t>MACRO SKILL</t>
        </is>
      </c>
      <c r="B351" s="219" t="inlineStr">
        <is>
          <t>5. Working with Others</t>
        </is>
      </c>
      <c r="C351" s="219" t="inlineStr">
        <is>
          <t>Adapt written communication to the audience</t>
        </is>
      </c>
      <c r="D351" s="219" t="n"/>
      <c r="E351" s="219" t="inlineStr">
        <is>
          <t>2 blocks · 4 micro-skills</t>
        </is>
      </c>
      <c r="F351" s="219" t="inlineStr">
        <is>
          <t>CORU 2.2 · 5.25 · 5.27</t>
        </is>
      </c>
      <c r="G351" s="219" t="n"/>
      <c r="H351" s="219" t="n"/>
      <c r="I351" s="219" t="n"/>
      <c r="J351" s="219" t="n"/>
      <c r="K351" s="219" t="n"/>
      <c r="L351" s="219" t="n"/>
      <c r="M351" s="219" t="n"/>
      <c r="N351" s="219" t="n"/>
      <c r="O351" s="219" t="n"/>
      <c r="P351" s="219" t="n"/>
      <c r="Q351" s="219" t="inlineStr">
        <is>
          <t>Year 1</t>
        </is>
      </c>
      <c r="R351" s="219" t="n"/>
      <c r="S351" s="219" t="n"/>
      <c r="T351" s="219" t="n"/>
      <c r="U351" s="219" t="n"/>
    </row>
    <row r="352" outlineLevel="2" ht="43.5" customHeight="1" s="128">
      <c r="A352" s="220" t="inlineStr">
        <is>
          <t>BLOCK</t>
        </is>
      </c>
      <c r="B352" s="220" t="inlineStr">
        <is>
          <t>5. Working with Others</t>
        </is>
      </c>
      <c r="C352" s="220" t="inlineStr">
        <is>
          <t>Adapt written communication to the audience</t>
        </is>
      </c>
      <c r="D352" s="221" t="inlineStr">
        <is>
          <t>Block 1 · Identifying the reader</t>
        </is>
      </c>
      <c r="E352" s="222" t="inlineStr">
        <is>
          <t>Knowing who this is for before you write a word.</t>
        </is>
      </c>
      <c r="F352" s="220" t="inlineStr">
        <is>
          <t>Habit · Weeks 3–6</t>
        </is>
      </c>
      <c r="G352" s="220" t="n"/>
      <c r="H352" s="220" t="n"/>
      <c r="I352" s="220" t="n"/>
      <c r="J352" s="220" t="n"/>
      <c r="K352" s="220" t="n"/>
      <c r="L352" s="220" t="n"/>
      <c r="M352" s="222" t="n"/>
      <c r="N352" s="220" t="n"/>
      <c r="O352" s="220" t="n"/>
      <c r="P352" s="220" t="inlineStr">
        <is>
          <t>How you build it: Name the primary reader at the top of every draft. Delete it before sending.</t>
        </is>
      </c>
      <c r="Q352" s="220" t="n"/>
      <c r="R352" s="220" t="n"/>
      <c r="S352" s="220" t="n"/>
      <c r="T352" s="220" t="n"/>
      <c r="U352" s="220" t="n"/>
    </row>
    <row r="353" outlineLevel="2" ht="120" customHeight="1" s="128">
      <c r="A353" s="139" t="inlineStr">
        <is>
          <t>MICRO-SKILL</t>
        </is>
      </c>
      <c r="B353" s="139" t="inlineStr">
        <is>
          <t>5. Working with Others</t>
        </is>
      </c>
      <c r="C353" s="139" t="inlineStr">
        <is>
          <t>Adapt written communication to the audience</t>
        </is>
      </c>
      <c r="D353" s="139" t="inlineStr">
        <is>
          <t>Block 1 · Identifying the reader</t>
        </is>
      </c>
      <c r="E353" s="223" t="inlineStr">
        <is>
          <t>Judge who will read this and what they need</t>
        </is>
      </c>
      <c r="F353" s="139" t="inlineStr">
        <is>
          <t>CORU SoP 5.27</t>
        </is>
      </c>
      <c r="G353" s="227" t="inlineStr">
        <is>
          <t>The same findings must reach a parent, a class teacher, a SENCO, a SENO and sometimes another professional, and each reads for a different question (Reference sheet). A parent asks what it means for their child and what happens now. A teacher asks what to do on Monday. A SENO asks what is being applied for and what evidence supports it. Another professional asks what you found and how confident you are. CORU SoP 5.27 is mapped here. Writing without deciding who the primary reader is produces a document that serves nobody fully.</t>
        </is>
      </c>
      <c r="H353" s="165" t="inlineStr">
        <is>
          <t>WATCH FOR — how your supervisor decides who a document is for before writing: a report, a letter to a family, a referral to a CDNT or CAMHS, a note to a principal. Notice what changes in each: length, vocabulary, what comes first.
WRITE DOWN — for each document you see, the primary reader, the question that reader brings, and where in the document it is answered.
ASK AFTERWARDS — 'when a report goes to the family and the school, who do you write it for first?'</t>
        </is>
      </c>
      <c r="I353" s="165" t="inlineStr">
        <is>
          <t>YOU TAKE — before drafting any shared document, writing one line at the top: primary reader, their question, and other readers.
THEY HOLD — the call when readers' needs conflict, e.g. a parent who will read a sentence the SENO needs for an application.
WHY THAT SPLIT — naming the reader is a habit you can build at once. Balancing readers with competing needs involves relationships and service processes your supervisor knows.</t>
        </is>
      </c>
      <c r="J353" s="165" t="inlineStr">
        <is>
          <t>YOU RUN IT — for your own documents, name the primary reader in supervision before drafting, and show where their question is answered in the first page.
WHAT THEY ARE WATCHING FOR — writing for your supervisor or your university marker rather than the actual reader, and forgetting that the family will read everything.
STEPPING IN LOOKS LIKE — 'who reads this first, and what do they want to know by the end of page one?'</t>
        </is>
      </c>
      <c r="K353" s="207" t="inlineStr">
        <is>
          <t>YOU DO IT ALONE — every document you write has a named primary reader, their question answered early, and other readers accounted for.
PASS TEST — You can name the primary reader
EVIDENCE TO FILE — the reader line on your drafts (kept with working papers) and supervision discussion. Log against 5. Working with Others.
WHAT FAILURE LOOKS LIKE — a referral letter to a CDNT written like a parent summary, missing the developmental and assessment detail the receiving team needs to accept it.</t>
        </is>
      </c>
      <c r="L353" s="165" t="inlineStr">
        <is>
          <t>YOU CAN TEACH IT — you can set out the Reference sheet's reader-by-reader questions and show a peer how the same finding is placed differently for each.
WHEN IT GOES WRONG — a reader says the document did not help them. Ask what question they came with, and fix the layering (summary, body, recommendations) rather than adding more text.</t>
        </is>
      </c>
      <c r="M353" s="224" t="inlineStr">
        <is>
          <t>Writing every document for your supervisor or marker rather than for the person who will act on it.</t>
        </is>
      </c>
      <c r="N353" s="165" t="inlineStr">
        <is>
          <t>→ Feeds into 'Change register between family and professional audiences' and 'Write recommendations a teacher could act on Monday'.</t>
        </is>
      </c>
      <c r="O353" s="225" t="inlineStr">
        <is>
          <t>Not started</t>
        </is>
      </c>
      <c r="P353" s="165" t="inlineStr">
        <is>
          <t>WATCH FOR — how your supervisor decides who a document is for before writing: a report, a letter to a family, a referral to a CDNT or CAMHS, a note to a principal. Notice what changes in each: length, vocabulary, what comes first.</t>
        </is>
      </c>
      <c r="Q353" s="139" t="inlineStr">
        <is>
          <t>Year 1</t>
        </is>
      </c>
      <c r="R353" s="226" t="inlineStr">
        <is>
          <t>26/10/2026</t>
        </is>
      </c>
      <c r="S353" s="226" t="inlineStr">
        <is>
          <t>16/11/2026</t>
        </is>
      </c>
      <c r="T353" s="226" t="inlineStr">
        <is>
          <t>14/12/2026</t>
        </is>
      </c>
      <c r="U353" s="139" t="inlineStr">
        <is>
          <t>Draft with reader line · supervision record · Log sheet tagged 5. Working with Others</t>
        </is>
      </c>
    </row>
    <row r="354" outlineLevel="2" ht="43.5" customHeight="1" s="128">
      <c r="A354" s="220" t="inlineStr">
        <is>
          <t>BLOCK</t>
        </is>
      </c>
      <c r="B354" s="220" t="inlineStr">
        <is>
          <t>5. Working with Others</t>
        </is>
      </c>
      <c r="C354" s="220" t="inlineStr">
        <is>
          <t>Adapt written communication to the audience</t>
        </is>
      </c>
      <c r="D354" s="221" t="inlineStr">
        <is>
          <t>Block 2 · Producing more than one version</t>
        </is>
      </c>
      <c r="E354" s="222" t="inlineStr">
        <is>
          <t>A report and a plain-language summary, or a report with an accessible section.</t>
        </is>
      </c>
      <c r="F354" s="220" t="inlineStr">
        <is>
          <t>2–3 hours to learn · Weeks 7–12</t>
        </is>
      </c>
      <c r="G354" s="220" t="n"/>
      <c r="H354" s="220" t="n"/>
      <c r="I354" s="220" t="n"/>
      <c r="J354" s="220" t="n"/>
      <c r="K354" s="220" t="n"/>
      <c r="L354" s="220" t="n"/>
      <c r="M354" s="222" t="n"/>
      <c r="N354" s="220" t="n"/>
      <c r="O354" s="220" t="n"/>
      <c r="P354" s="220" t="inlineStr">
        <is>
          <t>How you build it: Write one plain-language summary for a real case. It takes forty minutes the first time.</t>
        </is>
      </c>
      <c r="Q354" s="220" t="n"/>
      <c r="R354" s="220" t="n"/>
      <c r="S354" s="220" t="n"/>
      <c r="T354" s="220" t="n"/>
      <c r="U354" s="220" t="n"/>
    </row>
    <row r="355" outlineLevel="2" ht="120" customHeight="1" s="128">
      <c r="A355" s="139" t="inlineStr">
        <is>
          <t>MICRO-SKILL</t>
        </is>
      </c>
      <c r="B355" s="139" t="inlineStr">
        <is>
          <t>5. Working with Others</t>
        </is>
      </c>
      <c r="C355" s="139" t="inlineStr">
        <is>
          <t>Adapt written communication to the audience</t>
        </is>
      </c>
      <c r="D355" s="139" t="inlineStr">
        <is>
          <t>Block 2 · Producing more than one version</t>
        </is>
      </c>
      <c r="E355" s="223" t="inlineStr">
        <is>
          <t>Change register between family and professional audiences</t>
        </is>
      </c>
      <c r="F355" s="139" t="inlineStr">
        <is>
          <t>CORU SoP 2.2 · 5.25</t>
        </is>
      </c>
      <c r="G355" s="227" t="inlineStr">
        <is>
          <t>A single register cannot serve a parent and a consultant at once (Reference sheet). CORU SoP 2.2 and 5.25 both require communication adapted to the audience. A family letter full of index names and percentiles leaves a parent unsure what it means for their child. A referral to CAMHS written in a warm, informal register can be read as lacking the detail needed to triage it. Harvey (2006, Journal of Clinical Psychology) examined what makes psychological reports clear to readers — read it for the specific variables.</t>
        </is>
      </c>
      <c r="H355" s="165" t="inlineStr">
        <is>
          <t>WATCH FOR — two documents your supervisor wrote about the same child, one to a family and one to another professional. Compare sentence length, technical terms, how scores are described, and what is said first.
WRITE DOWN — pairs of sentences that say the same thing in the two registers, e.g. a standard score with confidence interval against 'within the range we would expect for his age'.
ASK AFTERWARDS — 'what do you leave out of the family letter that must go in the professional one, and why?'</t>
        </is>
      </c>
      <c r="I355" s="165" t="inlineStr">
        <is>
          <t>YOU TAKE — drafting the family version of a document your supervisor wrote for professionals, or the other way round.
THEY HOLD — checking that the meaning did not shift between versions, and that nothing in the family version is softened into inaccuracy.
WHY THAT SPLIT — rewriting is the exercise that builds the skill. The check matters because the commonest failure is a family version that is kinder but no longer true.</t>
        </is>
      </c>
      <c r="J355" s="165" t="inlineStr">
        <is>
          <t>YOU RUN IT — write both versions for your own case and bring them side by side to supervision.
WHAT THEY ARE WATCHING FOR — a family version that is the professional version with a glossary added; a professional version that has lost precision; the two versions contradicting each other.
STEPPING IN LOOKS LIKE — 'read me the first paragraph of each. If the parent later read the professional one, would it feel like the same child?'</t>
        </is>
      </c>
      <c r="K355" s="207" t="inlineStr">
        <is>
          <t>YOU DO IT ALONE — produce family and professional versions that read differently in register, but say the same thing in substance, with no contradiction between them.
PASS TEST — Two versions read differently
EVIDENCE TO FILE — both versions on the case file, and an anonymised pair of sentences in your supervision notes. Log against 5. Working with Others.
WHAT FAILURE LOOKS LIKE — a family letter reading 'FSIQ 82 (12th percentile), VCI relative weakness', with no explanation of what that means for the child.</t>
        </is>
      </c>
      <c r="L355" s="165" t="inlineStr">
        <is>
          <t>YOU CAN TEACH IT — you can show a peer how to translate a finding between registers without changing its meaning, and why the family can read the professional version too, so it must also be respectful.
WHEN IT GOES WRONG — the family reads the professional version and is upset by a phrase. Look at what the phrase implied. Change the wording if it was disrespectful or unclear, not if it was accurate and simply unwelcome, and talk it through with them.</t>
        </is>
      </c>
      <c r="M355" s="224" t="inlineStr">
        <is>
          <t>Sending a family the professional report with a glossary attached and calling it the family version.</t>
        </is>
      </c>
      <c r="N355" s="165" t="inlineStr">
        <is>
          <t>→ Feeds into 'Produce an accessible or plain-language version' and feedback meetings with families.</t>
        </is>
      </c>
      <c r="O355" s="225" t="inlineStr">
        <is>
          <t>Not started</t>
        </is>
      </c>
      <c r="P355" s="165" t="inlineStr">
        <is>
          <t>WATCH FOR — two documents your supervisor wrote about the same child, one to a family and one to another professional. Compare sentence length, technical terms, how scores are described, and what is said first.</t>
        </is>
      </c>
      <c r="Q355" s="139" t="inlineStr">
        <is>
          <t>Year 1</t>
        </is>
      </c>
      <c r="R355" s="226" t="inlineStr">
        <is>
          <t>26/10/2026</t>
        </is>
      </c>
      <c r="S355" s="226" t="inlineStr">
        <is>
          <t>16/11/2026</t>
        </is>
      </c>
      <c r="T355" s="226" t="inlineStr">
        <is>
          <t>14/12/2026</t>
        </is>
      </c>
      <c r="U355" s="139" t="inlineStr">
        <is>
          <t>Both versions on case file · supervision notes · Appendix 5 · Log sheet tagged 5. Working with Others</t>
        </is>
      </c>
    </row>
    <row r="356" outlineLevel="2" ht="120" customHeight="1" s="128">
      <c r="A356" s="139" t="inlineStr">
        <is>
          <t>MICRO-SKILL</t>
        </is>
      </c>
      <c r="B356" s="139" t="inlineStr">
        <is>
          <t>5. Working with Others</t>
        </is>
      </c>
      <c r="C356" s="139" t="inlineStr">
        <is>
          <t>Adapt written communication to the audience</t>
        </is>
      </c>
      <c r="D356" s="139" t="inlineStr">
        <is>
          <t>Block 2 · Producing more than one version</t>
        </is>
      </c>
      <c r="E356" s="223" t="inlineStr">
        <is>
          <t>Produce an accessible or plain-language version</t>
        </is>
      </c>
      <c r="F356" s="139" t="inlineStr">
        <is>
          <t>Equal Status Acts</t>
        </is>
      </c>
      <c r="G356" s="227" t="inlineStr">
        <is>
          <t>Some readers need more than a change of register: a parent with literacy difficulties, a parent reading in a second language or through an interpreter, a parent with an intellectual disability, or a young person. The Equal Status Acts 2000–2018 prohibit discrimination in providing services, including on grounds of disability and race — read the Acts for the exact duty on reasonable accommodation. NALA's plain English guidance is a practical standard. A report issued in a family's home language is strong evidence of this skill.</t>
        </is>
      </c>
      <c r="H356" s="165" t="inlineStr">
        <is>
          <t>WATCH FOR — how your supervisor finds out a family's reading and language needs before writing (a question at intake, the school's knowledge, the parent's own request), and what they produce: a plain-language summary, a translated report, easy-read, or a feedback meeting with a written summary to follow.
WRITE DOWN — the service's arrangements for interpreters and translation, and any accessible templates it uses.
ASK AFTERWARDS — 'how do you ask a parent about their reading without embarrassing them?'</t>
        </is>
      </c>
      <c r="I356" s="165" t="inlineStr">
        <is>
          <t>YOU TAKE — drafting the plain-language version: short sentences, common words, no idiom, one idea per sentence, headings that are questions the parent would ask.
THEY HOLD — arranging and paying for translation or interpreters, and checking the plain version still says what the full report says.
WHY THAT SPLIT — plain-language drafting is a writing skill you can practise now. Translation involves service budgets and approved providers.</t>
        </is>
      </c>
      <c r="J356" s="165" t="inlineStr">
        <is>
          <t>YOU RUN IT — produce the accessible version for your own case, and state in the report that it was prepared with the reader's needs in mind (Reference sheet).
WHAT THEY ARE WATCHING FOR — idiom that will not survive an interpreter ('on the right track', 'a bit all over the place'), long sentences, and a plain version that drops the key finding.
STEPPING IN LOOKS LIKE — 'read that sentence as if it were going through an interpreter. What comes out the other side?'</t>
        </is>
      </c>
      <c r="K356" s="207" t="inlineStr">
        <is>
          <t>YOU DO IT ALONE — where a reader needs it, produce a plain-language or accessible version, and record in the report and case file that you did and why.
PASS TEST — It exists where it is needed
EVIDENCE TO FILE — the accessible version on the case file and the sentence in the report recording the adaptation. Log each translated or accessible report you produce, with no identifying details. Log against 5. Working with Others and 6. Ethical Practice.
WHAT FAILURE LOOKS LIKE — a parent who reads little English receives a twelve-page report and signs off on recommendations they could not read.</t>
        </is>
      </c>
      <c r="L356" s="165" t="inlineStr">
        <is>
          <t>YOU CAN TEACH IT — you can explain plain-language principles (NALA guidance), the difference between plain language, easy-read and translation, and why the adaptation is recorded in the report.
WHEN IT GOES WRONG — you learn after issue that the parent could not read the report. Offer a meeting, with an interpreter if needed, go through it verbally, follow up with an accessible written summary, and record it.</t>
        </is>
      </c>
      <c r="M356" s="224" t="inlineStr">
        <is>
          <t>Using idiom and long sentences in a report that will be read through an interpreter.</t>
        </is>
      </c>
      <c r="N356" s="165" t="inlineStr">
        <is>
          <t>→ Feeds into 'Check the young person could read what is written about them', 'Obtain assent from the child in their own language', and feedback with families.</t>
        </is>
      </c>
      <c r="O356" s="225" t="inlineStr">
        <is>
          <t>Not started</t>
        </is>
      </c>
      <c r="P356" s="165" t="inlineStr">
        <is>
          <t>WATCH FOR — how your supervisor finds out a family's reading and language needs before writing (a question at intake, the school's knowledge, the parent's own request), and what they produce: a plain-language summary, a translated report, easy-read, or a feedback meeting with a written summary to follow.</t>
        </is>
      </c>
      <c r="Q356" s="139" t="inlineStr">
        <is>
          <t>Year 1</t>
        </is>
      </c>
      <c r="R356" s="226" t="inlineStr">
        <is>
          <t>26/10/2026</t>
        </is>
      </c>
      <c r="S356" s="226" t="inlineStr">
        <is>
          <t>16/11/2026</t>
        </is>
      </c>
      <c r="T356" s="226" t="inlineStr">
        <is>
          <t>14/12/2026</t>
        </is>
      </c>
      <c r="U356" s="139" t="inlineStr">
        <is>
          <t>Accessible version on file · report sentence recording the adaptation · Appendix 5 · Log sheet tagged 5. Working with Others and 6. Ethical Practice</t>
        </is>
      </c>
    </row>
    <row r="357" outlineLevel="2" ht="120" customHeight="1" s="128">
      <c r="A357" s="139" t="inlineStr">
        <is>
          <t>MICRO-SKILL</t>
        </is>
      </c>
      <c r="B357" s="139" t="inlineStr">
        <is>
          <t>5. Working with Others</t>
        </is>
      </c>
      <c r="C357" s="139" t="inlineStr">
        <is>
          <t>Adapt written communication to the audience</t>
        </is>
      </c>
      <c r="D357" s="139" t="inlineStr">
        <is>
          <t>Block 2 · Producing more than one version</t>
        </is>
      </c>
      <c r="E357" s="223" t="inlineStr">
        <is>
          <t>Check the young person could read what is written about them</t>
        </is>
      </c>
      <c r="F357" s="139" t="inlineStr">
        <is>
          <t>UNCRC Art. 12</t>
        </is>
      </c>
      <c r="G357" s="227" t="inlineStr">
        <is>
          <t>The young person is a reader of their own report, now or later. They may read it at home, see it at a review meeting or request their records. They have a right of access to their personal data under GDPR Article 15, and the service will have a policy on requests made by or for a child — check it. UNCRC Article 12 is mapped here. A teenager who reads that they are 'low functioning' or 'oppositional' learns how adults see them. Writing as though they will read it is both respectful and good practice.</t>
        </is>
      </c>
      <c r="H357" s="165" t="inlineStr">
        <is>
          <t>WATCH FOR — whether your supervisor writes with the young person in mind as a reader: how they describe difficulties, whether strengths come first, whether the young person is addressed directly or talked about.
WRITE DOWN — phrases they avoid and what they use instead, e.g. 'finds reading effortful' rather than 'poor reader'.
ASK AFTERWARDS — 'have you ever gone through a report with a teenager? What did they react to?'</t>
        </is>
      </c>
      <c r="I357" s="165" t="inlineStr">
        <is>
          <t>YOU TAKE — rereading a shared draft as the young person, marking every phrase that would hurt, confuse or label them, and suggesting alternatives.
THEY HOLD — deciding what stays because it must be said, and whether to share the report or a version of it directly with the young person.
WHY THAT SPLIT — reading as the young person is a skill of perspective you can practise now. Whether and how to share with a minor involves consent, guardians and service policy.</t>
        </is>
      </c>
      <c r="J357" s="165" t="inlineStr">
        <is>
          <t>YOU RUN IT — for your own report, reread it as the young person before sending, and where it fits, prepare a short version for them in their own terms.
WHAT THEY ARE WATCHING FOR — deficit labels, third-person language about a young person in the room, and difficulties described without strengths or context.
STEPPING IN LOOKS LIKE — 'if Aoife read this sentence at fifteen, what would she take from it about herself?'</t>
        </is>
      </c>
      <c r="K357" s="207" t="inlineStr">
        <is>
          <t>YOU DO IT ALONE — every report is reread from the young person's point of view before issue, with the language adjusted so it is accurate and respectful. Where appropriate, a version for the young person is prepared.
PASS TEST — You considered them as a reader
EVIDENCE TO FILE — the version for the young person, if made, and a note of the reread in supervision. Log against 5. Working with Others and 6. Ethical Practice.
WHAT FAILURE LOOKS LIKE — a post-primary student reads 'significant cognitive deficits' about themselves in a report left on the school's shared drive.</t>
        </is>
      </c>
      <c r="L357" s="165" t="inlineStr">
        <is>
          <t>YOU CAN TEACH IT — you can explain why a young person is a reader of their own report (Article 12; right of access), show strengths-based wording that is still accurate, and show a peer how to make a one-page version for a young person.
WHEN IT GOES WRONG — a young person is upset by what they read. Meet them with your supervisor, listen, explain what was meant, and change wording that was unnecessarily hurtful, recording the change as a dated amendment.</t>
        </is>
      </c>
      <c r="M357" s="224" t="inlineStr">
        <is>
          <t>Writing a report about a teenager in language you would not be willing to read out to them.</t>
        </is>
      </c>
      <c r="N357" s="165" t="inlineStr">
        <is>
          <t>→ Feeds into 'Quote the child's own words', 'Obtain assent from the child in their own language', and Working with Others with young people and families.</t>
        </is>
      </c>
      <c r="O357" s="225" t="inlineStr">
        <is>
          <t>Not started</t>
        </is>
      </c>
      <c r="P357" s="165" t="inlineStr">
        <is>
          <t>WATCH FOR — whether your supervisor writes with the young person in mind as a reader: how they describe difficulties, whether strengths come first, whether the young person is addressed directly or talked about.</t>
        </is>
      </c>
      <c r="Q357" s="139" t="inlineStr">
        <is>
          <t>Year 1</t>
        </is>
      </c>
      <c r="R357" s="226" t="inlineStr">
        <is>
          <t>26/10/2026</t>
        </is>
      </c>
      <c r="S357" s="226" t="inlineStr">
        <is>
          <t>16/11/2026</t>
        </is>
      </c>
      <c r="T357" s="226" t="inlineStr">
        <is>
          <t>14/12/2026</t>
        </is>
      </c>
      <c r="U357" s="139" t="inlineStr">
        <is>
          <t>Young person's version if made · supervision note · Appendix 5 · Log sheet tagged 5. Working with Others and 6. Ethical Practice</t>
        </is>
      </c>
    </row>
    <row r="358" ht="21.75" customHeight="1" s="128">
      <c r="A358" s="173" t="inlineStr">
        <is>
          <t>COMPETENCY</t>
        </is>
      </c>
      <c r="B358" s="173" t="inlineStr">
        <is>
          <t>6. Ethical Practice</t>
        </is>
      </c>
      <c r="C358" s="173" t="n"/>
      <c r="D358" s="173" t="n"/>
      <c r="E358" s="173" t="inlineStr">
        <is>
          <t>7 macro skills · 22 blocks · 42 micro-skills</t>
        </is>
      </c>
      <c r="F358" s="173" t="n"/>
      <c r="G358" s="173" t="n"/>
      <c r="H358" s="173" t="n"/>
      <c r="I358" s="173" t="n"/>
      <c r="J358" s="173" t="n"/>
      <c r="K358" s="173" t="n"/>
      <c r="L358" s="173" t="n"/>
      <c r="M358" s="173" t="n"/>
      <c r="N358" s="173" t="n"/>
      <c r="O358" s="173" t="n"/>
      <c r="P358" s="173" t="n"/>
      <c r="Q358" s="173" t="n"/>
      <c r="R358" s="173" t="n"/>
      <c r="S358" s="173" t="n"/>
      <c r="T358" s="173" t="n"/>
      <c r="U358" s="173" t="n"/>
    </row>
    <row r="359" ht="19.5" customHeight="1" s="128">
      <c r="A359" s="219" t="inlineStr">
        <is>
          <t>MACRO SKILL</t>
        </is>
      </c>
      <c r="B359" s="219" t="inlineStr">
        <is>
          <t>6. Ethical Practice</t>
        </is>
      </c>
      <c r="C359" s="219" t="inlineStr">
        <is>
          <t>Garda vetting and Children First certification</t>
        </is>
      </c>
      <c r="D359" s="219" t="n"/>
      <c r="E359" s="219" t="inlineStr">
        <is>
          <t>2 blocks · 4 micro-skills</t>
        </is>
      </c>
      <c r="F359" s="219" t="inlineStr">
        <is>
          <t>Children First Act 2015 · CORU 1.12</t>
        </is>
      </c>
      <c r="G359" s="219" t="n"/>
      <c r="H359" s="219" t="n"/>
      <c r="I359" s="219" t="n"/>
      <c r="J359" s="219" t="n"/>
      <c r="K359" s="219" t="n"/>
      <c r="L359" s="219" t="n"/>
      <c r="M359" s="219" t="n"/>
      <c r="N359" s="219" t="n"/>
      <c r="O359" s="219" t="n"/>
      <c r="P359" s="219" t="n"/>
      <c r="Q359" s="219" t="inlineStr">
        <is>
          <t>Year 1</t>
        </is>
      </c>
      <c r="R359" s="219" t="n"/>
      <c r="S359" s="219" t="n"/>
      <c r="T359" s="219" t="n"/>
      <c r="U359" s="219" t="n"/>
    </row>
    <row r="360" outlineLevel="2" ht="43.5" customHeight="1" s="128">
      <c r="A360" s="220" t="inlineStr">
        <is>
          <t>BLOCK</t>
        </is>
      </c>
      <c r="B360" s="220" t="inlineStr">
        <is>
          <t>6. Ethical Practice</t>
        </is>
      </c>
      <c r="C360" s="220" t="inlineStr">
        <is>
          <t>Garda vetting and Children First certification</t>
        </is>
      </c>
      <c r="D360" s="221" t="inlineStr">
        <is>
          <t>Block 1 · Getting cleared</t>
        </is>
      </c>
      <c r="E360" s="222" t="inlineStr">
        <is>
          <t>Submitting vetting early enough and completing the training.</t>
        </is>
      </c>
      <c r="F360" s="220" t="inlineStr">
        <is>
          <t>1 hour of admin, weeks of waiting · Before placement</t>
        </is>
      </c>
      <c r="G360" s="220" t="n"/>
      <c r="H360" s="220" t="n"/>
      <c r="I360" s="220" t="n"/>
      <c r="J360" s="220" t="n"/>
      <c r="K360" s="220" t="n"/>
      <c r="L360" s="220" t="n"/>
      <c r="M360" s="222" t="n"/>
      <c r="N360" s="220" t="n"/>
      <c r="O360" s="220" t="n"/>
      <c r="P360" s="220" t="inlineStr">
        <is>
          <t>How you build it: Submit the moment you have the form. It takes weeks, not days.</t>
        </is>
      </c>
      <c r="Q360" s="220" t="n"/>
      <c r="R360" s="220" t="n"/>
      <c r="S360" s="220" t="n"/>
      <c r="T360" s="220" t="n"/>
      <c r="U360" s="220" t="n"/>
    </row>
    <row r="361" outlineLevel="2" ht="120" customHeight="1" s="128">
      <c r="A361" s="139" t="inlineStr">
        <is>
          <t>MICRO-SKILL</t>
        </is>
      </c>
      <c r="B361" s="139" t="inlineStr">
        <is>
          <t>6. Ethical Practice</t>
        </is>
      </c>
      <c r="C361" s="139" t="inlineStr">
        <is>
          <t>Garda vetting and Children First certification</t>
        </is>
      </c>
      <c r="D361" s="139" t="inlineStr">
        <is>
          <t>Block 1 · Getting cleared</t>
        </is>
      </c>
      <c r="E361" s="223" t="inlineStr">
        <is>
          <t>Submit vetting early enough to clear before day one</t>
        </is>
      </c>
      <c r="F361" s="139" t="inlineStr">
        <is>
          <t>National Vetting Bureau Acts</t>
        </is>
      </c>
      <c r="G361" s="227" t="inlineStr">
        <is>
          <t>Under the National Vetting Bureau (Children and Vulnerable Persons) Acts 2012–2016, a relevant organisation must not let a person do relevant work with children until it has received a vetting disclosure for that person. That is a legal bar, not a formality. You apply through the organisation's liaison person, usually by e-vetting, and processing time varies with demand, so no fixed figure is given here. Check with the placement. Arrive with vetting pending and you cannot see children, and the lost days come off your placement.</t>
        </is>
      </c>
      <c r="H361" s="165" t="inlineStr">
        <is>
          <t>WATCH FOR — how the placement handles vetting for you: who their liaison person is, whether they accept a disclosure from UCD or need their own, and what proof they want on day one.
WRITE DOWN — the liaison person's name, the date you submitted, the date of the disclosure, and which organisation it was issued to.
ASK AFTERWARDS — 'does a vetting disclosure from another organisation cover me here, or do I need yours?'</t>
        </is>
      </c>
      <c r="I361" s="165" t="inlineStr">
        <is>
          <t>YOU TAKE — completing the forms, supplying ID and addresses accurately, and chasing progress.
THEY HOLD — the organisation's decision that you are cleared to start relevant work.
WHY THAT SPLIT — the application is yours and mistakes in it cause most of the delay. The legal decision to let you work with children belongs to the organisation.</t>
        </is>
      </c>
      <c r="J361" s="165" t="inlineStr">
        <is>
          <t>YOU RUN IT — submit vetting for the next placement without being reminded, as soon as the placement is confirmed.
WHAT THEY ARE WATCHING FOR — leaving it until the month before, and assuming last year's disclosure transfers.
STEPPING IN LOOKS LIKE — the placement co-ordinator asking, 'where are you with vetting for Cavan?'</t>
        </is>
      </c>
      <c r="K361" s="207" t="inlineStr">
        <is>
          <t>YOU DO IT ALONE — for every placement, confirm what vetting that organisation needs, apply early, and hold the disclosure before your first day.
PASS TEST — Cleared, not pending
EVIDENCE TO FILE — the disclosure (or the organisation's confirmation) on your placement file. Log against 6. Ethical Practice.
WHAT FAILURE LOOKS LIKE — Cavan starts on 05/10/2026 and you spend the first week unable to see a child.</t>
        </is>
      </c>
      <c r="L361" s="165" t="inlineStr">
        <is>
          <t>YOU CAN TEACH IT — you can explain to a new trainee what the Vetting Acts require, why it is the organisation's disclosure that counts, and how to plan the timing.
WHEN IT GOES WRONG — you can say what to do when vetting has not cleared by day one: tell the placement and the university at once, and agree non-contact work (induction, file reading, policy) so no one is put in a position where you see children uncleared.</t>
        </is>
      </c>
      <c r="M361" s="224" t="inlineStr">
        <is>
          <t>Starting a placement on the assumption that vetting from an earlier placement carries over.</t>
        </is>
      </c>
      <c r="N361" s="165" t="inlineStr">
        <is>
          <t>→ Feeds into 'Complete service induction' and into every direct-contact skill in the file.</t>
        </is>
      </c>
      <c r="O361" s="225" t="inlineStr">
        <is>
          <t>Not started</t>
        </is>
      </c>
      <c r="P361" s="165" t="inlineStr">
        <is>
          <t>WATCH FOR — how the placement handles vetting for you: who their liaison person is, whether they accept a disclosure from UCD or need their own, and what proof they want on day one.</t>
        </is>
      </c>
      <c r="Q361" s="139" t="inlineStr">
        <is>
          <t>Year 1</t>
        </is>
      </c>
      <c r="R361" s="226" t="inlineStr">
        <is>
          <t>26/10/2026</t>
        </is>
      </c>
      <c r="S361" s="226" t="inlineStr">
        <is>
          <t>16/11/2026</t>
        </is>
      </c>
      <c r="T361" s="226" t="inlineStr">
        <is>
          <t>14/12/2026</t>
        </is>
      </c>
      <c r="U361" s="139" t="inlineStr">
        <is>
          <t>Vetting disclosure on placement file · Log sheet tagged 6. Ethical Practice</t>
        </is>
      </c>
    </row>
    <row r="362" outlineLevel="2" ht="120" customHeight="1" s="128">
      <c r="A362" s="139" t="inlineStr">
        <is>
          <t>MICRO-SKILL</t>
        </is>
      </c>
      <c r="B362" s="139" t="inlineStr">
        <is>
          <t>6. Ethical Practice</t>
        </is>
      </c>
      <c r="C362" s="139" t="inlineStr">
        <is>
          <t>Garda vetting and Children First certification</t>
        </is>
      </c>
      <c r="D362" s="139" t="inlineStr">
        <is>
          <t>Block 1 · Getting cleared</t>
        </is>
      </c>
      <c r="E362" s="223" t="inlineStr">
        <is>
          <t>Complete Children First training and file the certificate</t>
        </is>
      </c>
      <c r="F362" s="139" t="inlineStr">
        <is>
          <t>Children First Act 2015</t>
        </is>
      </c>
      <c r="G362" s="227" t="inlineStr">
        <is>
          <t>The Children First Act 2015 and the Children First National Guidance (DCYA, 2017) set out how anyone working with children recognises and reports concerns. Tusla provides a free e-learning module, 'Introduction to Children First', which issues a certificate. Placements and universities expect it before you start. More importantly, it is the minimum grounding for the child protection skills below. Check with UCD whether it needs refreshing each year or other training on top.</t>
        </is>
      </c>
      <c r="H362" s="165" t="inlineStr">
        <is>
          <t>WATCH FOR — which child protection training your supervisor and the service require, and whether the service adds its own policy training.
WRITE DOWN — the course, provider, date completed, and any renewal requirement.
ASK AFTERWARDS — 'is there anything in this service's child safeguarding statement that the Tusla module doesn't cover?'</t>
        </is>
      </c>
      <c r="I362" s="165" t="inlineStr">
        <is>
          <t>YOU TAKE — completing the module properly (not clicking through) and filing the certificate.
THEY HOLD — confirming that your training meets the service's requirement.
WHY THAT SPLIT — the training is yours. Whether it is enough for this service is their call, because services often have extra requirements.</t>
        </is>
      </c>
      <c r="J362" s="165" t="inlineStr">
        <is>
          <t>YOU RUN IT — complete and file the training before each placement, and read the service's Child Safeguarding Statement in the first week.
WHAT THEY ARE WATCHING FOR — a certificate that exists but whose content you cannot recall when a concern comes up.
STEPPING IN LOOKS LIKE — 'what would you do if a child told you something in a session this afternoon?'</t>
        </is>
      </c>
      <c r="K362" s="207" t="inlineStr">
        <is>
          <t>YOU DO IT ALONE — keep a current certificate, dated before the placement starts, on file, and know where the service's safeguarding statement is.
PASS TEST — Certificate dated before placement
EVIDENCE TO FILE — the certificate on the placement file and in your portfolio. Log against 6. Ethical Practice.
WHAT FAILURE LOOKS LIKE — a certificate dated after your first day of child contact, found at placement audit.</t>
        </is>
      </c>
      <c r="L362" s="165" t="inlineStr">
        <is>
          <t>YOU CAN TEACH IT — you can explain what the Children First training covers, how it relates to the Act and the Guidance, and what each service adds through its own safeguarding statement.
WHEN IT GOES WRONG — you can say what to do when you find your training is out of date mid-placement: tell your supervisor, complete it at once, and take their direction on contact in the meantime.</t>
        </is>
      </c>
      <c r="M362" s="224" t="inlineStr">
        <is>
          <t>Completing the module after child contact has already begun.</t>
        </is>
      </c>
      <c r="N362" s="165" t="inlineStr">
        <is>
          <t>→ Feeds into 'Know the Tusla reporting thresholds' and 'Recognise and act on child protection concerns'.</t>
        </is>
      </c>
      <c r="O362" s="225" t="inlineStr">
        <is>
          <t>Not started</t>
        </is>
      </c>
      <c r="P362" s="165" t="inlineStr">
        <is>
          <t>WATCH FOR — which child protection training your supervisor and the service require, and whether the service adds its own policy training.</t>
        </is>
      </c>
      <c r="Q362" s="139" t="inlineStr">
        <is>
          <t>Year 1</t>
        </is>
      </c>
      <c r="R362" s="226" t="inlineStr">
        <is>
          <t>26/10/2026</t>
        </is>
      </c>
      <c r="S362" s="226" t="inlineStr">
        <is>
          <t>16/11/2026</t>
        </is>
      </c>
      <c r="T362" s="226" t="inlineStr">
        <is>
          <t>14/12/2026</t>
        </is>
      </c>
      <c r="U362" s="139" t="inlineStr">
        <is>
          <t>Children First certificate on placement file · Log sheet tagged 6. Ethical Practice</t>
        </is>
      </c>
    </row>
    <row r="363" outlineLevel="2" ht="43.5" customHeight="1" s="128">
      <c r="A363" s="220" t="inlineStr">
        <is>
          <t>BLOCK</t>
        </is>
      </c>
      <c r="B363" s="220" t="inlineStr">
        <is>
          <t>6. Ethical Practice</t>
        </is>
      </c>
      <c r="C363" s="220" t="inlineStr">
        <is>
          <t>Garda vetting and Children First certification</t>
        </is>
      </c>
      <c r="D363" s="221" t="inlineStr">
        <is>
          <t>Block 2 · Knowing what it obliges you to do</t>
        </is>
      </c>
      <c r="E363" s="222" t="inlineStr">
        <is>
          <t>Thresholds, what mandated means, and that the duty is personal.</t>
        </is>
      </c>
      <c r="F363" s="220" t="inlineStr">
        <is>
          <t>3–4 hours, once · Before placement</t>
        </is>
      </c>
      <c r="G363" s="220" t="n"/>
      <c r="H363" s="220" t="n"/>
      <c r="I363" s="220" t="n"/>
      <c r="J363" s="220" t="n"/>
      <c r="K363" s="220" t="n"/>
      <c r="L363" s="220" t="n"/>
      <c r="M363" s="222" t="n"/>
      <c r="N363" s="220" t="n"/>
      <c r="O363" s="220" t="n"/>
      <c r="P363" s="220" t="inlineStr">
        <is>
          <t>How you build it: Read Children First National Guidance thresholds properly. Not the summary.</t>
        </is>
      </c>
      <c r="Q363" s="220" t="n"/>
      <c r="R363" s="220" t="n"/>
      <c r="S363" s="220" t="n"/>
      <c r="T363" s="220" t="n"/>
      <c r="U363" s="220" t="n"/>
    </row>
    <row r="364" outlineLevel="2" ht="120" customHeight="1" s="128">
      <c r="A364" s="139" t="inlineStr">
        <is>
          <t>MICRO-SKILL</t>
        </is>
      </c>
      <c r="B364" s="139" t="inlineStr">
        <is>
          <t>6. Ethical Practice</t>
        </is>
      </c>
      <c r="C364" s="139" t="inlineStr">
        <is>
          <t>Garda vetting and Children First certification</t>
        </is>
      </c>
      <c r="D364" s="139" t="inlineStr">
        <is>
          <t>Block 2 · Knowing what it obliges you to do</t>
        </is>
      </c>
      <c r="E364" s="223" t="inlineStr">
        <is>
          <t>Know the Tusla reporting thresholds</t>
        </is>
      </c>
      <c r="F364" s="139" t="inlineStr">
        <is>
          <t>Children First National Guidance</t>
        </is>
      </c>
      <c r="G364" s="227" t="inlineStr">
        <is>
          <t>The Children First Act 2015 defines harm as assault, ill-treatment, neglect or sexual abuse. For mandated persons it sets thresholds: for most categories the child's health, development or welfare must have been, or be at risk of being, seriously affected; for sexual abuse there is no 'serious' qualifier. Separately, the Guidance asks anyone with reasonable grounds for concern to report to Tusla. Read the thresholds in Children First National Guidance (2017) chapter 3 in full — they include specific provisions, such as for 16–17-year-olds, that are not summarised here.</t>
        </is>
      </c>
      <c r="H364" s="165" t="inlineStr">
        <is>
          <t>WATCH FOR — how your supervisor talks through a concern: whether it is 'reasonable grounds for concern' (report) or at the mandated threshold (report as a mandated person), and how they use the Guidance.
WRITE DOWN — the four categories of harm and the threshold wording for each, from the Guidance, not from memory.
ASK AFTERWARDS — 'what's the hardest threshold call you've made, and what tipped it?'</t>
        </is>
      </c>
      <c r="I364" s="165" t="inlineStr">
        <is>
          <t>YOU TAKE — reading the Guidance thresholds and testing yourself on anonymised case examples, then checking your answers with your supervisor.
THEY HOLD — live threshold judgements until you have shown you can make them. The legal duty to report is still yours if you are a mandated person.
WHY THAT SPLIT — threshold knowledge can be rehearsed safely. Real calls need practised judgement, but the duty itself is never delegated.</t>
        </is>
      </c>
      <c r="J364" s="165" t="inlineStr">
        <is>
          <t>YOU RUN IT — for a live concern, state your threshold judgement and your reasoning to your supervisor the same day.
WHAT THEY ARE WATCHING FOR — waiting for certainty before reporting. The test is reasonable grounds, not proof.
STEPPING IN LOOKS LIKE — 'you've described it as not serious enough. Which threshold wording are you using?'</t>
        </is>
      </c>
      <c r="K364" s="207" t="inlineStr">
        <is>
          <t>YOU DO IT ALONE — state the category of harm and whether it meets the threshold, citing the Guidance wording, and act on it.
PASS TEST — You can state what reaches the threshold
EVIDENCE TO FILE — supervision record of threshold discussions. Log against 6. Ethical Practice. Do not record identifiable case details in your personal log.
WHAT FAILURE LOOKS LIKE — a concern at threshold not reported because you were waiting to be sure.</t>
        </is>
      </c>
      <c r="L364" s="165" t="inlineStr">
        <is>
          <t>YOU CAN TEACH IT — you can explain the four categories, the mandated thresholds, the 'reasonable grounds' standard for everyone, and the specific provisions — citing the Guidance chapter, not paraphrasing from memory.
WHEN IT GOES WRONG — you can say what to do when you are unsure: consult the DLP or Tusla (Tusla will discuss a concern informally), and when in doubt, report.</t>
        </is>
      </c>
      <c r="M364" s="224" t="inlineStr">
        <is>
          <t>Waiting for proof when the test is reasonable grounds for concern.</t>
        </is>
      </c>
      <c r="N364" s="165" t="inlineStr">
        <is>
          <t>→ Feeds into 'Know you are a mandated person and what that means' and 'Recognise a concern against the threshold'.</t>
        </is>
      </c>
      <c r="O364" s="225" t="inlineStr">
        <is>
          <t>Not started</t>
        </is>
      </c>
      <c r="P364" s="165" t="inlineStr">
        <is>
          <t>WATCH FOR — how your supervisor talks through a concern: whether it is 'reasonable grounds for concern' (report) or at the mandated threshold (report as a mandated person), and how they use the Guidance.</t>
        </is>
      </c>
      <c r="Q364" s="139" t="inlineStr">
        <is>
          <t>Year 1</t>
        </is>
      </c>
      <c r="R364" s="226" t="inlineStr">
        <is>
          <t>26/10/2026</t>
        </is>
      </c>
      <c r="S364" s="226" t="inlineStr">
        <is>
          <t>16/11/2026</t>
        </is>
      </c>
      <c r="T364" s="226" t="inlineStr">
        <is>
          <t>14/12/2026</t>
        </is>
      </c>
      <c r="U364" s="139" t="inlineStr">
        <is>
          <t>Supervision record · Log sheet tagged 6. Ethical Practice</t>
        </is>
      </c>
    </row>
    <row r="365" outlineLevel="2" ht="120" customHeight="1" s="128">
      <c r="A365" s="139" t="inlineStr">
        <is>
          <t>MICRO-SKILL</t>
        </is>
      </c>
      <c r="B365" s="139" t="inlineStr">
        <is>
          <t>6. Ethical Practice</t>
        </is>
      </c>
      <c r="C365" s="139" t="inlineStr">
        <is>
          <t>Garda vetting and Children First certification</t>
        </is>
      </c>
      <c r="D365" s="139" t="inlineStr">
        <is>
          <t>Block 2 · Knowing what it obliges you to do</t>
        </is>
      </c>
      <c r="E365" s="223" t="inlineStr">
        <is>
          <t>Know you are a mandated person and what that means</t>
        </is>
      </c>
      <c r="F365" s="139" t="inlineStr">
        <is>
          <t>Children First Act 2015</t>
        </is>
      </c>
      <c r="G365" s="227" t="inlineStr">
        <is>
          <t>Schedule 2 of the Children First Act 2015 lists the classes of mandated persons, including psychologists. A mandated person who knows, believes or has reasonable grounds to suspect harm at threshold must report it to Tusla as soon as practicable. Telling the DLP does not discharge that duty, though a joint report with the DLP is allowed. Whether a trainee on placement is a mandated person in their own right depends on the Schedule 2 wording. Confirm it in writing with UCD and the placement, and act as if you are until told otherwise.</t>
        </is>
      </c>
      <c r="H365" s="165" t="inlineStr">
        <is>
          <t>WATCH FOR — how your supervisor describes their own duty, and how the service handles joint reports with the DLP.
WRITE DOWN — the exact Schedule 2 wording that covers psychologists, and UCD's written position on whether it covers trainees.
ASK AFTERWARDS — 'if you and the DLP disagreed about whether to report, what would you do?'</t>
        </is>
      </c>
      <c r="I365" s="165" t="inlineStr">
        <is>
          <t>YOU TAKE — getting UCD's written position on your status, and reading section 14 of the Act (the duty to report) yourself.
THEY HOLD — nothing in the duty itself. If you are a mandated person, the duty is yours. What your supervisor holds is support and advice.
WHY THAT SPLIT — this is the one place in the file where the usual split does not apply. The law makes the duty personal.</t>
        </is>
      </c>
      <c r="J365" s="165" t="inlineStr">
        <is>
          <t>YOU RUN IT — when a concern arises, you decide whether your duty is engaged and make or join the report, with your supervisor supporting.
WHAT THEY ARE WATCHING FOR — handing it to the DLP and assuming that is the end of your part.
STEPPING IN LOOKS LIKE — 'have you confirmed the report went in, and is your name on it?'</t>
        </is>
      </c>
      <c r="K365" s="207" t="inlineStr">
        <is>
          <t>YOU DO IT ALONE — make, or confirm you are named on, a report to Tusla for any concern at threshold, as soon as practicable, and keep your record.
PASS TEST — The duty is personal, not delegable
EVIDENCE TO FILE — UCD's written confirmation of your status on file; your own record of any report. Log against 6. Ethical Practice.
WHAT FAILURE LOOKS LIKE — the DLP decides not to report, you do nothing more, and the concern was at threshold.</t>
        </is>
      </c>
      <c r="L365" s="165" t="inlineStr">
        <is>
          <t>YOU CAN TEACH IT — you can explain Schedule 2, section 14, joint reporting, and the difference between the DLP's role and the mandated person's own duty.
WHEN IT GOES WRONG — you can say what to do when the DLP will not report and you believe the threshold is met: report to Tusla yourself, tell your supervisor, and record it.</t>
        </is>
      </c>
      <c r="M365" s="224" t="inlineStr">
        <is>
          <t>Believing that telling the DLP discharges your own duty as a mandated person.</t>
        </is>
      </c>
      <c r="N365" s="165" t="inlineStr">
        <is>
          <t>→ Feeds into 'Act the same day without waiting for supervision' and 'Report to the DLP and record the time'.</t>
        </is>
      </c>
      <c r="O365" s="225" t="inlineStr">
        <is>
          <t>Not started</t>
        </is>
      </c>
      <c r="P365" s="165" t="inlineStr">
        <is>
          <t>WATCH FOR — how your supervisor describes their own duty, and how the service handles joint reports with the DLP.</t>
        </is>
      </c>
      <c r="Q365" s="139" t="inlineStr">
        <is>
          <t>Year 1</t>
        </is>
      </c>
      <c r="R365" s="226" t="inlineStr">
        <is>
          <t>26/10/2026</t>
        </is>
      </c>
      <c r="S365" s="226" t="inlineStr">
        <is>
          <t>16/11/2026</t>
        </is>
      </c>
      <c r="T365" s="226" t="inlineStr">
        <is>
          <t>14/12/2026</t>
        </is>
      </c>
      <c r="U365" s="139" t="inlineStr">
        <is>
          <t>UCD written confirmation of status · own report record · Log sheet tagged 6. Ethical Practice</t>
        </is>
      </c>
    </row>
    <row r="366" outlineLevel="2" ht="19.5" customHeight="1" s="128">
      <c r="A366" s="219" t="inlineStr">
        <is>
          <t>MACRO SKILL</t>
        </is>
      </c>
      <c r="B366" s="219" t="inlineStr">
        <is>
          <t>6. Ethical Practice</t>
        </is>
      </c>
      <c r="C366" s="219" t="inlineStr">
        <is>
          <t>Complete service induction</t>
        </is>
      </c>
      <c r="D366" s="219" t="n"/>
      <c r="E366" s="219" t="inlineStr">
        <is>
          <t>3 blocks · 5 micro-skills</t>
        </is>
      </c>
      <c r="F366" s="219" t="inlineStr">
        <is>
          <t>CORU 1.9 · 3.13 · 1.13</t>
        </is>
      </c>
      <c r="G366" s="219" t="n"/>
      <c r="H366" s="219" t="n"/>
      <c r="I366" s="219" t="n"/>
      <c r="J366" s="219" t="n"/>
      <c r="K366" s="219" t="n"/>
      <c r="L366" s="219" t="n"/>
      <c r="M366" s="219" t="n"/>
      <c r="N366" s="219" t="n"/>
      <c r="O366" s="219" t="n"/>
      <c r="P366" s="219" t="n"/>
      <c r="Q366" s="219" t="inlineStr">
        <is>
          <t>Year 1</t>
        </is>
      </c>
      <c r="R366" s="219" t="n"/>
      <c r="S366" s="219" t="n"/>
      <c r="T366" s="219" t="n"/>
      <c r="U366" s="219" t="n"/>
    </row>
    <row r="367" outlineLevel="2" ht="43.5" customHeight="1" s="128">
      <c r="A367" s="220" t="inlineStr">
        <is>
          <t>BLOCK</t>
        </is>
      </c>
      <c r="B367" s="220" t="inlineStr">
        <is>
          <t>6. Ethical Practice</t>
        </is>
      </c>
      <c r="C367" s="220" t="inlineStr">
        <is>
          <t>Complete service induction</t>
        </is>
      </c>
      <c r="D367" s="221" t="inlineStr">
        <is>
          <t>Block 1 · The safety layer</t>
        </is>
      </c>
      <c r="E367" s="222" t="inlineStr">
        <is>
          <t>Health and safety, lone working, home visit procedure.</t>
        </is>
      </c>
      <c r="F367" s="220" t="inlineStr">
        <is>
          <t>2–3 hours, once · Weeks 1–2</t>
        </is>
      </c>
      <c r="G367" s="220" t="n"/>
      <c r="H367" s="220" t="n"/>
      <c r="I367" s="220" t="n"/>
      <c r="J367" s="220" t="n"/>
      <c r="K367" s="220" t="n"/>
      <c r="L367" s="220" t="n"/>
      <c r="M367" s="222" t="n"/>
      <c r="N367" s="220" t="n"/>
      <c r="O367" s="220" t="n"/>
      <c r="P367" s="220" t="inlineStr">
        <is>
          <t>How you build it: Ask for the induction checklist in writing. Work through it.</t>
        </is>
      </c>
      <c r="Q367" s="220" t="n"/>
      <c r="R367" s="220" t="n"/>
      <c r="S367" s="220" t="n"/>
      <c r="T367" s="220" t="n"/>
      <c r="U367" s="220" t="n"/>
    </row>
    <row r="368" outlineLevel="2" ht="120" customHeight="1" s="128">
      <c r="A368" s="139" t="inlineStr">
        <is>
          <t>MICRO-SKILL</t>
        </is>
      </c>
      <c r="B368" s="139" t="inlineStr">
        <is>
          <t>6. Ethical Practice</t>
        </is>
      </c>
      <c r="C368" s="139" t="inlineStr">
        <is>
          <t>Complete service induction</t>
        </is>
      </c>
      <c r="D368" s="139" t="inlineStr">
        <is>
          <t>Block 1 · The safety layer</t>
        </is>
      </c>
      <c r="E368" s="223" t="inlineStr">
        <is>
          <t>Complete health and safety and lone working induction</t>
        </is>
      </c>
      <c r="F368" s="139" t="inlineStr">
        <is>
          <t>CORU SoP 3.13 · 3.14</t>
        </is>
      </c>
      <c r="G368" s="227" t="inlineStr">
        <is>
          <t>Educational psychologists work alone in schools, homes and cars. The service's lone working procedure exists so someone knows where you are, when you are due back, and what to do if you are not. CORU SoP 3.13 and 3.14 place safe practice on you as well as the employer. Home visits carry particular risk: an unknown environment, other adults present, pets, and no colleague nearby. Skipping induction means you will not know the procedure on the day you need it.</t>
        </is>
      </c>
      <c r="H368" s="165" t="inlineStr">
        <is>
          <t>WATCH FOR — what your supervisor does before a home visit: who they tell, the check-in time, what they take, where they park, and the code word or exit plan if the service has one.
WRITE DOWN — the service's lone working procedure step by step: sign-out, check-in, escalation if you miss a check-in.
ASK AFTERWARDS — 'have you ever left a visit early? What made you go?'</t>
        </is>
      </c>
      <c r="I368" s="165" t="inlineStr">
        <is>
          <t>YOU TAKE — following the sign-out and check-in procedure for joint visits yourself.
THEY HOLD — the risk assessment for the visit and the decision on whether it goes ahead.
WHY THAT SPLIT — following the procedure builds the habit while someone is with you. Assessing risk from a referral needs knowledge of the area and the family that you do not yet have.</t>
        </is>
      </c>
      <c r="J368" s="165" t="inlineStr">
        <is>
          <t>YOU RUN IT — do the pre-visit risk check yourself and present it to your supervisor before a visit you lead.
WHAT THEY ARE WATCHING FOR — skipping sign-out for a 'quick' visit, and not reading the file for risk information.
STEPPING IN LOOKS LIKE — 'is there anything on file about other adults in the house?'</t>
        </is>
      </c>
      <c r="K368" s="207" t="inlineStr">
        <is>
          <t>YOU DO IT ALONE — follow the lone working procedure for every visit, and read the file for risk information before you go.
PASS TEST — You know the procedure for a home visit
EVIDENCE TO FILE — induction checklist signed. Log against 6. Ethical Practice.
WHAT FAILURE LOOKS LIKE — you are at a home visit that becomes unsafe and nobody knows where you are.</t>
        </is>
      </c>
      <c r="L368" s="165" t="inlineStr">
        <is>
          <t>YOU CAN TEACH IT — you can walk a new trainee through the procedure, explain why each step exists, and describe the warning signs that should end a visit early.
WHEN IT GOES WRONG — you can say what to do when a visit feels unsafe: leave, without explaining in detail if need be, contact your check-in person, and record and report it.</t>
        </is>
      </c>
      <c r="M368" s="224" t="inlineStr">
        <is>
          <t>Doing a 'quick' home visit without signing out because it was only twenty minutes.</t>
        </is>
      </c>
      <c r="N368" s="165" t="inlineStr">
        <is>
          <t>→ Feeds into 'Identify the DLP by name in week one' and into Working with Others — home-based work.</t>
        </is>
      </c>
      <c r="O368" s="225" t="inlineStr">
        <is>
          <t>Not started</t>
        </is>
      </c>
      <c r="P368" s="165" t="inlineStr">
        <is>
          <t>WATCH FOR — what your supervisor does before a home visit: who they tell, the check-in time, what they take, where they park, and the code word or exit plan if the service has one.</t>
        </is>
      </c>
      <c r="Q368" s="139" t="inlineStr">
        <is>
          <t>Year 1</t>
        </is>
      </c>
      <c r="R368" s="226" t="inlineStr">
        <is>
          <t>26/10/2026</t>
        </is>
      </c>
      <c r="S368" s="226" t="inlineStr">
        <is>
          <t>16/11/2026</t>
        </is>
      </c>
      <c r="T368" s="226" t="inlineStr">
        <is>
          <t>14/12/2026</t>
        </is>
      </c>
      <c r="U368" s="139" t="inlineStr">
        <is>
          <t>Signed induction checklist · Log sheet tagged 6. Ethical Practice</t>
        </is>
      </c>
    </row>
    <row r="369" outlineLevel="2" ht="43.5" customHeight="1" s="128">
      <c r="A369" s="220" t="inlineStr">
        <is>
          <t>BLOCK</t>
        </is>
      </c>
      <c r="B369" s="220" t="inlineStr">
        <is>
          <t>6. Ethical Practice</t>
        </is>
      </c>
      <c r="C369" s="220" t="inlineStr">
        <is>
          <t>Complete service induction</t>
        </is>
      </c>
      <c r="D369" s="221" t="inlineStr">
        <is>
          <t>Block 2 · The people layer</t>
        </is>
      </c>
      <c r="E369" s="222" t="inlineStr">
        <is>
          <t>Who the DLP is, who to contact for what, and how urgently.</t>
        </is>
      </c>
      <c r="F369" s="220" t="inlineStr">
        <is>
          <t>1 hour, week one · Weeks 1–2</t>
        </is>
      </c>
      <c r="G369" s="220" t="n"/>
      <c r="H369" s="220" t="n"/>
      <c r="I369" s="220" t="n"/>
      <c r="J369" s="220" t="n"/>
      <c r="K369" s="220" t="n"/>
      <c r="L369" s="220" t="n"/>
      <c r="M369" s="222" t="n"/>
      <c r="N369" s="220" t="n"/>
      <c r="O369" s="220" t="n"/>
      <c r="P369" s="220" t="inlineStr">
        <is>
          <t>How you build it: Write the names and numbers on one card. Keep it with you.</t>
        </is>
      </c>
      <c r="Q369" s="220" t="n"/>
      <c r="R369" s="220" t="n"/>
      <c r="S369" s="220" t="n"/>
      <c r="T369" s="220" t="n"/>
      <c r="U369" s="220" t="n"/>
    </row>
    <row r="370" outlineLevel="2" ht="120" customHeight="1" s="128">
      <c r="A370" s="139" t="inlineStr">
        <is>
          <t>MICRO-SKILL</t>
        </is>
      </c>
      <c r="B370" s="139" t="inlineStr">
        <is>
          <t>6. Ethical Practice</t>
        </is>
      </c>
      <c r="C370" s="139" t="inlineStr">
        <is>
          <t>Complete service induction</t>
        </is>
      </c>
      <c r="D370" s="139" t="inlineStr">
        <is>
          <t>Block 2 · The people layer</t>
        </is>
      </c>
      <c r="E370" s="223" t="inlineStr">
        <is>
          <t>Identify the DLP by name in week one</t>
        </is>
      </c>
      <c r="F370" s="139" t="inlineStr">
        <is>
          <t>Handbook §6.2</t>
        </is>
      </c>
      <c r="G370" s="227" t="inlineStr">
        <is>
          <t>Every organisation providing services to children must have a Designated Liaison Person (DLP) for child protection (Children First National Guidance, 2017). In schools this is normally the principal, with a deputy DLP. Your placement service will also have its own DLP. When a concern arises you have minutes, not days, to act. Having to find out who the DLP is at that moment costs time and adds stress. The UCD Handbook §6.2 expects you to know this — read that section for the exact requirement.</t>
        </is>
      </c>
      <c r="H370" s="165" t="inlineStr">
        <is>
          <t>WATCH FOR — who your supervisor names as DLP for the service, and how they find the DLP for each school they visit.
WRITE DOWN — the service DLP and deputy, with phone numbers, and the DLP for every school on your caseload.
ASK AFTERWARDS — 'if a school's DLP isn't available, who do you go to?'</t>
        </is>
      </c>
      <c r="I370" s="165" t="inlineStr">
        <is>
          <t>YOU TAKE — building the DLP list for your schools, confirming each name with the school office.
THEY HOLD — the service-level contact and any escalation.
WHY THAT SPLIT — building the list is a simple task that should be yours from day one. The escalation routes are the service's to set.</t>
        </is>
      </c>
      <c r="J370" s="165" t="inlineStr">
        <is>
          <t>YOU RUN IT — keep the DLP list current and check the DLP when you first visit each new school.
WHAT THEY ARE WATCHING FOR — a list made once and never updated when schools change principal.
STEPPING IN LOOKS LIKE — 'who's the DLP at the school you're going to this morning?'</t>
        </is>
      </c>
      <c r="K370" s="207" t="inlineStr">
        <is>
          <t>YOU DO IT ALONE — have the DLP and deputy for the service and every school written down, where you can reach them without a laptop, by the end of week one.
PASS TEST — Written down, not looked up later
EVIDENCE TO FILE — the DLP list, kept securely. Log against 6. Ethical Practice.
WHAT FAILURE LOOKS LIKE — a child discloses and you spend twenty minutes finding out who to tell.</t>
        </is>
      </c>
      <c r="L370" s="165" t="inlineStr">
        <is>
          <t>YOU CAN TEACH IT — you can explain the DLP role, how it differs from your own duty as a mandated person, and why the list must exist before it is needed.
WHEN IT GOES WRONG — you can say what to do when neither DLP can be reached: your own duty to report to Tusla still stands, so report directly and tell the DLP afterwards.</t>
        </is>
      </c>
      <c r="M370" s="224" t="inlineStr">
        <is>
          <t>Not knowing the school's DLP when you are on site with a concern.</t>
        </is>
      </c>
      <c r="N370" s="165" t="inlineStr">
        <is>
          <t>→ Feeds into 'Report to the DLP and record the time' and into 'Act the same day without waiting for supervision'.</t>
        </is>
      </c>
      <c r="O370" s="225" t="inlineStr">
        <is>
          <t>Not started</t>
        </is>
      </c>
      <c r="P370" s="165" t="inlineStr">
        <is>
          <t>WATCH FOR — who your supervisor names as DLP for the service, and how they find the DLP for each school they visit.</t>
        </is>
      </c>
      <c r="Q370" s="139" t="inlineStr">
        <is>
          <t>Year 1</t>
        </is>
      </c>
      <c r="R370" s="226" t="inlineStr">
        <is>
          <t>26/10/2026</t>
        </is>
      </c>
      <c r="S370" s="226" t="inlineStr">
        <is>
          <t>16/11/2026</t>
        </is>
      </c>
      <c r="T370" s="226" t="inlineStr">
        <is>
          <t>14/12/2026</t>
        </is>
      </c>
      <c r="U370" s="139" t="inlineStr">
        <is>
          <t>DLP list · Log sheet tagged 6. Ethical Practice</t>
        </is>
      </c>
    </row>
    <row r="371" outlineLevel="2" ht="120" customHeight="1" s="128">
      <c r="A371" s="139" t="inlineStr">
        <is>
          <t>MICRO-SKILL</t>
        </is>
      </c>
      <c r="B371" s="139" t="inlineStr">
        <is>
          <t>6. Ethical Practice</t>
        </is>
      </c>
      <c r="C371" s="139" t="inlineStr">
        <is>
          <t>Complete service induction</t>
        </is>
      </c>
      <c r="D371" s="139" t="inlineStr">
        <is>
          <t>Block 2 · The people layer</t>
        </is>
      </c>
      <c r="E371" s="223" t="inlineStr">
        <is>
          <t>Learn the referral and risk pathways</t>
        </is>
      </c>
      <c r="F371" s="139" t="inlineStr">
        <is>
          <t>CORU SoP 1.2</t>
        </is>
      </c>
      <c r="G371" s="227" t="inlineStr">
        <is>
          <t>You will meet needs you cannot meet: self-harm, suicidal thinking, mental illness, disability, family crisis. Each has a route, such as CAMHS, primary care psychology, the Children's Disability Network Team, Tusla, the GP or emergency services, and each route has criteria, a way in and a waiting time. Knowing that a pathway exists is not enough. You need to know what happens after you refer, or you cannot tell the family what to expect or judge whether the referral is the right one.</t>
        </is>
      </c>
      <c r="H371" s="165" t="inlineStr">
        <is>
          <t>WATCH FOR — how your supervisor decides where to refer, and what they tell the family about what happens next.
WRITE DOWN — for each main pathway: who can refer, how, the criteria, what happens next, the likely wait, and what to do in an emergency.
ASK AFTERWARDS — 'which referral route do trainees most often misunderstand here?'</t>
        </is>
      </c>
      <c r="I371" s="165" t="inlineStr">
        <is>
          <t>YOU TAKE — building a one-page pathway map for the service and checking it with your supervisor.
THEY HOLD — referral decisions for your cases, and any urgent risk response.
WHY THAT SPLIT — mapping is research you can do alone. Referral decisions and risk responses carry consequences you need to have seen handled first.</t>
        </is>
      </c>
      <c r="J371" s="165" t="inlineStr">
        <is>
          <t>YOU RUN IT — propose the referral route for your case and explain to your supervisor what will happen after it.
WHAT THEY ARE WATCHING FOR — referring to a service whose criteria the child does not meet, and not knowing the emergency route for suicide risk.
STEPPING IN LOOKS LIKE — 'what does CAMHS need to see in the referral to accept it?'</t>
        </is>
      </c>
      <c r="K371" s="207" t="inlineStr">
        <is>
          <t>YOU DO IT ALONE — refer by the right route, and tell the family accurately what will happen next and how long it may take.
PASS TEST — You know what happens after you refer
EVIDENCE TO FILE — the pathway map and referral records. Log against 6. Ethical Practice and 5. Working with Others.
WHAT FAILURE LOOKS LIKE — a referral rejected weeks later for not meeting criteria, and a family left waiting for nothing.</t>
        </is>
      </c>
      <c r="L371" s="165" t="inlineStr">
        <is>
          <t>YOU CAN TEACH IT — you can explain the local pathways, their criteria and what to expect, and the emergency route for risk.
WHEN IT GOES WRONG — you can say what to do when a referral is rejected: find out why, tell the family, and find another route rather than closing the case.</t>
        </is>
      </c>
      <c r="M371" s="224" t="inlineStr">
        <is>
          <t>Referring without knowing the service's criteria, so the referral bounces and the family waits for nothing.</t>
        </is>
      </c>
      <c r="N371" s="165" t="inlineStr">
        <is>
          <t>→ Feeds into 'Refer on and maintain responsibility until contact is made' and into Working with Others.</t>
        </is>
      </c>
      <c r="O371" s="225" t="inlineStr">
        <is>
          <t>Not started</t>
        </is>
      </c>
      <c r="P371" s="165" t="inlineStr">
        <is>
          <t>WATCH FOR — how your supervisor decides where to refer, and what they tell the family about what happens next.</t>
        </is>
      </c>
      <c r="Q371" s="139" t="inlineStr">
        <is>
          <t>Year 1</t>
        </is>
      </c>
      <c r="R371" s="226" t="inlineStr">
        <is>
          <t>26/10/2026</t>
        </is>
      </c>
      <c r="S371" s="226" t="inlineStr">
        <is>
          <t>16/11/2026</t>
        </is>
      </c>
      <c r="T371" s="226" t="inlineStr">
        <is>
          <t>14/12/2026</t>
        </is>
      </c>
      <c r="U371" s="139" t="inlineStr">
        <is>
          <t>Pathway map · referral records · Log sheet tagged 6. Ethical Practice and 5. Working with Others</t>
        </is>
      </c>
    </row>
    <row r="372" outlineLevel="2" ht="43.5" customHeight="1" s="128">
      <c r="A372" s="220" t="inlineStr">
        <is>
          <t>BLOCK</t>
        </is>
      </c>
      <c r="B372" s="220" t="inlineStr">
        <is>
          <t>6. Ethical Practice</t>
        </is>
      </c>
      <c r="C372" s="220" t="inlineStr">
        <is>
          <t>Complete service induction</t>
        </is>
      </c>
      <c r="D372" s="221" t="inlineStr">
        <is>
          <t>Block 3 · The records layer</t>
        </is>
      </c>
      <c r="E372" s="222" t="inlineStr">
        <is>
          <t>Where records live, for how long, and what you may and may not do with them.</t>
        </is>
      </c>
      <c r="F372" s="220" t="inlineStr">
        <is>
          <t>2 hours, once · Weeks 1–2</t>
        </is>
      </c>
      <c r="G372" s="220" t="n"/>
      <c r="H372" s="220" t="n"/>
      <c r="I372" s="220" t="n"/>
      <c r="J372" s="220" t="n"/>
      <c r="K372" s="220" t="n"/>
      <c r="L372" s="220" t="n"/>
      <c r="M372" s="222" t="n"/>
      <c r="N372" s="220" t="n"/>
      <c r="O372" s="220" t="n"/>
      <c r="P372" s="220" t="inlineStr">
        <is>
          <t>How you build it: Read the information governance policy. Ask what the retention schedule is.</t>
        </is>
      </c>
      <c r="Q372" s="220" t="n"/>
      <c r="R372" s="220" t="n"/>
      <c r="S372" s="220" t="n"/>
      <c r="T372" s="220" t="n"/>
      <c r="U372" s="220" t="n"/>
    </row>
    <row r="373" outlineLevel="2" ht="120" customHeight="1" s="128">
      <c r="A373" s="139" t="inlineStr">
        <is>
          <t>MICRO-SKILL</t>
        </is>
      </c>
      <c r="B373" s="139" t="inlineStr">
        <is>
          <t>6. Ethical Practice</t>
        </is>
      </c>
      <c r="C373" s="139" t="inlineStr">
        <is>
          <t>Complete service induction</t>
        </is>
      </c>
      <c r="D373" s="139" t="inlineStr">
        <is>
          <t>Block 3 · The records layer</t>
        </is>
      </c>
      <c r="E373" s="223" t="inlineStr">
        <is>
          <t>Learn the records, IT and information governance policy</t>
        </is>
      </c>
      <c r="F373" s="139" t="inlineStr">
        <is>
          <t>GDPR · CORU SoP 1.13</t>
        </is>
      </c>
      <c r="G373" s="227" t="inlineStr">
        <is>
          <t>Psychological records are special category personal data under the GDPR (Article 9) and the Data Protection Act 2018. You need to know where records are kept, who can see them, how long they are kept, how they are destroyed, and what to do if data is lost. Retention periods are set by the service's policy, and HSE and Department of Education services differ, so check rather than assume. A lost notebook or an email to the wrong address is a reportable data breach.</t>
        </is>
      </c>
      <c r="H373" s="165" t="inlineStr">
        <is>
          <t>WATCH FOR — where your supervisor keeps notes, protocols and reports; what they carry out of the office; how they send reports; and what they never email.
WRITE DOWN — the service's rules on storage, transport, email, retention and breach reporting, and the Data Protection Officer's contact.
ASK AFTERWARDS — 'what's the most common data mistake you see from new staff?'</t>
        </is>
      </c>
      <c r="I373" s="165" t="inlineStr">
        <is>
          <t>YOU TAKE — following the policy for your own notes and protocols from the first day.
THEY HOLD — decisions on sharing information with other agencies.
WHY THAT SPLIT — handling your own records is a daily habit. Sharing across agencies has legal conditions that need someone who knows them.</t>
        </is>
      </c>
      <c r="J373" s="165" t="inlineStr">
        <is>
          <t>YOU RUN IT — manage your caseload records to policy; your supervisor spot-checks.
WHAT THEY ARE WATCHING FOR — protocols in the car overnight, notes on a personal device, identifiable details in your own learning log.
STEPPING IN LOOKS LIKE — 'where are the protocols from this morning right now?'</t>
        </is>
      </c>
      <c r="K373" s="207" t="inlineStr">
        <is>
          <t>YOU DO IT ALONE — store, transport, send and retain records to policy, and know what to do if something is lost.
PASS TEST — You know where records live and for how long
EVIDENCE TO FILE — induction checklist signed. Log against 6. Ethical Practice. Keep identifiers out of your own log.
WHAT FAILURE LOOKS LIKE — a report emailed to the wrong parent, and you do not know who to tell.</t>
        </is>
      </c>
      <c r="L373" s="165" t="inlineStr">
        <is>
          <t>YOU CAN TEACH IT — you can explain why psychological records are special category data, the service's retention and transport rules, and the breach procedure.
WHEN IT GOES WRONG — you can say what to do when data is lost or misdirected: tell your supervisor and the Data Protection Officer at once, because the controller has 72 hours to notify the Data Protection Commission where required (GDPR Art. 33).</t>
        </is>
      </c>
      <c r="M373" s="224" t="inlineStr">
        <is>
          <t>Keeping identifiable case details in your own learning log or on a personal device.</t>
        </is>
      </c>
      <c r="N373" s="165" t="inlineStr">
        <is>
          <t>→ Feeds into record-keeping throughout — 'Record what was explained', 'Record verbatim what was said or seen, at the time'.</t>
        </is>
      </c>
      <c r="O373" s="225" t="inlineStr">
        <is>
          <t>Not started</t>
        </is>
      </c>
      <c r="P373" s="165" t="inlineStr">
        <is>
          <t>WATCH FOR — where your supervisor keeps notes, protocols and reports; what they carry out of the office; how they send reports; and what they never email.</t>
        </is>
      </c>
      <c r="Q373" s="139" t="inlineStr">
        <is>
          <t>Year 1</t>
        </is>
      </c>
      <c r="R373" s="226" t="inlineStr">
        <is>
          <t>26/10/2026</t>
        </is>
      </c>
      <c r="S373" s="226" t="inlineStr">
        <is>
          <t>16/11/2026</t>
        </is>
      </c>
      <c r="T373" s="226" t="inlineStr">
        <is>
          <t>14/12/2026</t>
        </is>
      </c>
      <c r="U373" s="139" t="inlineStr">
        <is>
          <t>Signed induction checklist · Log sheet tagged 6. Ethical Practice</t>
        </is>
      </c>
    </row>
    <row r="374" outlineLevel="2" ht="120" customHeight="1" s="128">
      <c r="A374" s="139" t="inlineStr">
        <is>
          <t>MICRO-SKILL</t>
        </is>
      </c>
      <c r="B374" s="139" t="inlineStr">
        <is>
          <t>6. Ethical Practice</t>
        </is>
      </c>
      <c r="C374" s="139" t="inlineStr">
        <is>
          <t>Complete service induction</t>
        </is>
      </c>
      <c r="D374" s="139" t="inlineStr">
        <is>
          <t>Block 3 · The records layer</t>
        </is>
      </c>
      <c r="E374" s="223" t="inlineStr">
        <is>
          <t>Ask which tools you may administer independently here</t>
        </is>
      </c>
      <c r="F374" s="139" t="inlineStr">
        <is>
          <t>PSI Code 3.3.6</t>
        </is>
      </c>
      <c r="G374" s="227" t="inlineStr">
        <is>
          <t>Test publishers restrict who may buy and use their instruments, and services add their own rules about what trainees may do unsupervised. PSI Code 3.3.6 is the standard mapped here. If this is not agreed in writing, a trainee can end up giving a test they are not permitted to use alone, and the scores may not be usable. The Placement Plan is where this belongs, agreed at the start.</t>
        </is>
      </c>
      <c r="H374" s="165" t="inlineStr">
        <is>
          <t>WATCH FOR — which tools your supervisor uses, which they would let a trainee administer, and which they would not.
WRITE DOWN — every tool you might use, with the publisher's qualification level and the service's rule for trainees.
ASK AFTERWARDS — 'is there a tool here that you'd never let a trainee give alone, and why?'</t>
        </is>
      </c>
      <c r="I374" s="165" t="inlineStr">
        <is>
          <t>YOU TAKE — drafting the list of tools and your proposed level of independence for each.
THEY HOLD — agreeing the list and signing the Placement Plan.
WHY THAT SPLIT — drafting shows your knowledge of the tools. The decision rests on their responsibility for your work.</t>
        </is>
      </c>
      <c r="J374" s="165" t="inlineStr">
        <is>
          <t>YOU RUN IT — raise the tools list in the first placement planning meeting and get it agreed.
WHAT THEY ARE WATCHING FOR — assuming that because you gave a test at the last placement you can give it alone here.
STEPPING IN LOOKS LIKE — 'is that in the Placement Plan yet?'</t>
        </is>
      </c>
      <c r="K374" s="207" t="inlineStr">
        <is>
          <t>YOU DO IT ALONE — have the list of tools, and the level of independence for each, written into the Placement Plan in the first two weeks.
PASS TEST — Agreed in writing in the Placement Plan
EVIDENCE TO FILE — the signed Placement Plan. Log against 6. Ethical Practice and 1. Assessment.
WHAT FAILURE LOOKS LIKE — you administer a test alone and your supervisor says afterwards that you were not cleared for it.</t>
        </is>
      </c>
      <c r="L374" s="165" t="inlineStr">
        <is>
          <t>YOU CAN TEACH IT — you can explain publisher qualification levels, how services add their own rules, and why agreeing this in writing protects the child, the trainee and the supervisor.
WHEN IT GOES WRONG — you can say what to do when you are asked to give a tool not on the agreed list: say so, and ask for it to be added or supervised.</t>
        </is>
      </c>
      <c r="M374" s="224" t="inlineStr">
        <is>
          <t>Assuming last placement's tool clearances carry over to this one.</t>
        </is>
      </c>
      <c r="N374" s="165" t="inlineStr">
        <is>
          <t>→ Feeds into 'Know your publisher competence level for every tool' and into Assessment administration skills.</t>
        </is>
      </c>
      <c r="O374" s="225" t="inlineStr">
        <is>
          <t>Not started</t>
        </is>
      </c>
      <c r="P374" s="165" t="inlineStr">
        <is>
          <t>WATCH FOR — which tools your supervisor uses, which they would let a trainee administer, and which they would not.</t>
        </is>
      </c>
      <c r="Q374" s="139" t="inlineStr">
        <is>
          <t>Year 1</t>
        </is>
      </c>
      <c r="R374" s="226" t="inlineStr">
        <is>
          <t>26/10/2026</t>
        </is>
      </c>
      <c r="S374" s="226" t="inlineStr">
        <is>
          <t>16/11/2026</t>
        </is>
      </c>
      <c r="T374" s="226" t="inlineStr">
        <is>
          <t>14/12/2026</t>
        </is>
      </c>
      <c r="U374" s="139" t="inlineStr">
        <is>
          <t>Signed Placement Plan · Log sheet tagged 6. Ethical Practice and 1. Assessment</t>
        </is>
      </c>
    </row>
    <row r="375" outlineLevel="2" ht="19.5" customHeight="1" s="128">
      <c r="A375" s="219" t="inlineStr">
        <is>
          <t>MACRO SKILL</t>
        </is>
      </c>
      <c r="B375" s="219" t="inlineStr">
        <is>
          <t>6. Ethical Practice</t>
        </is>
      </c>
      <c r="C375" s="219" t="inlineStr">
        <is>
          <t>Obtain informed consent and assent</t>
        </is>
      </c>
      <c r="D375" s="219" t="n"/>
      <c r="E375" s="219" t="inlineStr">
        <is>
          <t>4 blocks · 8 micro-skills</t>
        </is>
      </c>
      <c r="F375" s="219" t="inlineStr">
        <is>
          <t>PSI Code 1.3 · CORU 1.15 · 1.16</t>
        </is>
      </c>
      <c r="G375" s="219" t="n"/>
      <c r="H375" s="219" t="n"/>
      <c r="I375" s="219" t="n"/>
      <c r="J375" s="219" t="n"/>
      <c r="K375" s="219" t="n"/>
      <c r="L375" s="219" t="n"/>
      <c r="M375" s="219" t="n"/>
      <c r="N375" s="219" t="n"/>
      <c r="O375" s="219" t="n"/>
      <c r="P375" s="219" t="n"/>
      <c r="Q375" s="219" t="inlineStr">
        <is>
          <t>Year 1</t>
        </is>
      </c>
      <c r="R375" s="219" t="n"/>
      <c r="S375" s="219" t="n"/>
      <c r="T375" s="219" t="n"/>
      <c r="U375" s="219" t="n"/>
    </row>
    <row r="376" outlineLevel="2" ht="43.5" customHeight="1" s="128">
      <c r="A376" s="220" t="inlineStr">
        <is>
          <t>BLOCK</t>
        </is>
      </c>
      <c r="B376" s="220" t="inlineStr">
        <is>
          <t>6. Ethical Practice</t>
        </is>
      </c>
      <c r="C376" s="220" t="inlineStr">
        <is>
          <t>Obtain informed consent and assent</t>
        </is>
      </c>
      <c r="D376" s="221" t="inlineStr">
        <is>
          <t>Block 1 · Knowing what consent requires</t>
        </is>
      </c>
      <c r="E376" s="222" t="inlineStr">
        <is>
          <t>The twenty clauses in PSI Code 1.3 and what each obliges you to cover.</t>
        </is>
      </c>
      <c r="F376" s="220" t="inlineStr">
        <is>
          <t>4–5 hours, once · Before placement</t>
        </is>
      </c>
      <c r="G376" s="220" t="n"/>
      <c r="H376" s="220" t="n"/>
      <c r="I376" s="220" t="n"/>
      <c r="J376" s="220" t="n"/>
      <c r="K376" s="220" t="n"/>
      <c r="L376" s="220" t="n"/>
      <c r="M376" s="222" t="n"/>
      <c r="N376" s="220" t="n"/>
      <c r="O376" s="220" t="n"/>
      <c r="P376" s="220" t="inlineStr">
        <is>
          <t>How you build it: Read Principle 1 in full. Build your own consent script from it.</t>
        </is>
      </c>
      <c r="Q376" s="220" t="n"/>
      <c r="R376" s="220" t="n"/>
      <c r="S376" s="220" t="n"/>
      <c r="T376" s="220" t="n"/>
      <c r="U376" s="220" t="n"/>
    </row>
    <row r="377" outlineLevel="2" ht="120" customHeight="1" s="128">
      <c r="A377" s="139" t="inlineStr">
        <is>
          <t>MICRO-SKILL</t>
        </is>
      </c>
      <c r="B377" s="139" t="inlineStr">
        <is>
          <t>6. Ethical Practice</t>
        </is>
      </c>
      <c r="C377" s="139" t="inlineStr">
        <is>
          <t>Obtain informed consent and assent</t>
        </is>
      </c>
      <c r="D377" s="139" t="inlineStr">
        <is>
          <t>Block 1 · Knowing what consent requires</t>
        </is>
      </c>
      <c r="E377" s="223" t="inlineStr">
        <is>
          <t>Explain purpose, process and who will see the report</t>
        </is>
      </c>
      <c r="F377" s="139" t="inlineStr">
        <is>
          <t>PSI Code 1.3.5</t>
        </is>
      </c>
      <c r="G377" s="227" t="inlineStr">
        <is>
          <t>Consent is only informed if the person knows what they are agreeing to: why you are involved, what you will do, how long it will take, what will be written, and who will read it. PSI Code 1.3.5 is the clause mapped here. Parents often assume the report stays with them, or that the school sees everything, or nothing. Someone who finds out afterwards who read the report has not given informed consent, and trust is hard to rebuild.</t>
        </is>
      </c>
      <c r="H377" s="165" t="inlineStr">
        <is>
          <t>WATCH FOR — how your supervisor explains involvement at the first meeting: the words they use, the order, and what they check the parent understood.
WRITE DOWN — the explanation as near verbatim as you can, and especially how they describe who receives the report.
ASK AFTERWARDS — 'what do parents most often misunderstand about who sees the report?'</t>
        </is>
      </c>
      <c r="I377" s="165" t="inlineStr">
        <is>
          <t>YOU TAKE — the explanation of process and timing, from a script you have checked with your supervisor.
THEY HOLD — questions about sharing with other agencies, and any hesitation from the parent.
WHY THAT SPLIT — the process explanation can be scripted. Questions about information-sharing need someone who knows the service policy exactly.</t>
        </is>
      </c>
      <c r="J377" s="165" t="inlineStr">
        <is>
          <t>YOU RUN IT — give the whole explanation and take the consent, with your supervisor present.
WHAT THEY ARE WATCHING FOR — jargon, rushing, and consent taken before the explanation has finished.
STEPPING IN LOOKS LIKE — 'can I just check — did you follow who'll get a copy?'</t>
        </is>
      </c>
      <c r="K377" s="207" t="inlineStr">
        <is>
          <t>YOU DO IT ALONE — explain purpose, process and who will see the report in plain words, check understanding, and only then take consent.
PASS TEST — In plain words, before anything begins
EVIDENCE TO FILE — the consent form and a note of what was explained. Log against 6. Ethical Practice.
WHAT FAILURE LOOKS LIKE — a parent upset at the feedback meeting because they did not know the school would get the report.</t>
        </is>
      </c>
      <c r="L377" s="165" t="inlineStr">
        <is>
          <t>YOU CAN TEACH IT — you can explain the elements of informed consent, why each matters, and how to check understanding without making the parent feel tested.
WHEN IT GOES WRONG — you can say what to do when a parent realises later they did not understand: stop, re-explain, and let them re-consent or withdraw.</t>
        </is>
      </c>
      <c r="M377" s="224" t="inlineStr">
        <is>
          <t>Taking a signature before explaining who will see the report.</t>
        </is>
      </c>
      <c r="N377" s="165" t="inlineStr">
        <is>
          <t>→ Feeds into 'State the right to stop or withdraw', 'Record what was explained, not just that consent was given', and Working with Others.</t>
        </is>
      </c>
      <c r="O377" s="225" t="inlineStr">
        <is>
          <t>Not started</t>
        </is>
      </c>
      <c r="P377" s="165" t="inlineStr">
        <is>
          <t>WATCH FOR — how your supervisor explains involvement at the first meeting: the words they use, the order, and what they check the parent understood.</t>
        </is>
      </c>
      <c r="Q377" s="139" t="inlineStr">
        <is>
          <t>Year 1</t>
        </is>
      </c>
      <c r="R377" s="226" t="inlineStr">
        <is>
          <t>26/10/2026</t>
        </is>
      </c>
      <c r="S377" s="226" t="inlineStr">
        <is>
          <t>16/11/2026</t>
        </is>
      </c>
      <c r="T377" s="226" t="inlineStr">
        <is>
          <t>14/12/2026</t>
        </is>
      </c>
      <c r="U377" s="139" t="inlineStr">
        <is>
          <t>Consent form · note of explanation · Log sheet tagged 6. Ethical Practice</t>
        </is>
      </c>
    </row>
    <row r="378" outlineLevel="2" ht="120" customHeight="1" s="128">
      <c r="A378" s="139" t="inlineStr">
        <is>
          <t>MICRO-SKILL</t>
        </is>
      </c>
      <c r="B378" s="139" t="inlineStr">
        <is>
          <t>6. Ethical Practice</t>
        </is>
      </c>
      <c r="C378" s="139" t="inlineStr">
        <is>
          <t>Obtain informed consent and assent</t>
        </is>
      </c>
      <c r="D378" s="139" t="inlineStr">
        <is>
          <t>Block 1 · Knowing what consent requires</t>
        </is>
      </c>
      <c r="E378" s="223" t="inlineStr">
        <is>
          <t>State the right to stop or withdraw</t>
        </is>
      </c>
      <c r="F378" s="139" t="inlineStr">
        <is>
          <t>PSI Code 1.3.5</t>
        </is>
      </c>
      <c r="G378" s="227" t="inlineStr">
        <is>
          <t>Consent is ongoing. A parent, young person or child can stop a session or withdraw from involvement at any point, and must be told so at the start (PSI Code 1.3.5). Families often feel they cannot say no to a psychologist the school has brought in, especially where they fear it will affect support. Unless the right to withdraw is stated, consent is not truly voluntary. Families who know they can stop are, in practice, more likely to stay.</t>
        </is>
      </c>
      <c r="H378" s="165" t="inlineStr">
        <is>
          <t>WATCH FOR — whether and how your supervisor tells families and children they can stop, and whether they repeat it later.
WRITE DOWN — the words they use for adults and the words they use for children.
ASK AFTERWARDS — 'has anyone ever withdrawn? How did you handle what the school expected?'</t>
        </is>
      </c>
      <c r="I378" s="165" t="inlineStr">
        <is>
          <t>YOU TAKE — saying the right-to-withdraw sentence to the parent and the child, from a script checked by your supervisor.
THEY HOLD — what happens if someone does withdraw, including the conversation with the school.
WHY THAT SPLIT — the statement is short and can be practised word for word. Handling a withdrawal involves the school relationship and service consequences.</t>
        </is>
      </c>
      <c r="J378" s="165" t="inlineStr">
        <is>
          <t>YOU RUN IT — state the right to stop, to parent and child, at the start and again before any demanding task.
WHAT THEY ARE WATCHING FOR — mentioning it so quickly, or so formally, that nobody could act on it.
STEPPING IN LOOKS LIKE — your supervisor adding, to the child, 'and you can say stop to us too.'</t>
        </is>
      </c>
      <c r="K378" s="207" t="inlineStr">
        <is>
          <t>YOU DO IT ALONE — tell every parent and child, in words they understand, that they can stop or withdraw at any time without it affecting the help they get, and record that you said it.
PASS TEST — It was mentioned
EVIDENCE TO FILE — the note of consent discussion. Log against 6. Ethical Practice.
WHAT FAILURE LOOKS LIKE — a parent who wanted to stop but did not know they could, and complains afterwards.</t>
        </is>
      </c>
      <c r="L378" s="165" t="inlineStr">
        <is>
          <t>YOU CAN TEACH IT — you can explain why the right to withdraw is part of valid consent, how to say it so it is heard, and how to adapt it for a young child.
WHEN IT GOES WRONG — you can say what to do when someone withdraws: accept it without pressure, record it, tell the referrer only what the family agrees to, and leave the door open.</t>
        </is>
      </c>
      <c r="M378" s="224" t="inlineStr">
        <is>
          <t>Stating the right to withdraw so briefly that no one could act on it.</t>
        </is>
      </c>
      <c r="N378" s="165" t="inlineStr">
        <is>
          <t>→ Feeds into 'Recognise and respond to non-verbal withdrawal' and 'Re-evaluate whether to continue at all'.</t>
        </is>
      </c>
      <c r="O378" s="225" t="inlineStr">
        <is>
          <t>Not started</t>
        </is>
      </c>
      <c r="P378" s="165" t="inlineStr">
        <is>
          <t>WATCH FOR — whether and how your supervisor tells families and children they can stop, and whether they repeat it later.</t>
        </is>
      </c>
      <c r="Q378" s="139" t="inlineStr">
        <is>
          <t>Year 1</t>
        </is>
      </c>
      <c r="R378" s="226" t="inlineStr">
        <is>
          <t>26/10/2026</t>
        </is>
      </c>
      <c r="S378" s="226" t="inlineStr">
        <is>
          <t>16/11/2026</t>
        </is>
      </c>
      <c r="T378" s="226" t="inlineStr">
        <is>
          <t>14/12/2026</t>
        </is>
      </c>
      <c r="U378" s="139" t="inlineStr">
        <is>
          <t>Note of consent discussion · Log sheet tagged 6. Ethical Practice</t>
        </is>
      </c>
    </row>
    <row r="379" outlineLevel="2" ht="43.5" customHeight="1" s="128">
      <c r="A379" s="220" t="inlineStr">
        <is>
          <t>BLOCK</t>
        </is>
      </c>
      <c r="B379" s="220" t="inlineStr">
        <is>
          <t>6. Ethical Practice</t>
        </is>
      </c>
      <c r="C379" s="220" t="inlineStr">
        <is>
          <t>Obtain informed consent and assent</t>
        </is>
      </c>
      <c r="D379" s="221" t="inlineStr">
        <is>
          <t>Block 2 · Confidentiality and its limits</t>
        </is>
      </c>
      <c r="E379" s="222" t="inlineStr">
        <is>
          <t>What you may not keep confidential, and saying so before it matters.</t>
        </is>
      </c>
      <c r="F379" s="220" t="inlineStr">
        <is>
          <t>2 hours, once · Weeks 1–2</t>
        </is>
      </c>
      <c r="G379" s="220" t="n"/>
      <c r="H379" s="220" t="n"/>
      <c r="I379" s="220" t="n"/>
      <c r="J379" s="220" t="n"/>
      <c r="K379" s="220" t="n"/>
      <c r="L379" s="220" t="n"/>
      <c r="M379" s="222" t="n"/>
      <c r="N379" s="220" t="n"/>
      <c r="O379" s="220" t="n"/>
      <c r="P379" s="220" t="inlineStr">
        <is>
          <t>How you build it: Write your own sentence for explaining limits to a child and to an adult. Use it every time.</t>
        </is>
      </c>
      <c r="Q379" s="220" t="n"/>
      <c r="R379" s="220" t="n"/>
      <c r="S379" s="220" t="n"/>
      <c r="T379" s="220" t="n"/>
      <c r="U379" s="220" t="n"/>
    </row>
    <row r="380" outlineLevel="2" ht="120" customHeight="1" s="128">
      <c r="A380" s="139" t="inlineStr">
        <is>
          <t>MICRO-SKILL</t>
        </is>
      </c>
      <c r="B380" s="139" t="inlineStr">
        <is>
          <t>6. Ethical Practice</t>
        </is>
      </c>
      <c r="C380" s="139" t="inlineStr">
        <is>
          <t>Obtain informed consent and assent</t>
        </is>
      </c>
      <c r="D380" s="139" t="inlineStr">
        <is>
          <t>Block 2 · Confidentiality and its limits</t>
        </is>
      </c>
      <c r="E380" s="223" t="inlineStr">
        <is>
          <t>State the limits of confidentiality before disclosure</t>
        </is>
      </c>
      <c r="F380" s="139" t="inlineStr">
        <is>
          <t>PSI Code 1.2.9 · CORU SoP 1.12</t>
        </is>
      </c>
      <c r="G380" s="227" t="inlineStr">
        <is>
          <t>Confidentiality has limits: risk of serious harm to the person or others, child protection concerns, and legal requirements such as a court order. Those limits must be explained before someone discloses, not after (PSI Code 1.2.9; CORU SoP 1.12). A young person who tells you something and then learns you have to pass it on may feel betrayed, and may not tell another adult again. Explaining the limits first lets them choose what to say, knowing what will happen.</t>
        </is>
      </c>
      <c r="H380" s="165" t="inlineStr">
        <is>
          <t>WATCH FOR — how your supervisor explains the limits to a parent, to a teenager and to a young child. Notice how the words change with age.
WRITE DOWN — the limits they list, and the child-friendly version.
ASK AFTERWARDS — 'how do you explain limits without making a child think you expect them to disclose something?'</t>
        </is>
      </c>
      <c r="I380" s="165" t="inlineStr">
        <is>
          <t>YOU TAKE — explaining the limits to a young person from a script checked with your supervisor.
THEY HOLD — responding to anything disclosed.
WHY THAT SPLIT — the explanation can be practised. Responding to a disclosure needs the child protection skills below, which you build next.</t>
        </is>
      </c>
      <c r="J380" s="165" t="inlineStr">
        <is>
          <t>YOU RUN IT — explain the limits yourself at the start of every session with a child or young person, with your supervisor present.
WHAT THEY ARE WATCHING FOR — leaving it out with young children, and 'everything's confidential' said as reassurance.
STEPPING IN LOOKS LIKE — your supervisor adding the limits if you forgot.</t>
        </is>
      </c>
      <c r="K380" s="207" t="inlineStr">
        <is>
          <t>YOU DO IT ALONE — explain the limits at the start, in age-appropriate words, before any conversation that could lead to disclosure.
PASS TEST — First, not after
EVIDENCE TO FILE — the note of the explanation. Log against 6. Ethical Practice.
WHAT FAILURE LOOKS LIKE — a teenager tells you about self-harm after you said everything was confidential, and now you have to break that.</t>
        </is>
      </c>
      <c r="L380" s="165" t="inlineStr">
        <is>
          <t>YOU CAN TEACH IT — you can explain the limits, the reason for stating them first, and how to phrase them for different ages.
WHEN IT GOES WRONG — you can say what to do when a disclosure comes before you explained the limits: do not promise secrecy, explain honestly now what you must do, and tell them what happens next.</t>
        </is>
      </c>
      <c r="M380" s="224" t="inlineStr">
        <is>
          <t>Promising a child that 'everything you say stays in this room'.</t>
        </is>
      </c>
      <c r="N380" s="165" t="inlineStr">
        <is>
          <t>→ Feeds into 'Do not investigate or question further' and 'Recognise a concern against the threshold'.</t>
        </is>
      </c>
      <c r="O380" s="225" t="inlineStr">
        <is>
          <t>Not started</t>
        </is>
      </c>
      <c r="P380" s="165" t="inlineStr">
        <is>
          <t>WATCH FOR — how your supervisor explains the limits to a parent, to a teenager and to a young child. Notice how the words change with age.</t>
        </is>
      </c>
      <c r="Q380" s="139" t="inlineStr">
        <is>
          <t>Year 1</t>
        </is>
      </c>
      <c r="R380" s="226" t="inlineStr">
        <is>
          <t>26/10/2026</t>
        </is>
      </c>
      <c r="S380" s="226" t="inlineStr">
        <is>
          <t>16/11/2026</t>
        </is>
      </c>
      <c r="T380" s="226" t="inlineStr">
        <is>
          <t>14/12/2026</t>
        </is>
      </c>
      <c r="U380" s="139" t="inlineStr">
        <is>
          <t>Note of consent and confidentiality discussion · Log sheet tagged 6. Ethical Practice</t>
        </is>
      </c>
    </row>
    <row r="381" outlineLevel="2" ht="43.5" customHeight="1" s="128">
      <c r="A381" s="220" t="inlineStr">
        <is>
          <t>BLOCK</t>
        </is>
      </c>
      <c r="B381" s="220" t="inlineStr">
        <is>
          <t>6. Ethical Practice</t>
        </is>
      </c>
      <c r="C381" s="220" t="inlineStr">
        <is>
          <t>Obtain informed consent and assent</t>
        </is>
      </c>
      <c r="D381" s="221" t="inlineStr">
        <is>
          <t>Block 3 · Consent where it is complicated</t>
        </is>
      </c>
      <c r="E381" s="222" t="inlineStr">
        <is>
          <t>Guardianship, capacity, and non-verbal indications of withdrawal.</t>
        </is>
      </c>
      <c r="F381" s="220" t="inlineStr">
        <is>
          <t>3–4 hours, once · Weeks 1–2</t>
        </is>
      </c>
      <c r="G381" s="220" t="n"/>
      <c r="H381" s="220" t="n"/>
      <c r="I381" s="220" t="n"/>
      <c r="J381" s="220" t="n"/>
      <c r="K381" s="220" t="n"/>
      <c r="L381" s="220" t="n"/>
      <c r="M381" s="222" t="n"/>
      <c r="N381" s="220" t="n"/>
      <c r="O381" s="220" t="n"/>
      <c r="P381" s="220" t="inlineStr">
        <is>
          <t>How you build it: Read the ADMCA sections on presumption of capacity and supported decision-making.</t>
        </is>
      </c>
      <c r="Q381" s="220" t="n"/>
      <c r="R381" s="220" t="n"/>
      <c r="S381" s="220" t="n"/>
      <c r="T381" s="220" t="n"/>
      <c r="U381" s="220" t="n"/>
    </row>
    <row r="382" outlineLevel="2" ht="120" customHeight="1" s="128">
      <c r="A382" s="139" t="inlineStr">
        <is>
          <t>MICRO-SKILL</t>
        </is>
      </c>
      <c r="B382" s="139" t="inlineStr">
        <is>
          <t>6. Ethical Practice</t>
        </is>
      </c>
      <c r="C382" s="139" t="inlineStr">
        <is>
          <t>Obtain informed consent and assent</t>
        </is>
      </c>
      <c r="D382" s="139" t="inlineStr">
        <is>
          <t>Block 3 · Consent where it is complicated</t>
        </is>
      </c>
      <c r="E382" s="223" t="inlineStr">
        <is>
          <t>Establish who holds guardianship before contact</t>
        </is>
      </c>
      <c r="F382" s="139" t="inlineStr">
        <is>
          <t>CORU SoP 1.15</t>
        </is>
      </c>
      <c r="G382" s="227" t="inlineStr">
        <is>
          <t>The person bringing the child is not always the person who can consent. Under the Guardianship of Infants Act 1964, as amended by the Children and Family Relationships Act 2015, a mother is automatically a guardian, as is a father married to her. An unmarried father may or may not be, depending on cohabitation, agreement or court order. For a child in care, Tusla may hold consent rights depending on the type of order. The exact rules have conditions not set out here, so check with the service rather than relying on this summary.</t>
        </is>
      </c>
      <c r="H382" s="165" t="inlineStr">
        <is>
          <t>WATCH FOR — how your supervisor checks guardianship at referral: what they ask, what they record, and what they do when parents are separated.
WRITE DOWN — the questions they ask and where the answer is recorded.
ASK AFTERWARDS — 'what do you do when one guardian consents and the other objects?'</t>
        </is>
      </c>
      <c r="I382" s="165" t="inlineStr">
        <is>
          <t>YOU TAKE — checking the referral form and file for guardianship, and flagging anything unclear.
THEY HOLD — decisions where guardianship is disputed or where a child is in care.
WHY THAT SPLIT — checking the file is routine. Disputed guardianship and care orders need legal knowledge and service policy.</t>
        </is>
      </c>
      <c r="J382" s="165" t="inlineStr">
        <is>
          <t>YOU RUN IT — confirm guardianship yourself before first contact, with your supervisor checking.
WHAT THEY ARE WATCHING FOR — assuming the parent who made contact is the only guardian, and not asking about a child in care.
STEPPING IN LOOKS LIKE — 'the form says parents separated. Have you checked with dad?'</t>
        </is>
      </c>
      <c r="K382" s="207" t="inlineStr">
        <is>
          <t>YOU DO IT ALONE — confirm and record who holds guardianship, and whose consent is needed, before any contact with the child.
PASS TEST — You checked rather than assumed
EVIDENCE TO FILE — the guardianship note on the case file. Log against 6. Ethical Practice.
WHAT FAILURE LOOKS LIKE — a complaint from a guardian who did not know their child had been assessed.</t>
        </is>
      </c>
      <c r="L382" s="165" t="inlineStr">
        <is>
          <t>YOU CAN TEACH IT — you can explain the basic rules on guardianship, the common complications (separation, unmarried fathers, care orders) and where to get authoritative advice.
WHEN IT GOES WRONG — you can say what to do when you discover mid-involvement that a guardian was not consulted: stop, tell your supervisor, and contact the guardian before continuing.</t>
        </is>
      </c>
      <c r="M382" s="224" t="inlineStr">
        <is>
          <t>Assuming the parent who phoned the school is the only person whose consent is needed.</t>
        </is>
      </c>
      <c r="N382" s="165" t="inlineStr">
        <is>
          <t>→ Feeds into 'Explain purpose, process and who will see the report' and 'Record what was explained'.</t>
        </is>
      </c>
      <c r="O382" s="225" t="inlineStr">
        <is>
          <t>Not started</t>
        </is>
      </c>
      <c r="P382" s="165" t="inlineStr">
        <is>
          <t>WATCH FOR — how your supervisor checks guardianship at referral: what they ask, what they record, and what they do when parents are separated.</t>
        </is>
      </c>
      <c r="Q382" s="139" t="inlineStr">
        <is>
          <t>Year 1</t>
        </is>
      </c>
      <c r="R382" s="226" t="inlineStr">
        <is>
          <t>26/10/2026</t>
        </is>
      </c>
      <c r="S382" s="226" t="inlineStr">
        <is>
          <t>16/11/2026</t>
        </is>
      </c>
      <c r="T382" s="226" t="inlineStr">
        <is>
          <t>14/12/2026</t>
        </is>
      </c>
      <c r="U382" s="139" t="inlineStr">
        <is>
          <t>Guardianship note on case file · Log sheet tagged 6. Ethical Practice</t>
        </is>
      </c>
    </row>
    <row r="383" outlineLevel="2" ht="120" customHeight="1" s="128">
      <c r="A383" s="139" t="inlineStr">
        <is>
          <t>MICRO-SKILL</t>
        </is>
      </c>
      <c r="B383" s="139" t="inlineStr">
        <is>
          <t>6. Ethical Practice</t>
        </is>
      </c>
      <c r="C383" s="139" t="inlineStr">
        <is>
          <t>Obtain informed consent and assent</t>
        </is>
      </c>
      <c r="D383" s="139" t="inlineStr">
        <is>
          <t>Block 3 · Consent where it is complicated</t>
        </is>
      </c>
      <c r="E383" s="223" t="inlineStr">
        <is>
          <t>Use supported decision-making where capacity is in question</t>
        </is>
      </c>
      <c r="F383" s="139" t="inlineStr">
        <is>
          <t>ADMCA 2015 · PSI Code 1.3.10</t>
        </is>
      </c>
      <c r="G383" s="227" t="inlineStr">
        <is>
          <t>The Assisted Decision-Making (Capacity) Act 2015, commenced on 26/04/2023, applies to adults. It is relevant to young adults on your caseload (UCD Table 3). It presumes capacity, requires all practicable steps to help a person decide before concluding they cannot, and says an unwise decision is not proof of incapacity (section 8). Capacity is judged decision by decision: can the person understand, retain, use and weigh the information, and communicate a decision (section 3)? PSI Code 1.3.10 is the clause mapped here. Assuming incapacity takes away a right.</t>
        </is>
      </c>
      <c r="H383" s="165" t="inlineStr">
        <is>
          <t>WATCH FOR — what your supervisor does to help a young adult with an intellectual disability or communication need to understand and decide: easy-read materials, time, a trusted person present, visual supports.
WRITE DOWN — each support used and how the young person showed their decision.
ASK AFTERWARDS — 'how do you tell the difference between someone who can't decide and someone who needs more help to?'</t>
        </is>
      </c>
      <c r="I383" s="165" t="inlineStr">
        <is>
          <t>YOU TAKE — preparing accessible materials (easy-read, visuals) for the consent conversation.
THEY HOLD — any judgement about capacity, and any involvement of decision supporters.
WHY THAT SPLIT — preparing materials is concrete and checkable. A capacity judgement has legal weight.</t>
        </is>
      </c>
      <c r="J383" s="165" t="inlineStr">
        <is>
          <t>YOU RUN IT — lead the consent conversation using supports, with your supervisor present.
WHAT THEY ARE WATCHING FOR — speaking to the carer instead of the young person, and taking the carer's view as consent.
STEPPING IN LOOKS LIKE — your supervisor redirecting: 'let's ask Seán what he thinks.'</t>
        </is>
      </c>
      <c r="K383" s="207" t="inlineStr">
        <is>
          <t>YOU DO IT ALONE — presume capacity, use every practicable support, and record how you supported the decision.
PASS TEST — How, not just that
EVIDENCE TO FILE — the note recording supports used and how the decision was expressed. Log against 6. Ethical Practice.
WHAT FAILURE LOOKS LIKE — 'consent obtained from mother' for a nineteen-year-old who was never asked.</t>
        </is>
      </c>
      <c r="L383" s="165" t="inlineStr">
        <is>
          <t>YOU CAN TEACH IT — you can explain the ADMCA 2015 principles, the functional test, and the practical supports that help someone decide — citing sections and the Decision Support Service guidance.
WHEN IT GOES WRONG — you can say what to do when, even with support, the young person cannot decide: record the steps taken, involve your supervisor, and follow the Act's framework rather than defaulting to a carer's say-so.</t>
        </is>
      </c>
      <c r="M383" s="224" t="inlineStr">
        <is>
          <t>Taking a carer's consent for an adult who was never supported to decide for themselves.</t>
        </is>
      </c>
      <c r="N383" s="165" t="inlineStr">
        <is>
          <t>→ Feeds into 'Obtain assent from the child in their own language' and into Working with Others — young adults and families.</t>
        </is>
      </c>
      <c r="O383" s="225" t="inlineStr">
        <is>
          <t>Not started</t>
        </is>
      </c>
      <c r="P383" s="165" t="inlineStr">
        <is>
          <t>WATCH FOR — what your supervisor does to help a young adult with an intellectual disability or communication need to understand and decide: easy-read materials, time, a trusted person present, visual supports.</t>
        </is>
      </c>
      <c r="Q383" s="139" t="inlineStr">
        <is>
          <t>Year 1</t>
        </is>
      </c>
      <c r="R383" s="226" t="inlineStr">
        <is>
          <t>26/10/2026</t>
        </is>
      </c>
      <c r="S383" s="226" t="inlineStr">
        <is>
          <t>16/11/2026</t>
        </is>
      </c>
      <c r="T383" s="226" t="inlineStr">
        <is>
          <t>14/12/2026</t>
        </is>
      </c>
      <c r="U383" s="139" t="inlineStr">
        <is>
          <t>Note of supports used · Log sheet tagged 6. Ethical Practice</t>
        </is>
      </c>
    </row>
    <row r="384" outlineLevel="2" ht="120" customHeight="1" s="128">
      <c r="A384" s="139" t="inlineStr">
        <is>
          <t>MICRO-SKILL</t>
        </is>
      </c>
      <c r="B384" s="139" t="inlineStr">
        <is>
          <t>6. Ethical Practice</t>
        </is>
      </c>
      <c r="C384" s="139" t="inlineStr">
        <is>
          <t>Obtain informed consent and assent</t>
        </is>
      </c>
      <c r="D384" s="139" t="inlineStr">
        <is>
          <t>Block 3 · Consent where it is complicated</t>
        </is>
      </c>
      <c r="E384" s="223" t="inlineStr">
        <is>
          <t>Recognise and respond to non-verbal withdrawal</t>
        </is>
      </c>
      <c r="F384" s="139" t="inlineStr">
        <is>
          <t>PSI Code 1.4.3</t>
        </is>
      </c>
      <c r="G384" s="227" t="inlineStr">
        <is>
          <t>Many children will not say 'stop'. They withdraw assent by turning away, going quiet, putting their head down, fidgeting, looking at the door, or saying 'I don't know' to everything. Younger children and children with communication needs may have no other way to tell you. PSI Code 1.4.3 is the clause mapped here. Carrying on past these signs overrides the child's wishes and produces data that is not valid.</t>
        </is>
      </c>
      <c r="H384" s="165" t="inlineStr">
        <is>
          <t>WATCH FOR — the non-verbal signs your supervisor responds to, and what they do: pause, check in, offer a choice, stop.
WRITE DOWN — the sign, what your supervisor did, and how the child responded.
ASK AFTERWARDS — 'which signs do you treat as a no, and which just as needing a break?'</t>
        </is>
      </c>
      <c r="I384" s="165" t="inlineStr">
        <is>
          <t>YOU TAKE — watching for signs during your supervisor's session and telling them what you saw afterwards.
THEY HOLD — responding in the session.
WHY THAT SPLIT — you learn the signs fastest when you are not also administering. Responding in the moment is the next step.</t>
        </is>
      </c>
      <c r="J384" s="165" t="inlineStr">
        <is>
          <t>YOU RUN IT — watch for signs in your own session and respond — pause, name what you notice, offer a choice — with your supervisor present.
WHAT THEY ARE WATCHING FOR — reading withdrawal as 'being difficult' or 'avoidance of hard items' and pressing on, because the subtest is nearly finished.
STEPPING IN LOOKS LIKE — 'I think she might want a rest. Shall we check?'</t>
        </is>
      </c>
      <c r="K384" s="207" t="inlineStr">
        <is>
          <t>YOU DO IT ALONE — respond to non-verbal withdrawal by checking in and, if it continues, stopping — and record what you saw.
PASS TEST — You stopped
EVIDENCE TO FILE — protocol annotation and case note. Log against 6. Ethical Practice.
WHAT FAILURE LOOKS LIKE — a completed protocol from a child who had clearly withdrawn, with no note that they had.</t>
        </is>
      </c>
      <c r="L384" s="165" t="inlineStr">
        <is>
          <t>YOU CAN TEACH IT — you can describe the common non-verbal signs of withdrawal, how they vary with age and need, and how to check in without pressure.
WHEN IT GOES WRONG — you can say what to do when you realise afterwards that you missed withdrawal: note it, reconsider the validity of the data, and tell your supervisor.</t>
        </is>
      </c>
      <c r="M384" s="224" t="inlineStr">
        <is>
          <t>Treating a child's silence and turning away as defiance to work through.</t>
        </is>
      </c>
      <c r="N384" s="165" t="inlineStr">
        <is>
          <t>→ Feeds into 'Re-evaluate whether to continue at all' and 'Recognise when standard procedure is not working'.</t>
        </is>
      </c>
      <c r="O384" s="225" t="inlineStr">
        <is>
          <t>Not started</t>
        </is>
      </c>
      <c r="P384" s="165" t="inlineStr">
        <is>
          <t>WATCH FOR — the non-verbal signs your supervisor responds to, and what they do: pause, check in, offer a choice, stop.</t>
        </is>
      </c>
      <c r="Q384" s="139" t="inlineStr">
        <is>
          <t>Year 1</t>
        </is>
      </c>
      <c r="R384" s="226" t="inlineStr">
        <is>
          <t>26/10/2026</t>
        </is>
      </c>
      <c r="S384" s="226" t="inlineStr">
        <is>
          <t>16/11/2026</t>
        </is>
      </c>
      <c r="T384" s="226" t="inlineStr">
        <is>
          <t>14/12/2026</t>
        </is>
      </c>
      <c r="U384" s="139" t="inlineStr">
        <is>
          <t>Protocol annotation · case note · Log sheet tagged 6. Ethical Practice</t>
        </is>
      </c>
    </row>
    <row r="385" outlineLevel="2" ht="43.5" customHeight="1" s="128">
      <c r="A385" s="220" t="inlineStr">
        <is>
          <t>BLOCK</t>
        </is>
      </c>
      <c r="B385" s="220" t="inlineStr">
        <is>
          <t>6. Ethical Practice</t>
        </is>
      </c>
      <c r="C385" s="220" t="inlineStr">
        <is>
          <t>Obtain informed consent and assent</t>
        </is>
      </c>
      <c r="D385" s="221" t="inlineStr">
        <is>
          <t>Block 4 · Recording it</t>
        </is>
      </c>
      <c r="E385" s="222" t="inlineStr">
        <is>
          <t>Documenting what was explained, not just that consent was obtained.</t>
        </is>
      </c>
      <c r="F385" s="220" t="inlineStr">
        <is>
          <t>Habit · Weeks 3–6</t>
        </is>
      </c>
      <c r="G385" s="220" t="n"/>
      <c r="H385" s="220" t="n"/>
      <c r="I385" s="220" t="n"/>
      <c r="J385" s="220" t="n"/>
      <c r="K385" s="220" t="n"/>
      <c r="L385" s="220" t="n"/>
      <c r="M385" s="222" t="n"/>
      <c r="N385" s="220" t="n"/>
      <c r="O385" s="220" t="n"/>
      <c r="P385" s="220" t="inlineStr">
        <is>
          <t>How you build it: Two extra lines on the consent form. Every time.</t>
        </is>
      </c>
      <c r="Q385" s="220" t="n"/>
      <c r="R385" s="220" t="n"/>
      <c r="S385" s="220" t="n"/>
      <c r="T385" s="220" t="n"/>
      <c r="U385" s="220" t="n"/>
    </row>
    <row r="386" outlineLevel="2" ht="120" customHeight="1" s="128">
      <c r="A386" s="139" t="inlineStr">
        <is>
          <t>MICRO-SKILL</t>
        </is>
      </c>
      <c r="B386" s="139" t="inlineStr">
        <is>
          <t>6. Ethical Practice</t>
        </is>
      </c>
      <c r="C386" s="139" t="inlineStr">
        <is>
          <t>Obtain informed consent and assent</t>
        </is>
      </c>
      <c r="D386" s="139" t="inlineStr">
        <is>
          <t>Block 4 · Recording it</t>
        </is>
      </c>
      <c r="E386" s="223" t="inlineStr">
        <is>
          <t>Obtain assent from the child in their own language</t>
        </is>
      </c>
      <c r="F386" s="139" t="inlineStr">
        <is>
          <t>UNCRC Art. 12</t>
        </is>
      </c>
      <c r="G386" s="227" t="inlineStr">
        <is>
          <t>Children have the right to express views in matters affecting them (UNCRC Article 12). Assent is their agreement, given in terms they understand, alongside the consent of guardians. 'Their own language' means literally their home language, or Irish, or sign language or AAC, and also words pitched at their age and understanding. Assent sought in words the child did not understand is not assent. A child who was never asked has been done to, not worked with.</t>
        </is>
      </c>
      <c r="H386" s="165" t="inlineStr">
        <is>
          <t>WATCH FOR — how your supervisor asks a child for assent: the words, visual supports, how they check understanding, and what they do if the child hesitates.
WRITE DOWN — the phrasing for different ages, and any supports for language or communication.
ASK AFTERWARDS — 'have you worked with an interpreter for a child? What did you need to do differently?'</t>
        </is>
      </c>
      <c r="I386" s="165" t="inlineStr">
        <is>
          <t>YOU TAKE — preparing child-friendly explanations and visual supports for assent, checked with your supervisor.
THEY HOLD — arranging interpreters, and decisions where a child says no but guardians have consented.
WHY THAT SPLIT — preparing materials is concrete. A conflict between the child's no and the parents' yes needs judgement and relationship.</t>
        </is>
      </c>
      <c r="J386" s="165" t="inlineStr">
        <is>
          <t>YOU RUN IT — ask the child for assent yourself, with your supervisor present.
WHAT THEY ARE WATCHING FOR — asking in adult language, and not asking at all because the parent has consented.
STEPPING IN LOOKS LIKE — 'can you tell me back what we're going to do today?'</t>
        </is>
      </c>
      <c r="K386" s="207" t="inlineStr">
        <is>
          <t>YOU DO IT ALONE — ask every child for assent in words and a language or mode they understand, check their understanding, and record their answer.
PASS TEST — The child was asked
EVIDENCE TO FILE — note of the child's assent in the case record. Log against 6. Ethical Practice.
WHAT FAILURE LOOKS LIKE — the child tells a teacher later that they did not know what the psychologist was doing with them.</t>
        </is>
      </c>
      <c r="L386" s="165" t="inlineStr">
        <is>
          <t>YOU CAN TEACH IT — you can explain assent versus consent, Article 12, and how to adapt for age, language, and communication needs.
WHEN IT GOES WRONG — you can say what to do when a child refuses despite parental consent: respect it for now, explore why, and plan with the family, rather than overriding it.</t>
        </is>
      </c>
      <c r="M386" s="224" t="inlineStr">
        <is>
          <t>Taking the parent's consent as enough and not asking the child.</t>
        </is>
      </c>
      <c r="N386" s="165" t="inlineStr">
        <is>
          <t>→ Feeds into 'Record what was explained, not just that consent was given' and into 'Include the child's own self-report where age-appropriate'.</t>
        </is>
      </c>
      <c r="O386" s="225" t="inlineStr">
        <is>
          <t>Not started</t>
        </is>
      </c>
      <c r="P386" s="165" t="inlineStr">
        <is>
          <t>WATCH FOR — how your supervisor asks a child for assent: the words, visual supports, how they check understanding, and what they do if the child hesitates.</t>
        </is>
      </c>
      <c r="Q386" s="139" t="inlineStr">
        <is>
          <t>Year 1</t>
        </is>
      </c>
      <c r="R386" s="226" t="inlineStr">
        <is>
          <t>26/10/2026</t>
        </is>
      </c>
      <c r="S386" s="226" t="inlineStr">
        <is>
          <t>16/11/2026</t>
        </is>
      </c>
      <c r="T386" s="226" t="inlineStr">
        <is>
          <t>14/12/2026</t>
        </is>
      </c>
      <c r="U386" s="139" t="inlineStr">
        <is>
          <t>Note of child's assent · Log sheet tagged 6. Ethical Practice</t>
        </is>
      </c>
    </row>
    <row r="387" outlineLevel="2" ht="120" customHeight="1" s="128">
      <c r="A387" s="139" t="inlineStr">
        <is>
          <t>MICRO-SKILL</t>
        </is>
      </c>
      <c r="B387" s="139" t="inlineStr">
        <is>
          <t>6. Ethical Practice</t>
        </is>
      </c>
      <c r="C387" s="139" t="inlineStr">
        <is>
          <t>Obtain informed consent and assent</t>
        </is>
      </c>
      <c r="D387" s="139" t="inlineStr">
        <is>
          <t>Block 4 · Recording it</t>
        </is>
      </c>
      <c r="E387" s="223" t="inlineStr">
        <is>
          <t>Record what was explained, not just that consent was given</t>
        </is>
      </c>
      <c r="F387" s="139" t="inlineStr">
        <is>
          <t>CORU SoP 1.15</t>
        </is>
      </c>
      <c r="G387" s="227" t="inlineStr">
        <is>
          <t>A tick box saying 'consent obtained' proves nothing about whether consent was informed. If a complaint arises, the question is what the person was told. CORU SoP 1.15 is the standard mapped here. A good consent note records what was explained (purpose, process, who sees the report, limits of confidentiality, right to withdraw), who was present, questions asked, and the answer given. That note protects the family, the child and you.</t>
        </is>
      </c>
      <c r="H387" s="165" t="inlineStr">
        <is>
          <t>WATCH FOR — what your supervisor writes in the file after a consent conversation, and how long after the conversation they write it.
WRITE DOWN — the headings they use (explained, present, questions, answer), and anything they add beyond the signed form.
ASK AFTERWARDS — 'have you ever needed a consent note to answer a complaint? What did it need to show?'</t>
        </is>
      </c>
      <c r="I387" s="165" t="inlineStr">
        <is>
          <t>YOU TAKE — writing the consent note after a conversation your supervisor led.
THEY HOLD — checking the note, and adding anything you missed.
WHY THAT SPLIT — writing the note after watching tests whether you noticed what was said. Their check shows you what you missed.</t>
        </is>
      </c>
      <c r="J387" s="165" t="inlineStr">
        <is>
          <t>YOU RUN IT — take consent and write the note yourself; your supervisor reviews it.
WHAT THEY ARE WATCHING FOR — a note that records the outcome (consent given) and not the content.
STEPPING IN LOOKS LIKE — 'if the mother complained next year, would this note show what she was told?'</t>
        </is>
      </c>
      <c r="K387" s="207" t="inlineStr">
        <is>
          <t>YOU DO IT ALONE — after every consent conversation, write a note that records the content: what was explained, who was present, questions, and the answer.
PASS TEST — The note shows the content
EVIDENCE TO FILE — the consent note in the case record. Log against 6. Ethical Practice.
WHAT FAILURE LOOKS LIKE — a file that says 'consent given' and nothing else, when the parent says they were never told the school would see the report.</t>
        </is>
      </c>
      <c r="L387" s="165" t="inlineStr">
        <is>
          <t>YOU CAN TEACH IT — you can explain why content matters more than the tick, and show a peer a short template for a good consent note.
WHEN IT GOES WRONG — you can say what to do when you find a thin consent note on your own file: add a dated addendum with what you remember, clearly marked as written later.</t>
        </is>
      </c>
      <c r="M387" s="224" t="inlineStr">
        <is>
          <t>Recording 'consent obtained' with no record of what was explained.</t>
        </is>
      </c>
      <c r="N387" s="165" t="inlineStr">
        <is>
          <t>→ Feeds into record-keeping throughout, and into 'Keep notes at each stage' in ethical decision-making.</t>
        </is>
      </c>
      <c r="O387" s="225" t="inlineStr">
        <is>
          <t>Not started</t>
        </is>
      </c>
      <c r="P387" s="165" t="inlineStr">
        <is>
          <t>WATCH FOR — what your supervisor writes in the file after a consent conversation, and how long after the conversation they write it.</t>
        </is>
      </c>
      <c r="Q387" s="139" t="inlineStr">
        <is>
          <t>Year 1</t>
        </is>
      </c>
      <c r="R387" s="226" t="inlineStr">
        <is>
          <t>26/10/2026</t>
        </is>
      </c>
      <c r="S387" s="226" t="inlineStr">
        <is>
          <t>16/11/2026</t>
        </is>
      </c>
      <c r="T387" s="226" t="inlineStr">
        <is>
          <t>14/12/2026</t>
        </is>
      </c>
      <c r="U387" s="139" t="inlineStr">
        <is>
          <t>Consent note in case record · Log sheet tagged 6. Ethical Practice</t>
        </is>
      </c>
    </row>
    <row r="388" outlineLevel="2" ht="19.5" customHeight="1" s="128">
      <c r="A388" s="219" t="inlineStr">
        <is>
          <t>MACRO SKILL</t>
        </is>
      </c>
      <c r="B388" s="219" t="inlineStr">
        <is>
          <t>6. Ethical Practice</t>
        </is>
      </c>
      <c r="C388" s="219" t="inlineStr">
        <is>
          <t>Recognise and act on child protection concerns</t>
        </is>
      </c>
      <c r="D388" s="219" t="n"/>
      <c r="E388" s="219" t="inlineStr">
        <is>
          <t>3 blocks · 6 micro-skills</t>
        </is>
      </c>
      <c r="F388" s="219" t="inlineStr">
        <is>
          <t>Children First Act 2015 · CORU 1.12 · 3.12</t>
        </is>
      </c>
      <c r="G388" s="219" t="n"/>
      <c r="H388" s="219" t="n"/>
      <c r="I388" s="219" t="n"/>
      <c r="J388" s="219" t="n"/>
      <c r="K388" s="219" t="n"/>
      <c r="L388" s="219" t="n"/>
      <c r="M388" s="219" t="n"/>
      <c r="N388" s="219" t="n"/>
      <c r="O388" s="219" t="n"/>
      <c r="P388" s="219" t="n"/>
      <c r="Q388" s="219" t="inlineStr">
        <is>
          <t>Year 1</t>
        </is>
      </c>
      <c r="R388" s="219" t="n"/>
      <c r="S388" s="219" t="n"/>
      <c r="T388" s="219" t="n"/>
      <c r="U388" s="219" t="n"/>
    </row>
    <row r="389" outlineLevel="2" ht="43.5" customHeight="1" s="128">
      <c r="A389" s="220" t="inlineStr">
        <is>
          <t>BLOCK</t>
        </is>
      </c>
      <c r="B389" s="220" t="inlineStr">
        <is>
          <t>6. Ethical Practice</t>
        </is>
      </c>
      <c r="C389" s="220" t="inlineStr">
        <is>
          <t>Recognise and act on child protection concerns</t>
        </is>
      </c>
      <c r="D389" s="221" t="inlineStr">
        <is>
          <t>Block 1 · Recognising</t>
        </is>
      </c>
      <c r="E389" s="222" t="inlineStr">
        <is>
          <t>Knowing the thresholds well enough to recognise one in the moment.</t>
        </is>
      </c>
      <c r="F389" s="220" t="inlineStr">
        <is>
          <t>4 hours, once · Before placement</t>
        </is>
      </c>
      <c r="G389" s="220" t="n"/>
      <c r="H389" s="220" t="n"/>
      <c r="I389" s="220" t="n"/>
      <c r="J389" s="220" t="n"/>
      <c r="K389" s="220" t="n"/>
      <c r="L389" s="220" t="n"/>
      <c r="M389" s="222" t="n"/>
      <c r="N389" s="220" t="n"/>
      <c r="O389" s="220" t="n"/>
      <c r="P389" s="220" t="inlineStr">
        <is>
          <t>How you build it: Read the National Guidance thresholds. Then read three anonymised examples.</t>
        </is>
      </c>
      <c r="Q389" s="220" t="n"/>
      <c r="R389" s="220" t="n"/>
      <c r="S389" s="220" t="n"/>
      <c r="T389" s="220" t="n"/>
      <c r="U389" s="220" t="n"/>
    </row>
    <row r="390" outlineLevel="2" ht="120" customHeight="1" s="128">
      <c r="A390" s="139" t="inlineStr">
        <is>
          <t>MICRO-SKILL</t>
        </is>
      </c>
      <c r="B390" s="139" t="inlineStr">
        <is>
          <t>6. Ethical Practice</t>
        </is>
      </c>
      <c r="C390" s="139" t="inlineStr">
        <is>
          <t>Recognise and act on child protection concerns</t>
        </is>
      </c>
      <c r="D390" s="139" t="inlineStr">
        <is>
          <t>Block 1 · Recognising</t>
        </is>
      </c>
      <c r="E390" s="223" t="inlineStr">
        <is>
          <t>Recognise a concern against the threshold</t>
        </is>
      </c>
      <c r="F390" s="139" t="inlineStr">
        <is>
          <t>Children First National Guidance</t>
        </is>
      </c>
      <c r="G390" s="227" t="inlineStr">
        <is>
          <t>Concerns rarely arrive as clear disclosures. They come as an injury with a vague explanation, a child who flinches, hunger, a comment in a drawing, a change in behaviour, or something a parent says. Children First National Guidance (2017) lists signs for each category of harm. Read that list, not a summary. The skill is noticing, then holding what you noticed against the threshold for 'reasonable grounds for concern'. Missing it leaves a child unprotected; noticing and not acting is worse.</t>
        </is>
      </c>
      <c r="H390" s="165" t="inlineStr">
        <is>
          <t>WATCH FOR — what your supervisor notices in a session or a file that makes them pause, and what they do next.
WRITE DOWN — the observation, and which category of harm and which threshold they considered (without identifying details in your own log).
ASK AFTERWARDS — 'what's the smallest thing that has ever led you to a report?'</t>
        </is>
      </c>
      <c r="I390" s="165" t="inlineStr">
        <is>
          <t>YOU TAKE — noticing and naming anything that concerns you, to your supervisor, the same day.
THEY HOLD — the threshold judgement, while you are learning it. Your own duty to report stands regardless.
WHY THAT SPLIT — noticing is something you can do from day one. Threshold judgement needs practice, but never at the cost of not acting.</t>
        </is>
      </c>
      <c r="J390" s="165" t="inlineStr">
        <is>
          <t>YOU RUN IT — make the threshold judgement yourself and state it to your supervisor with your reasons.
WHAT THEY ARE WATCHING FOR — explaining signs away ('he's always clumsy') and waiting for more before saying anything.
STEPPING IN LOOKS LIKE — 'if you're wondering, that's the concern. What category is it?'</t>
        </is>
      </c>
      <c r="K390" s="207" t="inlineStr">
        <is>
          <t>YOU DO IT ALONE — notice, name the category of harm, judge it against the threshold, and act — the same day.
PASS TEST — You knew it when you saw it
EVIDENCE TO FILE — your contemporaneous record and the report record. Log against 6. Ethical Practice. No identifiers in your own log.
WHAT FAILURE LOOKS LIKE — you noted something in a session, thought about it for a week, and then it was too late to report as soon as practicable.</t>
        </is>
      </c>
      <c r="L390" s="165" t="inlineStr">
        <is>
          <t>YOU CAN TEACH IT — you can explain the categories, signs and thresholds from the Guidance, and why 'reasonable grounds' is a lower bar than certainty.
WHEN IT GOES WRONG — you can say what to do when you realise later that something you saw was a concern: act now, record why it was delayed, and tell your supervisor.</t>
        </is>
      </c>
      <c r="M390" s="224" t="inlineStr">
        <is>
          <t>Explaining away a sign because the family seemed nice.</t>
        </is>
      </c>
      <c r="N390" s="165" t="inlineStr">
        <is>
          <t>→ Feeds into 'Do not investigate or question further', 'Record verbatim what was said or seen, at the time', and 'Act the same day'.</t>
        </is>
      </c>
      <c r="O390" s="225" t="inlineStr">
        <is>
          <t>Not started</t>
        </is>
      </c>
      <c r="P390" s="165" t="inlineStr">
        <is>
          <t>WATCH FOR — what your supervisor notices in a session or a file that makes them pause, and what they do next.</t>
        </is>
      </c>
      <c r="Q390" s="139" t="inlineStr">
        <is>
          <t>Year 1</t>
        </is>
      </c>
      <c r="R390" s="226" t="inlineStr">
        <is>
          <t>26/10/2026</t>
        </is>
      </c>
      <c r="S390" s="226" t="inlineStr">
        <is>
          <t>16/11/2026</t>
        </is>
      </c>
      <c r="T390" s="226" t="inlineStr">
        <is>
          <t>14/12/2026</t>
        </is>
      </c>
      <c r="U390" s="139" t="inlineStr">
        <is>
          <t>Contemporaneous record · report record · Log sheet tagged 6. Ethical Practice</t>
        </is>
      </c>
    </row>
    <row r="391" outlineLevel="2" ht="43.5" customHeight="1" s="128">
      <c r="A391" s="220" t="inlineStr">
        <is>
          <t>BLOCK</t>
        </is>
      </c>
      <c r="B391" s="220" t="inlineStr">
        <is>
          <t>6. Ethical Practice</t>
        </is>
      </c>
      <c r="C391" s="220" t="inlineStr">
        <is>
          <t>Recognise and act on child protection concerns</t>
        </is>
      </c>
      <c r="D391" s="221" t="inlineStr">
        <is>
          <t>Block 2 · Responding in the moment</t>
        </is>
      </c>
      <c r="E391" s="222" t="inlineStr">
        <is>
          <t>What to do and not do while it is happening.</t>
        </is>
      </c>
      <c r="F391" s="220" t="inlineStr">
        <is>
          <t>2 hours, once · Weeks 1–2</t>
        </is>
      </c>
      <c r="G391" s="220" t="n"/>
      <c r="H391" s="220" t="n"/>
      <c r="I391" s="220" t="n"/>
      <c r="J391" s="220" t="n"/>
      <c r="K391" s="220" t="n"/>
      <c r="L391" s="220" t="n"/>
      <c r="M391" s="222" t="n"/>
      <c r="N391" s="220" t="n"/>
      <c r="O391" s="220" t="n"/>
      <c r="P391" s="220" t="inlineStr">
        <is>
          <t>How you build it: Rehearse it. Know that you do not investigate.</t>
        </is>
      </c>
      <c r="Q391" s="220" t="n"/>
      <c r="R391" s="220" t="n"/>
      <c r="S391" s="220" t="n"/>
      <c r="T391" s="220" t="n"/>
      <c r="U391" s="220" t="n"/>
    </row>
    <row r="392" outlineLevel="2" ht="120" customHeight="1" s="128">
      <c r="A392" s="139" t="inlineStr">
        <is>
          <t>MICRO-SKILL</t>
        </is>
      </c>
      <c r="B392" s="139" t="inlineStr">
        <is>
          <t>6. Ethical Practice</t>
        </is>
      </c>
      <c r="C392" s="139" t="inlineStr">
        <is>
          <t>Recognise and act on child protection concerns</t>
        </is>
      </c>
      <c r="D392" s="139" t="inlineStr">
        <is>
          <t>Block 2 · Responding in the moment</t>
        </is>
      </c>
      <c r="E392" s="223" t="inlineStr">
        <is>
          <t>Do not investigate or question further</t>
        </is>
      </c>
      <c r="F392" s="139" t="inlineStr">
        <is>
          <t>Children First National Guidance</t>
        </is>
      </c>
      <c r="G392" s="227" t="inlineStr">
        <is>
          <t>When a child discloses, your role is to listen, reassure, and pass it on — not to investigate. Investigation belongs to Tusla and An Garda Síochána. Leading or repeated questions can contaminate the child's account and harm a later investigation or prosecution. They can also distress the child. Children First National Guidance (2017) sets out how to respond: listen, do not ask leading questions, do not promise confidentiality, tell the child what happens next.</t>
        </is>
      </c>
      <c r="H392" s="165" t="inlineStr">
        <is>
          <t>WATCH FOR — how your supervisor would respond to a disclosure. You are unlikely to see one, so role-play it or talk it through.
WRITE DOWN — the words your supervisor would use: acknowledging, not leading, not promising, and explaining what happens next.
ASK AFTERWARDS — 'what's the question you most want to ask in that moment, and why shouldn't you?'</t>
        </is>
      </c>
      <c r="I392" s="165" t="inlineStr">
        <is>
          <t>YOU TAKE — rehearsing a disclosure response in role play with your supervisor playing the child, including a child who stops mid-sentence.
THEY HOLD — feedback on every question you asked and every promise you made.
WHY THAT SPLIT — this is a skill you must do alone the first time it happens, with no one to hand it to, so rehearsal is the main way to learn it.</t>
        </is>
      </c>
      <c r="J392" s="165" t="inlineStr">
        <is>
          <t>YOU RUN IT — role-play your response to different disclosures (partial, retracted, about a sibling), with your supervisor coaching.
WHAT THEY ARE WATCHING FOR — 'did he hurt you?', 'where did he touch you?', 'are you sure?' — any question that leads or tests.
STEPPING IN LOOKS LIKE — 'stop there. What did that question just put in her head?'</t>
        </is>
      </c>
      <c r="K392" s="207" t="inlineStr">
        <is>
          <t>YOU DO IT ALONE — if a child discloses: listen, use open prompts only if needed ('tell me more'), do not promise secrecy, tell them what happens next, and do not interview.
PASS TEST — You did not interview the child
EVIDENCE TO FILE — your contemporaneous record. Log against 6. Ethical Practice.
WHAT FAILURE LOOKS LIKE — a record full of your questions, so the child's account can no longer be separated from your prompting.</t>
        </is>
      </c>
      <c r="L392" s="165" t="inlineStr">
        <is>
          <t>YOU CAN TEACH IT — you can explain why leading questions contaminate a child's account and how to respond using open prompts only.
WHEN IT GOES WRONG — you can say what to do when you realise you asked a leading question: record exactly what you asked and what the child said, and tell the DLP and Tusla so they know.</t>
        </is>
      </c>
      <c r="M392" s="224" t="inlineStr">
        <is>
          <t>Asking 'did he hurt you?' in an effort to be sure before reporting.</t>
        </is>
      </c>
      <c r="N392" s="165" t="inlineStr">
        <is>
          <t>→ Feeds into 'Record verbatim what was said or seen, at the time' and 'Report to the DLP and record the time'.</t>
        </is>
      </c>
      <c r="O392" s="225" t="inlineStr">
        <is>
          <t>Not started</t>
        </is>
      </c>
      <c r="P392" s="165" t="inlineStr">
        <is>
          <t>WATCH FOR — how your supervisor would respond to a disclosure. You are unlikely to see one, so role-play it or talk it through.</t>
        </is>
      </c>
      <c r="Q392" s="139" t="inlineStr">
        <is>
          <t>Year 1</t>
        </is>
      </c>
      <c r="R392" s="226" t="inlineStr">
        <is>
          <t>26/10/2026</t>
        </is>
      </c>
      <c r="S392" s="226" t="inlineStr">
        <is>
          <t>16/11/2026</t>
        </is>
      </c>
      <c r="T392" s="226" t="inlineStr">
        <is>
          <t>14/12/2026</t>
        </is>
      </c>
      <c r="U392" s="139" t="inlineStr">
        <is>
          <t>Contemporaneous record · Log sheet tagged 6. Ethical Practice</t>
        </is>
      </c>
    </row>
    <row r="393" outlineLevel="2" ht="120" customHeight="1" s="128">
      <c r="A393" s="139" t="inlineStr">
        <is>
          <t>MICRO-SKILL</t>
        </is>
      </c>
      <c r="B393" s="139" t="inlineStr">
        <is>
          <t>6. Ethical Practice</t>
        </is>
      </c>
      <c r="C393" s="139" t="inlineStr">
        <is>
          <t>Recognise and act on child protection concerns</t>
        </is>
      </c>
      <c r="D393" s="139" t="inlineStr">
        <is>
          <t>Block 2 · Responding in the moment</t>
        </is>
      </c>
      <c r="E393" s="223" t="inlineStr">
        <is>
          <t>Record verbatim what was said or seen, at the time</t>
        </is>
      </c>
      <c r="F393" s="139" t="inlineStr">
        <is>
          <t>CORU SoP 2.8 · 3.12</t>
        </is>
      </c>
      <c r="G393" s="227" t="inlineStr">
        <is>
          <t>Your record may be read by Tusla, An Garda Síochána or a court. A record made at the time, in the child's own words, with what you saw described factually, carries weight. A paraphrase written days later does not. CORU SoP 2.8 and 3.12 are the standards mapped here. The record must separate fact (what was said, what was seen) from your opinion, and be dated, timed and signed.</t>
        </is>
      </c>
      <c r="H393" s="165" t="inlineStr">
        <is>
          <t>WATCH FOR — what a good child protection record looks like. Ask your supervisor to show you an anonymised example or the service template.
WRITE DOWN — the headings: date, time, place, who was present, the child's exact words, what you saw, what you said, who you told and when.
ASK AFTERWARDS — 'what makes a record useless to Tusla?'</t>
        </is>
      </c>
      <c r="I393" s="165" t="inlineStr">
        <is>
          <t>YOU TAKE — writing practice records from role-played disclosures, and having your supervisor critique them.
THEY HOLD — feedback on factual accuracy and separation of fact and opinion.
WHY THAT SPLIT — writing the record is a skill that can be practised to standard before you need it.</t>
        </is>
      </c>
      <c r="J393" s="165" t="inlineStr">
        <is>
          <t>YOU RUN IT — write the record after a role-played or real concern, straight away, and have it checked.
WHAT THEY ARE WATCHING FOR — interpretation in place of description ('she seemed scared of her dad'), and paraphrase in place of the child's words.
STEPPING IN LOOKS LIKE — 'is that what she said, or what you think she meant?'</t>
        </is>
      </c>
      <c r="K393" s="207" t="inlineStr">
        <is>
          <t>YOU DO IT ALONE — record the child's exact words, what you saw, and what you said, as soon as possible — dated, timed and signed, with fact and opinion separate.
PASS TEST — Contemporaneous and factual
EVIDENCE TO FILE — the record on the case file, per service policy. Log against 6. Ethical Practice.
WHAT FAILURE LOOKS LIKE — a record written two days later: 'child indicated possible abuse at home'.</t>
        </is>
      </c>
      <c r="L393" s="165" t="inlineStr">
        <is>
          <t>YOU CAN TEACH IT — you can explain what makes a child protection record usable, and why exact words and the separation of fact from opinion matter.
WHEN IT GOES WRONG — you can say what to do when you could not record at the time: record as soon as possible, and note when the record was written and why it was delayed.</t>
        </is>
      </c>
      <c r="M393" s="224" t="inlineStr">
        <is>
          <t>Paraphrasing the child's words into your own summary.</t>
        </is>
      </c>
      <c r="N393" s="165" t="inlineStr">
        <is>
          <t>→ Feeds into 'Report to the DLP and record the time' and into record-keeping throughout.</t>
        </is>
      </c>
      <c r="O393" s="225" t="inlineStr">
        <is>
          <t>Not started</t>
        </is>
      </c>
      <c r="P393" s="165" t="inlineStr">
        <is>
          <t>WATCH FOR — what a good child protection record looks like. Ask your supervisor to show you an anonymised example or the service template.</t>
        </is>
      </c>
      <c r="Q393" s="139" t="inlineStr">
        <is>
          <t>Year 1</t>
        </is>
      </c>
      <c r="R393" s="226" t="inlineStr">
        <is>
          <t>26/10/2026</t>
        </is>
      </c>
      <c r="S393" s="226" t="inlineStr">
        <is>
          <t>16/11/2026</t>
        </is>
      </c>
      <c r="T393" s="226" t="inlineStr">
        <is>
          <t>14/12/2026</t>
        </is>
      </c>
      <c r="U393" s="139" t="inlineStr">
        <is>
          <t>Record on case file · Log sheet tagged 6. Ethical Practice</t>
        </is>
      </c>
    </row>
    <row r="394" outlineLevel="2" ht="43.5" customHeight="1" s="128">
      <c r="A394" s="220" t="inlineStr">
        <is>
          <t>BLOCK</t>
        </is>
      </c>
      <c r="B394" s="220" t="inlineStr">
        <is>
          <t>6. Ethical Practice</t>
        </is>
      </c>
      <c r="C394" s="220" t="inlineStr">
        <is>
          <t>Recognise and act on child protection concerns</t>
        </is>
      </c>
      <c r="D394" s="221" t="inlineStr">
        <is>
          <t>Block 3 · Acting</t>
        </is>
      </c>
      <c r="E394" s="222" t="inlineStr">
        <is>
          <t>Reporting the same day, whether or not anyone is available.</t>
        </is>
      </c>
      <c r="F394" s="220" t="inlineStr">
        <is>
          <t>1 hour, week one · Weeks 1–2</t>
        </is>
      </c>
      <c r="G394" s="220" t="n"/>
      <c r="H394" s="220" t="n"/>
      <c r="I394" s="220" t="n"/>
      <c r="J394" s="220" t="n"/>
      <c r="K394" s="220" t="n"/>
      <c r="L394" s="220" t="n"/>
      <c r="M394" s="222" t="n"/>
      <c r="N394" s="220" t="n"/>
      <c r="O394" s="220" t="n"/>
      <c r="P394" s="220" t="inlineStr">
        <is>
          <t>How you build it: Know the DLP, the route and the timeframe before you need them.</t>
        </is>
      </c>
      <c r="Q394" s="220" t="n"/>
      <c r="R394" s="220" t="n"/>
      <c r="S394" s="220" t="n"/>
      <c r="T394" s="220" t="n"/>
      <c r="U394" s="220" t="n"/>
    </row>
    <row r="395" outlineLevel="2" ht="120" customHeight="1" s="128">
      <c r="A395" s="139" t="inlineStr">
        <is>
          <t>MICRO-SKILL</t>
        </is>
      </c>
      <c r="B395" s="139" t="inlineStr">
        <is>
          <t>6. Ethical Practice</t>
        </is>
      </c>
      <c r="C395" s="139" t="inlineStr">
        <is>
          <t>Recognise and act on child protection concerns</t>
        </is>
      </c>
      <c r="D395" s="139" t="inlineStr">
        <is>
          <t>Block 3 · Acting</t>
        </is>
      </c>
      <c r="E395" s="223" t="inlineStr">
        <is>
          <t>Act the same day without waiting for supervision</t>
        </is>
      </c>
      <c r="F395" s="139" t="inlineStr">
        <is>
          <t>Children First Act 2015</t>
        </is>
      </c>
      <c r="G395" s="227" t="inlineStr">
        <is>
          <t>The Children First Act 2015 requires a mandated person to report to Tusla 'as soon as practicable'. Your next supervision may be days away. Waiting for it can leave a child at risk overnight, and delay is the commonest way trainees fall short of the duty. Supervision is for support and learning after you act, not permission before. If your supervisor is available the same day, talk to them — but the timing is set by the concern, not by the diary.</t>
        </is>
      </c>
      <c r="H395" s="165" t="inlineStr">
        <is>
          <t>WATCH FOR — how quickly your supervisor acts on a concern, and whether anything waits until the end of the day or week.
WRITE DOWN — the timeline: when the concern arose, when the DLP was told, when Tusla was contacted.
ASK AFTERWARDS — 'what would you do if this came up at 4pm on a Friday?'</t>
        </is>
      </c>
      <c r="I395" s="165" t="inlineStr">
        <is>
          <t>YOU TAKE — telling your supervisor and the DLP straight away, and being part of the report.
THEY HOLD — support and advice. If you are a mandated person, the duty to report is still yours.
WHY THAT SPLIT — acting straight away is the non-negotiable part, and it is yours from the start.</t>
        </is>
      </c>
      <c r="J395" s="165" t="inlineStr">
        <is>
          <t>YOU RUN IT — lead the same-day response, contacting your supervisor if available but not waiting if they are not.
WHAT THEY ARE WATCHING FOR — 'I'll bring it to supervision on Thursday.'
STEPPING IN LOOKS LIKE — 'don't wait for me. Ring the DLP now and we'll talk after.'</t>
        </is>
      </c>
      <c r="K395" s="207" t="inlineStr">
        <is>
          <t>YOU DO IT ALONE — act the same day: DLP, and a report to Tusla if at threshold, whether or not your supervisor is reachable.
PASS TEST — The duty does not wait
EVIDENCE TO FILE — the record with times, and the report. Log against 6. Ethical Practice.
WHAT FAILURE LOOKS LIKE — a concern held until supervision three days later.</t>
        </is>
      </c>
      <c r="L395" s="165" t="inlineStr">
        <is>
          <t>YOU CAN TEACH IT — you can explain 'as soon as practicable', why supervision follows action rather than preceding it, and what to do out of hours (Tusla out-of-hours service, or An Garda Síochána if a child is in immediate danger).
WHEN IT GOES WRONG — you can say what to do when you realise you have delayed: act now, record the delay honestly, and tell your supervisor.</t>
        </is>
      </c>
      <c r="M395" s="224" t="inlineStr">
        <is>
          <t>Holding a concern until the next supervision session.</t>
        </is>
      </c>
      <c r="N395" s="165" t="inlineStr">
        <is>
          <t>→ Feeds into 'Report to the DLP and record the time' and 'Bring it to supervision afterwards, not instead'.</t>
        </is>
      </c>
      <c r="O395" s="225" t="inlineStr">
        <is>
          <t>Not started</t>
        </is>
      </c>
      <c r="P395" s="165" t="inlineStr">
        <is>
          <t>WATCH FOR — how quickly your supervisor acts on a concern, and whether anything waits until the end of the day or week.</t>
        </is>
      </c>
      <c r="Q395" s="139" t="inlineStr">
        <is>
          <t>Year 1</t>
        </is>
      </c>
      <c r="R395" s="226" t="inlineStr">
        <is>
          <t>26/10/2026</t>
        </is>
      </c>
      <c r="S395" s="226" t="inlineStr">
        <is>
          <t>16/11/2026</t>
        </is>
      </c>
      <c r="T395" s="226" t="inlineStr">
        <is>
          <t>14/12/2026</t>
        </is>
      </c>
      <c r="U395" s="139" t="inlineStr">
        <is>
          <t>Record with times · report · Log sheet tagged 6. Ethical Practice</t>
        </is>
      </c>
    </row>
    <row r="396" outlineLevel="2" ht="120" customHeight="1" s="128">
      <c r="A396" s="139" t="inlineStr">
        <is>
          <t>MICRO-SKILL</t>
        </is>
      </c>
      <c r="B396" s="139" t="inlineStr">
        <is>
          <t>6. Ethical Practice</t>
        </is>
      </c>
      <c r="C396" s="139" t="inlineStr">
        <is>
          <t>Recognise and act on child protection concerns</t>
        </is>
      </c>
      <c r="D396" s="139" t="inlineStr">
        <is>
          <t>Block 3 · Acting</t>
        </is>
      </c>
      <c r="E396" s="223" t="inlineStr">
        <is>
          <t>Report to the DLP and record the time</t>
        </is>
      </c>
      <c r="F396" s="139" t="inlineStr">
        <is>
          <t>Children First Act 2015</t>
        </is>
      </c>
      <c r="G396" s="227" t="inlineStr">
        <is>
          <t>The DLP makes sure the organisation responds consistently, and makes or joins reports to Tusla. Telling them is part of the procedure in every school and service (Children First National Guidance, 2017). If you are a mandated person, telling the DLP does not replace your own duty, but a joint report can meet both. The record of who you told, and when, is what shows the duty was met. Tusla accepts reports through its online portal or by the standard report form — check the current route.</t>
        </is>
      </c>
      <c r="H396" s="165" t="inlineStr">
        <is>
          <t>WATCH FOR — how your supervisor reports to a DLP: in person or by phone, what they say, and what they write down afterwards.
WRITE DOWN — the elements: whom you told, when, what you said, what they said they would do, and whether a Tusla report was made and by whom.
ASK AFTERWARDS — 'how do you follow up to know the report went in?'</t>
        </is>
      </c>
      <c r="I396" s="165" t="inlineStr">
        <is>
          <t>YOU TAKE — making the call to the DLP, with your supervisor there, and writing the record.
THEY HOLD — support in the conversation, and escalation if the DLP does not act.
WHY THAT SPLIT — the call and the record are the core actions and should be yours. Escalating over a DLP needs confidence and knowledge of the service.</t>
        </is>
      </c>
      <c r="J396" s="165" t="inlineStr">
        <is>
          <t>YOU RUN IT — report to the DLP yourself and record it, with your supervisor informed the same day.
WHAT THEY ARE WATCHING FOR — no time on the record, and no check that a Tusla report was made.
STEPPING IN LOOKS LIKE — 'what time did you speak to her, and is she reporting today?'</t>
        </is>
      </c>
      <c r="K396" s="207" t="inlineStr">
        <is>
          <t>YOU DO IT ALONE — report to the DLP, record who and when, and confirm a Tusla report has been made (jointly or by you).
PASS TEST — The file shows who and when
EVIDENCE TO FILE — the record on the case file, and the report reference if you have one. Log against 6. Ethical Practice.
WHAT FAILURE LOOKS LIKE — the file says 'discussed with principal' with no date, time, or outcome.</t>
        </is>
      </c>
      <c r="L396" s="165" t="inlineStr">
        <is>
          <t>YOU CAN TEACH IT — you can explain the DLP's role, joint reporting, and exactly what a report record must contain.
WHEN IT GOES WRONG — you can say what to do when you cannot confirm the Tusla report was made: make it yourself, and record that you did.</t>
        </is>
      </c>
      <c r="M396" s="224" t="inlineStr">
        <is>
          <t>Telling the DLP and not recording when, or whether a report followed.</t>
        </is>
      </c>
      <c r="N396" s="165" t="inlineStr">
        <is>
          <t>→ Feeds into 'Bring it to supervision afterwards, not instead'.</t>
        </is>
      </c>
      <c r="O396" s="225" t="inlineStr">
        <is>
          <t>Not started</t>
        </is>
      </c>
      <c r="P396" s="165" t="inlineStr">
        <is>
          <t>WATCH FOR — how your supervisor reports to a DLP: in person or by phone, what they say, and what they write down afterwards.</t>
        </is>
      </c>
      <c r="Q396" s="139" t="inlineStr">
        <is>
          <t>Year 1</t>
        </is>
      </c>
      <c r="R396" s="226" t="inlineStr">
        <is>
          <t>26/10/2026</t>
        </is>
      </c>
      <c r="S396" s="226" t="inlineStr">
        <is>
          <t>16/11/2026</t>
        </is>
      </c>
      <c r="T396" s="226" t="inlineStr">
        <is>
          <t>14/12/2026</t>
        </is>
      </c>
      <c r="U396" s="139" t="inlineStr">
        <is>
          <t>Record on case file · report reference · Log sheet tagged 6. Ethical Practice</t>
        </is>
      </c>
    </row>
    <row r="397" outlineLevel="2" ht="120" customHeight="1" s="128">
      <c r="A397" s="139" t="inlineStr">
        <is>
          <t>MICRO-SKILL</t>
        </is>
      </c>
      <c r="B397" s="139" t="inlineStr">
        <is>
          <t>6. Ethical Practice</t>
        </is>
      </c>
      <c r="C397" s="139" t="inlineStr">
        <is>
          <t>Recognise and act on child protection concerns</t>
        </is>
      </c>
      <c r="D397" s="139" t="inlineStr">
        <is>
          <t>Block 3 · Acting</t>
        </is>
      </c>
      <c r="E397" s="223" t="inlineStr">
        <is>
          <t>Bring it to supervision afterwards, not instead</t>
        </is>
      </c>
      <c r="F397" s="139" t="inlineStr">
        <is>
          <t>Handbook §6.2</t>
        </is>
      </c>
      <c r="G397" s="227" t="inlineStr">
        <is>
          <t>Child protection work is distressing and the decisions are rarely clean. Supervision afterwards is where you check your judgement, process what you heard, and learn for the next time. The UCD Handbook §6.2 is the reference mapped here — read it for the programme's exact expectation. The order is what matters. Supervision instead of action is a breach. Action with no supervision after leaves you carrying it alone and learning nothing from it.</t>
        </is>
      </c>
      <c r="H397" s="165" t="inlineStr">
        <is>
          <t>WATCH FOR — how your supervisor uses their own supervision after a child protection case.
WRITE DOWN — what they bring: the decision, the reasoning, the emotional impact.
ASK AFTERWARDS — 'what do you still carry from cases like this, and what helps?'</t>
        </is>
      </c>
      <c r="I397" s="165" t="inlineStr">
        <is>
          <t>YOU TAKE — bringing the case to supervision: what happened, what you did and when, how it affected you.
THEY HOLD — review of your decision-making, and support.
WHY THAT SPLIT — naming the impact is yours. Reviewing the decision is how they help you calibrate.</t>
        </is>
      </c>
      <c r="J397" s="165" t="inlineStr">
        <is>
          <t>YOU RUN IT — lead the supervision discussion: timeline, threshold, action, what you would do differently.
WHAT THEY ARE WATCHING FOR — a factual account with no mention of impact on you, or a discussion that re-opens whether to act when action has already been taken.
STEPPING IN LOOKS LIKE — 'and how was it for you?'</t>
        </is>
      </c>
      <c r="K397" s="207" t="inlineStr">
        <is>
          <t>YOU DO IT ALONE — after any child protection action, put it on the next supervision agenda, with the record, and reflect on both judgement and impact.
PASS TEST — Supervision follows the action
EVIDENCE TO FILE — the supervision record. Consider an Appendix 8 entry if a dilemma arose. Log against 6. Ethical Practice and 7. Supervision.
WHAT FAILURE LOOKS LIKE — no mention of the case in supervision, and a trainee who carries it alone.</t>
        </is>
      </c>
      <c r="L397" s="165" t="inlineStr">
        <is>
          <t>YOU CAN TEACH IT — you can explain why supervision comes after action, and what good supervision of a child protection case covers.
WHEN IT GOES WRONG — you can say what to do when a case stays with you: raise it again in supervision, and use the employee assistance or occupational health service.</t>
        </is>
      </c>
      <c r="M397" s="224" t="inlineStr">
        <is>
          <t>Using supervision as the place to decide whether to act.</t>
        </is>
      </c>
      <c r="N397" s="165" t="inlineStr">
        <is>
          <t>→ Feeds into 'Seek supervision when stressed, not only when stuck' and into Supervision.</t>
        </is>
      </c>
      <c r="O397" s="225" t="inlineStr">
        <is>
          <t>Not started</t>
        </is>
      </c>
      <c r="P397" s="165" t="inlineStr">
        <is>
          <t>WATCH FOR — how your supervisor uses their own supervision after a child protection case.</t>
        </is>
      </c>
      <c r="Q397" s="139" t="inlineStr">
        <is>
          <t>Year 1</t>
        </is>
      </c>
      <c r="R397" s="226" t="inlineStr">
        <is>
          <t>26/10/2026</t>
        </is>
      </c>
      <c r="S397" s="226" t="inlineStr">
        <is>
          <t>16/11/2026</t>
        </is>
      </c>
      <c r="T397" s="226" t="inlineStr">
        <is>
          <t>14/12/2026</t>
        </is>
      </c>
      <c r="U397" s="139" t="inlineStr">
        <is>
          <t>Supervision record · Appendix 8 if a dilemma arose · Log sheet tagged 6. Ethical Practice and 7. Supervision</t>
        </is>
      </c>
    </row>
    <row r="398" outlineLevel="2" ht="19.5" customHeight="1" s="128">
      <c r="A398" s="219" t="inlineStr">
        <is>
          <t>MACRO SKILL</t>
        </is>
      </c>
      <c r="B398" s="219" t="inlineStr">
        <is>
          <t>6. Ethical Practice</t>
        </is>
      </c>
      <c r="C398" s="219" t="inlineStr">
        <is>
          <t>Work an ethical dilemma through a decision procedure</t>
        </is>
      </c>
      <c r="D398" s="219" t="n"/>
      <c r="E398" s="219" t="inlineStr">
        <is>
          <t>3 blocks · 8 micro-skills</t>
        </is>
      </c>
      <c r="F398" s="219" t="inlineStr">
        <is>
          <t>PSI Code Appendix A · CORU 1.19</t>
        </is>
      </c>
      <c r="G398" s="219" t="n"/>
      <c r="H398" s="219" t="n"/>
      <c r="I398" s="219" t="n"/>
      <c r="J398" s="219" t="n"/>
      <c r="K398" s="219" t="n"/>
      <c r="L398" s="219" t="n"/>
      <c r="M398" s="219" t="n"/>
      <c r="N398" s="219" t="n"/>
      <c r="O398" s="219" t="n"/>
      <c r="P398" s="219" t="n"/>
      <c r="Q398" s="219" t="inlineStr">
        <is>
          <t>Year 1</t>
        </is>
      </c>
      <c r="R398" s="219" t="n"/>
      <c r="S398" s="219" t="n"/>
      <c r="T398" s="219" t="n"/>
      <c r="U398" s="219" t="n"/>
    </row>
    <row r="399" outlineLevel="2" ht="43.5" customHeight="1" s="128">
      <c r="A399" s="220" t="inlineStr">
        <is>
          <t>BLOCK</t>
        </is>
      </c>
      <c r="B399" s="220" t="inlineStr">
        <is>
          <t>6. Ethical Practice</t>
        </is>
      </c>
      <c r="C399" s="220" t="inlineStr">
        <is>
          <t>Work an ethical dilemma through a decision procedure</t>
        </is>
      </c>
      <c r="D399" s="221" t="inlineStr">
        <is>
          <t>Block 1 · Knowing the procedure</t>
        </is>
      </c>
      <c r="E399" s="222" t="inlineStr">
        <is>
          <t>The seven steps of PSI Appendix A, in order.</t>
        </is>
      </c>
      <c r="F399" s="220" t="inlineStr">
        <is>
          <t>2 hours, once · Weeks 1–2</t>
        </is>
      </c>
      <c r="G399" s="220" t="n"/>
      <c r="H399" s="220" t="n"/>
      <c r="I399" s="220" t="n"/>
      <c r="J399" s="220" t="n"/>
      <c r="K399" s="220" t="n"/>
      <c r="L399" s="220" t="n"/>
      <c r="M399" s="222" t="n"/>
      <c r="N399" s="220" t="n"/>
      <c r="O399" s="220" t="n"/>
      <c r="P399" s="220" t="inlineStr">
        <is>
          <t>How you build it: Read Appendix A. Write the seven steps on a card.</t>
        </is>
      </c>
      <c r="Q399" s="220" t="n"/>
      <c r="R399" s="220" t="n"/>
      <c r="S399" s="220" t="n"/>
      <c r="T399" s="220" t="n"/>
      <c r="U399" s="220" t="n"/>
    </row>
    <row r="400" outlineLevel="2" ht="120" customHeight="1" s="128">
      <c r="A400" s="139" t="inlineStr">
        <is>
          <t>MICRO-SKILL</t>
        </is>
      </c>
      <c r="B400" s="139" t="inlineStr">
        <is>
          <t>6. Ethical Practice</t>
        </is>
      </c>
      <c r="C400" s="139" t="inlineStr">
        <is>
          <t>Work an ethical dilemma through a decision procedure</t>
        </is>
      </c>
      <c r="D400" s="139" t="inlineStr">
        <is>
          <t>Block 1 · Knowing the procedure</t>
        </is>
      </c>
      <c r="E400" s="223" t="inlineStr">
        <is>
          <t>Identify the issue and all affected parties</t>
        </is>
      </c>
      <c r="F400" s="139" t="inlineStr">
        <is>
          <t>PSI Code Appendix A step 1 · Appendix B</t>
        </is>
      </c>
      <c r="G400" s="227" t="inlineStr">
        <is>
          <t>The PSI Code of Professional Ethics sets out an ethical decision-making procedure in Appendix A. Its first step is to identify the issue and everyone affected by it; the sheet maps Appendix B here too — read both in the Code itself. Dilemmas are usually framed around the obvious parties: the child and the parent. Missing a party — a sibling, a teacher, the service, the wider public, or you — means their interests are never weighed. Most poor decisions are poor at this first step.</t>
        </is>
      </c>
      <c r="H400" s="165" t="inlineStr">
        <is>
          <t>WATCH FOR — how your supervisor frames a dilemma when they first raise it, and who they name.
WRITE DOWN — the dilemma in one sentence, and every party affected, including those your supervisor adds.
ASK AFTERWARDS — 'who's the party people usually forget in a dilemma like this?'</t>
        </is>
      </c>
      <c r="I400" s="165" t="inlineStr">
        <is>
          <t>YOU TAKE — writing the issue and listing all affected parties for a dilemma your supervisor is working.
THEY HOLD — the decision.
WHY THAT SPLIT — listing parties is where trainees learn to look wider, and it is safe to practise on a live case your supervisor holds.</t>
        </is>
      </c>
      <c r="J400" s="165" t="inlineStr">
        <is>
          <t>YOU RUN IT — frame a dilemma in your own case and present the issue and all the parties in supervision before discussing what to do.
WHAT THEY ARE WATCHING FOR — stopping at the child and the parent, and leaving out siblings, the teacher, the service, other children in the class, and yourself.
STEPPING IN LOOKS LIKE — 'who else is affected by what you decide — including you?'</t>
        </is>
      </c>
      <c r="K400" s="207" t="inlineStr">
        <is>
          <t>YOU DO IT ALONE — for any dilemma, write the issue in one sentence and list every affected party, including the less obvious ones.
PASS TEST — Including ones you would otherwise miss
EVIDENCE TO FILE — Appendix 8 dilemma entry. Log against 6. Ethical Practice.
WHAT FAILURE LOOKS LIKE — a decision that protected the child and parent and harmed a sibling nobody had thought about.</t>
        </is>
      </c>
      <c r="L400" s="165" t="inlineStr">
        <is>
          <t>YOU CAN TEACH IT — you can walk a peer through step 1 on a worked case, and show the prompts that surface hidden parties: who else lives there, who else is in the room, who pays, who is responsible if it goes wrong.
WHEN IT GOES WRONG — you can say what to do when a party emerges late: add them, and go back through the later steps rather than bolting them on.</t>
        </is>
      </c>
      <c r="M400" s="224" t="inlineStr">
        <is>
          <t>Framing a dilemma around the child and parent only.</t>
        </is>
      </c>
      <c r="N400" s="165" t="inlineStr">
        <is>
          <t>→ Feeds into 'Scan the Code for the clauses that apply' and 'Evaluate each party's rights and responsibilities'.</t>
        </is>
      </c>
      <c r="O400" s="225" t="inlineStr">
        <is>
          <t>Not started</t>
        </is>
      </c>
      <c r="P400" s="165" t="inlineStr">
        <is>
          <t>WATCH FOR — how your supervisor frames a dilemma when they first raise it, and who they name.</t>
        </is>
      </c>
      <c r="Q400" s="139" t="inlineStr">
        <is>
          <t>Year 1</t>
        </is>
      </c>
      <c r="R400" s="226" t="inlineStr">
        <is>
          <t>26/10/2026</t>
        </is>
      </c>
      <c r="S400" s="226" t="inlineStr">
        <is>
          <t>16/11/2026</t>
        </is>
      </c>
      <c r="T400" s="226" t="inlineStr">
        <is>
          <t>14/12/2026</t>
        </is>
      </c>
      <c r="U400" s="139" t="inlineStr">
        <is>
          <t>Appendix 8 dilemma entry · Log sheet tagged 6. Ethical Practice</t>
        </is>
      </c>
    </row>
    <row r="401" outlineLevel="2" ht="120" customHeight="1" s="128">
      <c r="A401" s="139" t="inlineStr">
        <is>
          <t>MICRO-SKILL</t>
        </is>
      </c>
      <c r="B401" s="139" t="inlineStr">
        <is>
          <t>6. Ethical Practice</t>
        </is>
      </c>
      <c r="C401" s="139" t="inlineStr">
        <is>
          <t>Work an ethical dilemma through a decision procedure</t>
        </is>
      </c>
      <c r="D401" s="139" t="inlineStr">
        <is>
          <t>Block 1 · Knowing the procedure</t>
        </is>
      </c>
      <c r="E401" s="223" t="inlineStr">
        <is>
          <t>Scan the Code for the clauses that apply</t>
        </is>
      </c>
      <c r="F401" s="139" t="inlineStr">
        <is>
          <t>PSI Code Appendix A step 2</t>
        </is>
      </c>
      <c r="G401" s="227" t="inlineStr">
        <is>
          <t>Step 2 of the PSI Code Appendix A procedure is to check the Code for the clauses relevant to the issue. The Code is organised under four ethical principles — respect for the rights and dignity of the person, competence, responsibility, and integrity — each with numbered clauses. Citing clause numbers makes your reasoning checkable and shows it is grounded in the Code, not personal values. Dilemmas often turn on two clauses in tension, and you only see the tension once both are written down.</t>
        </is>
      </c>
      <c r="H401" s="165" t="inlineStr">
        <is>
          <t>WATCH FOR — whether your supervisor opens the Code itself when a dilemma arises, or works from memory, and how fast they find the relevant principle.
WRITE DOWN — the clause numbers they cite, what each says, and where two clauses pull against each other.
ASK AFTERWARDS — 'which clauses come up most often in EP work, and which are most often misread?'</t>
        </is>
      </c>
      <c r="I401" s="165" t="inlineStr">
        <is>
          <t>YOU TAKE — searching the Code for relevant clauses for a live dilemma, and listing them with numbers.
THEY HOLD — interpretation of how the clauses apply.
WHY THAT SPLIT — finding clauses builds your familiarity with the Code. Weighing them against each other is judgement.</t>
        </is>
      </c>
      <c r="J401" s="165" t="inlineStr">
        <is>
          <t>YOU RUN IT — present the relevant clauses and the tension between them in supervision.
WHAT THEY ARE WATCHING FOR — citing one clause that supports what you wanted to do anyway.
STEPPING IN LOOKS LIKE — 'what clause would someone arguing the other side cite?'</t>
        </is>
      </c>
      <c r="K401" s="207" t="inlineStr">
        <is>
          <t>YOU DO IT ALONE — cite every relevant Code clause by number, including those that pull against your preferred option.
PASS TEST — You cite clause numbers
EVIDENCE TO FILE — Appendix 8 dilemma entry with clauses. Log against 6. Ethical Practice.
WHAT FAILURE LOOKS LIKE — 'this would breach confidentiality' with no clause, and no mention of the clause that pulls the other way.</t>
        </is>
      </c>
      <c r="L401" s="165" t="inlineStr">
        <is>
          <t>YOU CAN TEACH IT — you can explain the four principles, find clauses quickly, and show how two clauses can conflict.
WHEN IT GOES WRONG — you can say what to do when the Code does not answer the question: say so, and move to the rights and consequences analysis in the next steps.</t>
        </is>
      </c>
      <c r="M401" s="224" t="inlineStr">
        <is>
          <t>Citing only the clause that supports the option you had already chosen.</t>
        </is>
      </c>
      <c r="N401" s="165" t="inlineStr">
        <is>
          <t>→ Feeds into 'Evaluate each party's rights and responsibilities'.</t>
        </is>
      </c>
      <c r="O401" s="225" t="inlineStr">
        <is>
          <t>Not started</t>
        </is>
      </c>
      <c r="P401" s="165" t="inlineStr">
        <is>
          <t>WATCH FOR — whether your supervisor opens the Code itself when a dilemma arises, or works from memory, and how fast they find the relevant principle.</t>
        </is>
      </c>
      <c r="Q401" s="139" t="inlineStr">
        <is>
          <t>Year 1</t>
        </is>
      </c>
      <c r="R401" s="226" t="inlineStr">
        <is>
          <t>26/10/2026</t>
        </is>
      </c>
      <c r="S401" s="226" t="inlineStr">
        <is>
          <t>16/11/2026</t>
        </is>
      </c>
      <c r="T401" s="226" t="inlineStr">
        <is>
          <t>14/12/2026</t>
        </is>
      </c>
      <c r="U401" s="139" t="inlineStr">
        <is>
          <t>Appendix 8 dilemma entry · Log sheet tagged 6. Ethical Practice</t>
        </is>
      </c>
    </row>
    <row r="402" outlineLevel="2" ht="120" customHeight="1" s="128">
      <c r="A402" s="139" t="inlineStr">
        <is>
          <t>MICRO-SKILL</t>
        </is>
      </c>
      <c r="B402" s="139" t="inlineStr">
        <is>
          <t>6. Ethical Practice</t>
        </is>
      </c>
      <c r="C402" s="139" t="inlineStr">
        <is>
          <t>Work an ethical dilemma through a decision procedure</t>
        </is>
      </c>
      <c r="D402" s="139" t="inlineStr">
        <is>
          <t>Block 1 · Knowing the procedure</t>
        </is>
      </c>
      <c r="E402" s="223" t="inlineStr">
        <is>
          <t>Evaluate each party's rights and responsibilities</t>
        </is>
      </c>
      <c r="F402" s="139" t="inlineStr">
        <is>
          <t>PSI Code Appendix A step 3</t>
        </is>
      </c>
      <c r="G402" s="227" t="inlineStr">
        <is>
          <t>Step 3 of the Appendix A procedure is to consider the rights, responsibilities and welfare of each affected party. Taking each party separately stops the loudest voice setting the frame, and shows where interests truly conflict and where they only seem to. A child's right to privacy, a parent's right to information, a school's duty of care, and your own professional responsibility can all be real at once.</t>
        </is>
      </c>
      <c r="H402" s="165" t="inlineStr">
        <is>
          <t>WATCH FOR — how your supervisor weighs parties, and whether they give the child's interests explicit weight.
WRITE DOWN — a table of parties, with each one's rights, responsibilities and interests.
ASK AFTERWARDS — 'when a child's view and the parent's rights conflict, how do you weigh them?'</t>
        </is>
      </c>
      <c r="I402" s="165" t="inlineStr">
        <is>
          <t>YOU TAKE — building the table for a live dilemma: one row per party, columns for rights, responsibilities, interests and welfare, with the source for each right (the Code, UNCRC, statute).
THEY HOLD — the weighting between rows.
WHY THAT SPLIT — the table is analysis you can practise and have checked. Weighing competing rights needs experience of how such conflicts usually resolve.</t>
        </is>
      </c>
      <c r="J402" s="165" t="inlineStr">
        <is>
          <t>YOU RUN IT — present the table and your view on which rights carry most weight, and why.
WHAT THEY ARE WATCHING FOR — treating adults' rights as automatically outweighing the child's.
STEPPING IN LOOKS LIKE — 'what does the child have a right to here?'</t>
        </is>
      </c>
      <c r="K402" s="207" t="inlineStr">
        <is>
          <t>YOU DO IT ALONE — consider each party separately — rights, responsibilities, welfare — and write it down.
PASS TEST — Each considered separately
EVIDENCE TO FILE — Appendix 8 dilemma entry. Log against 6. Ethical Practice.
WHAT FAILURE LOOKS LIKE — a decision where the child's view was never considered as a separate interest.</t>
        </is>
      </c>
      <c r="L402" s="165" t="inlineStr">
        <is>
          <t>YOU CAN TEACH IT — you can walk a peer through a rights-and-responsibilities table, drawing on the UNCRC and the Code.
WHEN IT GOES WRONG — you can say what to do when rights cannot be reconciled: be explicit about whose rights are being limited and why, and record it.</t>
        </is>
      </c>
      <c r="M402" s="224" t="inlineStr">
        <is>
          <t>Treating the parent's view as the child's.</t>
        </is>
      </c>
      <c r="N402" s="165" t="inlineStr">
        <is>
          <t>→ Feeds into 'Generate as many alternative courses as possible'.</t>
        </is>
      </c>
      <c r="O402" s="225" t="inlineStr">
        <is>
          <t>Not started</t>
        </is>
      </c>
      <c r="P402" s="165" t="inlineStr">
        <is>
          <t>WATCH FOR — how your supervisor weighs parties, and whether they give the child's interests explicit weight.</t>
        </is>
      </c>
      <c r="Q402" s="139" t="inlineStr">
        <is>
          <t>Year 1</t>
        </is>
      </c>
      <c r="R402" s="226" t="inlineStr">
        <is>
          <t>26/10/2026</t>
        </is>
      </c>
      <c r="S402" s="226" t="inlineStr">
        <is>
          <t>16/11/2026</t>
        </is>
      </c>
      <c r="T402" s="226" t="inlineStr">
        <is>
          <t>14/12/2026</t>
        </is>
      </c>
      <c r="U402" s="139" t="inlineStr">
        <is>
          <t>Appendix 8 dilemma entry · Log sheet tagged 6. Ethical Practice</t>
        </is>
      </c>
    </row>
    <row r="403" outlineLevel="2" ht="43.5" customHeight="1" s="128">
      <c r="A403" s="220" t="inlineStr">
        <is>
          <t>BLOCK</t>
        </is>
      </c>
      <c r="B403" s="220" t="inlineStr">
        <is>
          <t>6. Ethical Practice</t>
        </is>
      </c>
      <c r="C403" s="220" t="inlineStr">
        <is>
          <t>Work an ethical dilemma through a decision procedure</t>
        </is>
      </c>
      <c r="D403" s="221" t="inlineStr">
        <is>
          <t>Block 2 · Working it through</t>
        </is>
      </c>
      <c r="E403" s="222" t="inlineStr">
        <is>
          <t>Generating alternatives and evaluating them rather than deciding and justifying.</t>
        </is>
      </c>
      <c r="F403" s="220" t="inlineStr">
        <is>
          <t>3–4 hours to learn · Weeks 3–6</t>
        </is>
      </c>
      <c r="G403" s="220" t="n"/>
      <c r="H403" s="220" t="n"/>
      <c r="I403" s="220" t="n"/>
      <c r="J403" s="220" t="n"/>
      <c r="K403" s="220" t="n"/>
      <c r="L403" s="220" t="n"/>
      <c r="M403" s="222" t="n"/>
      <c r="N403" s="220" t="n"/>
      <c r="O403" s="220" t="n"/>
      <c r="P403" s="220" t="inlineStr">
        <is>
          <t>How you build it: Use it on a hypothetical first. Then on a real one with supervision.</t>
        </is>
      </c>
      <c r="Q403" s="220" t="n"/>
      <c r="R403" s="220" t="n"/>
      <c r="S403" s="220" t="n"/>
      <c r="T403" s="220" t="n"/>
      <c r="U403" s="220" t="n"/>
    </row>
    <row r="404" outlineLevel="2" ht="120" customHeight="1" s="128">
      <c r="A404" s="139" t="inlineStr">
        <is>
          <t>MICRO-SKILL</t>
        </is>
      </c>
      <c r="B404" s="139" t="inlineStr">
        <is>
          <t>6. Ethical Practice</t>
        </is>
      </c>
      <c r="C404" s="139" t="inlineStr">
        <is>
          <t>Work an ethical dilemma through a decision procedure</t>
        </is>
      </c>
      <c r="D404" s="139" t="inlineStr">
        <is>
          <t>Block 2 · Working it through</t>
        </is>
      </c>
      <c r="E404" s="223" t="inlineStr">
        <is>
          <t>Generate as many alternative courses as possible</t>
        </is>
      </c>
      <c r="F404" s="139" t="inlineStr">
        <is>
          <t>PSI Code Appendix A step 4</t>
        </is>
      </c>
      <c r="G404" s="227" t="inlineStr">
        <is>
          <t>Step 4 of Appendix A is to generate alternatives. Under pressure, dilemmas collapse into two options: tell or do not tell, continue or stop. The best choice is often a third one nobody considered: tell with the young person's involvement, delay briefly to prepare, share part of the information, consult first. Generating alternatives is the step that most often turns a dilemma into a manageable decision.</t>
        </is>
      </c>
      <c r="H404" s="165" t="inlineStr">
        <is>
          <t>WATCH FOR — how many options your supervisor considers, and whether they generate them before judging any. Judging too early is what shrinks the list to two.
WRITE DOWN — every option they name, including the ones they reject quickly, and the unobvious ones: timing, partial sharing, involving the young person.
ASK AFTERWARDS — 'what's the option you didn't think of until later?'</t>
        </is>
      </c>
      <c r="I404" s="165" t="inlineStr">
        <is>
          <t>YOU TAKE — brainstorming options for a live dilemma, on paper, before any are evaluated, aiming for at least five including some you would not choose.
THEY HOLD — adding options from their experience and choosing between them.
WHY THAT SPLIT — generating options is creative and safe to practise. Choosing carries the consequence, so it stays with them for now.</t>
        </is>
      </c>
      <c r="J404" s="165" t="inlineStr">
        <is>
          <t>YOU RUN IT — bring at least four options to supervision, written down, before discussing which is best.
WHAT THEY ARE WATCHING FOR — two options, one obviously right, so the 'dilemma' was never really one — or options that are the same thing reworded.
STEPPING IN LOOKS LIKE — 'what's a third way? What if you did it later, or with her, or only in part?'</t>
        </is>
      </c>
      <c r="K404" s="207" t="inlineStr">
        <is>
          <t>YOU DO IT ALONE — list more than two options, including the unobvious ones, before evaluating any.
PASS TEST — More than two
EVIDENCE TO FILE — Appendix 8 dilemma entry. Log against 6. Ethical Practice.
WHAT FAILURE LOOKS LIKE — a forced choice between two bad options when a better one existed.</t>
        </is>
      </c>
      <c r="L404" s="165" t="inlineStr">
        <is>
          <t>YOU CAN TEACH IT — you can show how to widen options: involving the person, timing, partial sharing, consultation, and doing nothing yet.
WHEN IT GOES WRONG — you can say what to do when every option is bad: choose the least harmful, and record why.</t>
        </is>
      </c>
      <c r="M404" s="224" t="inlineStr">
        <is>
          <t>Framing every dilemma as a choice between two options.</t>
        </is>
      </c>
      <c r="N404" s="165" t="inlineStr">
        <is>
          <t>→ Feeds into 'Evaluate the likely outcome of each'.</t>
        </is>
      </c>
      <c r="O404" s="225" t="inlineStr">
        <is>
          <t>Not started</t>
        </is>
      </c>
      <c r="P404" s="165" t="inlineStr">
        <is>
          <t>WATCH FOR — how many options your supervisor considers, and whether they generate them before judging any. Judging too early is what shrinks the list to two.</t>
        </is>
      </c>
      <c r="Q404" s="139" t="inlineStr">
        <is>
          <t>Year 1</t>
        </is>
      </c>
      <c r="R404" s="226" t="inlineStr">
        <is>
          <t>26/10/2026</t>
        </is>
      </c>
      <c r="S404" s="226" t="inlineStr">
        <is>
          <t>16/11/2026</t>
        </is>
      </c>
      <c r="T404" s="226" t="inlineStr">
        <is>
          <t>14/12/2026</t>
        </is>
      </c>
      <c r="U404" s="139" t="inlineStr">
        <is>
          <t>Appendix 8 dilemma entry · Log sheet tagged 6. Ethical Practice</t>
        </is>
      </c>
    </row>
    <row r="405" outlineLevel="2" ht="120" customHeight="1" s="128">
      <c r="A405" s="139" t="inlineStr">
        <is>
          <t>MICRO-SKILL</t>
        </is>
      </c>
      <c r="B405" s="139" t="inlineStr">
        <is>
          <t>6. Ethical Practice</t>
        </is>
      </c>
      <c r="C405" s="139" t="inlineStr">
        <is>
          <t>Work an ethical dilemma through a decision procedure</t>
        </is>
      </c>
      <c r="D405" s="139" t="inlineStr">
        <is>
          <t>Block 2 · Working it through</t>
        </is>
      </c>
      <c r="E405" s="223" t="inlineStr">
        <is>
          <t>Evaluate the likely outcome of each</t>
        </is>
      </c>
      <c r="F405" s="139" t="inlineStr">
        <is>
          <t>PSI Code Appendix A step 5</t>
        </is>
      </c>
      <c r="G405" s="227" t="inlineStr">
        <is>
          <t>Step 5 of Appendix A is to evaluate the likely consequences of each option for each party. This is where the earlier steps pay off: parties, rights and options meet. Thinking consequences through — short and long term, for each person — often shows that the option that feels most ethical in the moment has costs you had not seen, or the reverse.</t>
        </is>
      </c>
      <c r="H405" s="165" t="inlineStr">
        <is>
          <t>WATCH FOR — how your supervisor tests each option: 'what happens next if we do this — and then what?' Notice whether they think past the first reaction.
WRITE DOWN — the consequences they name for each option, for whom, and over what time frame.
ASK AFTERWARDS — 'which consequence do trainees most often miss?'</t>
        </is>
      </c>
      <c r="I405" s="165" t="inlineStr">
        <is>
          <t>YOU TAKE — drafting the consequences of each option for each party, in a grid, short and long term.
THEY HOLD — correcting your predictions from what they have seen happen in similar cases.
WHY THAT SPLIT — predicting consequences improves with experience, so theirs corrects yours. The grid makes your predictions visible so they can be corrected.</t>
        </is>
      </c>
      <c r="J405" s="165" t="inlineStr">
        <is>
          <t>YOU RUN IT — present the consequence grid and your recommendation in supervision, and defend it.
WHAT THEY ARE WATCHING FOR — short-term thinking (what calms today's meeting), and consequences for the child left out because the adults were louder.
STEPPING IN LOOKS LIKE — 'and six months from now? What does the child experience?'</t>
        </is>
      </c>
      <c r="K405" s="207" t="inlineStr">
        <is>
          <t>YOU DO IT ALONE — for each option, think through short and long-term consequences for each party, and write them down.
PASS TEST — Consequences thought through
EVIDENCE TO FILE — Appendix 8 dilemma entry. Log against 6. Ethical Practice.
WHAT FAILURE LOOKS LIKE — a decision that solved the immediate problem and damaged the relationship with the family for the rest of the involvement.</t>
        </is>
      </c>
      <c r="L405" s="165" t="inlineStr">
        <is>
          <t>YOU CAN TEACH IT — you can show how to lay out a consequence grid — options by parties by time frame — and how to test predictions against experience.
WHEN IT GOES WRONG — you can say what to do when consequences cannot be predicted: choose the most reversible option, set a date to review, and record that uncertainty was part of the decision.</t>
        </is>
      </c>
      <c r="M405" s="224" t="inlineStr">
        <is>
          <t>Choosing the option that relieves your discomfort now rather than the one with the best consequences.</t>
        </is>
      </c>
      <c r="N405" s="165" t="inlineStr">
        <is>
          <t>→ Feeds into 'Decide and record the decision'.</t>
        </is>
      </c>
      <c r="O405" s="225" t="inlineStr">
        <is>
          <t>Not started</t>
        </is>
      </c>
      <c r="P405" s="165" t="inlineStr">
        <is>
          <t>WATCH FOR — how your supervisor tests each option: 'what happens next if we do this — and then what?' Notice whether they think past the first reaction.</t>
        </is>
      </c>
      <c r="Q405" s="139" t="inlineStr">
        <is>
          <t>Year 1</t>
        </is>
      </c>
      <c r="R405" s="226" t="inlineStr">
        <is>
          <t>26/10/2026</t>
        </is>
      </c>
      <c r="S405" s="226" t="inlineStr">
        <is>
          <t>16/11/2026</t>
        </is>
      </c>
      <c r="T405" s="226" t="inlineStr">
        <is>
          <t>14/12/2026</t>
        </is>
      </c>
      <c r="U405" s="139" t="inlineStr">
        <is>
          <t>Appendix 8 dilemma entry · Log sheet tagged 6. Ethical Practice</t>
        </is>
      </c>
    </row>
    <row r="406" outlineLevel="2" ht="120" customHeight="1" s="128">
      <c r="A406" s="139" t="inlineStr">
        <is>
          <t>MICRO-SKILL</t>
        </is>
      </c>
      <c r="B406" s="139" t="inlineStr">
        <is>
          <t>6. Ethical Practice</t>
        </is>
      </c>
      <c r="C406" s="139" t="inlineStr">
        <is>
          <t>Work an ethical dilemma through a decision procedure</t>
        </is>
      </c>
      <c r="D406" s="139" t="inlineStr">
        <is>
          <t>Block 2 · Working it through</t>
        </is>
      </c>
      <c r="E406" s="223" t="inlineStr">
        <is>
          <t>Decide and record the decision</t>
        </is>
      </c>
      <c r="F406" s="139" t="inlineStr">
        <is>
          <t>PSI Code Appendix A step 6</t>
        </is>
      </c>
      <c r="G406" s="227" t="inlineStr">
        <is>
          <t>Step 6 of Appendix A is to make the decision. Recording it — what was decided, why, and which options were rejected — lets you, your supervisor, or a reviewer see that the decision was reasoned. It also makes it defensible if challenged. A decision reached in conversation and never written down is, for any later purpose, a decision nobody can show was made.</t>
        </is>
      </c>
      <c r="H406" s="165" t="inlineStr">
        <is>
          <t>WATCH FOR — how and where your supervisor records an ethical decision: the case file, their supervision record, or both — and whether they record options they rejected.
WRITE DOWN — what the record contains: decision, reasoning, Code clauses, options rejected, who was consulted, date.
ASK AFTERWARDS — 'have you ever needed to show your reasoning afterwards?'</t>
        </is>
      </c>
      <c r="I406" s="165" t="inlineStr">
        <is>
          <t>YOU TAKE — writing up the decision for a dilemma your supervisor decided, including the reasons for rejecting the other options.
THEY HOLD — the decision itself, and checking your write-up is accurate.
WHY THAT SPLIT — writing up someone else's decision tests whether you followed the reasoning, without you carrying the consequence.</t>
        </is>
      </c>
      <c r="J406" s="165" t="inlineStr">
        <is>
          <t>YOU RUN IT — make the decision on your own case and write it up, with your supervisor agreeing it.
WHAT THEY ARE WATCHING FOR — recording the decision and not the reasoning.
STEPPING IN LOOKS LIKE — 'would someone reading this know why you didn't choose option two?'</t>
        </is>
      </c>
      <c r="K406" s="207" t="inlineStr">
        <is>
          <t>YOU DO IT ALONE — decide, and record the decision, the reasoning and the options rejected, on the day.
PASS TEST — Written down
EVIDENCE TO FILE — case record and Appendix 8 dilemma entry. Log against 6. Ethical Practice.
WHAT FAILURE LOOKS LIKE — a challenge months later and no record of why you did what you did.</t>
        </is>
      </c>
      <c r="L406" s="165" t="inlineStr">
        <is>
          <t>YOU CAN TEACH IT — you can explain what a decision record needs and why the rejected options matter: they show the decision was a choice, not a default.
WHEN IT GOES WRONG — you can say what to do when you did not record at the time: write it now, dated, clearly marked as written later, and say so if asked.</t>
        </is>
      </c>
      <c r="M406" s="224" t="inlineStr">
        <is>
          <t>Recording what was decided but not why.</t>
        </is>
      </c>
      <c r="N406" s="165" t="inlineStr">
        <is>
          <t>→ Feeds into 'Take responsibility for the consequences' and 'Keep notes at each stage'.</t>
        </is>
      </c>
      <c r="O406" s="225" t="inlineStr">
        <is>
          <t>Not started</t>
        </is>
      </c>
      <c r="P406" s="165" t="inlineStr">
        <is>
          <t>WATCH FOR — how and where your supervisor records an ethical decision: the case file, their supervision record, or both — and whether they record options they rejected.</t>
        </is>
      </c>
      <c r="Q406" s="139" t="inlineStr">
        <is>
          <t>Year 1</t>
        </is>
      </c>
      <c r="R406" s="226" t="inlineStr">
        <is>
          <t>26/10/2026</t>
        </is>
      </c>
      <c r="S406" s="226" t="inlineStr">
        <is>
          <t>16/11/2026</t>
        </is>
      </c>
      <c r="T406" s="226" t="inlineStr">
        <is>
          <t>14/12/2026</t>
        </is>
      </c>
      <c r="U406" s="139" t="inlineStr">
        <is>
          <t>Case record · Appendix 8 dilemma entry · Log sheet tagged 6. Ethical Practice</t>
        </is>
      </c>
    </row>
    <row r="407" outlineLevel="2" ht="43.5" customHeight="1" s="128">
      <c r="A407" s="220" t="inlineStr">
        <is>
          <t>BLOCK</t>
        </is>
      </c>
      <c r="B407" s="220" t="inlineStr">
        <is>
          <t>6. Ethical Practice</t>
        </is>
      </c>
      <c r="C407" s="220" t="inlineStr">
        <is>
          <t>Work an ethical dilemma through a decision procedure</t>
        </is>
      </c>
      <c r="D407" s="221" t="inlineStr">
        <is>
          <t>Block 3 · Owning it</t>
        </is>
      </c>
      <c r="E407" s="222" t="inlineStr">
        <is>
          <t>Taking responsibility including where it went wrong, and keeping notes throughout.</t>
        </is>
      </c>
      <c r="F407" s="220" t="inlineStr">
        <is>
          <t>Habit · Ongoing all year</t>
        </is>
      </c>
      <c r="G407" s="220" t="n"/>
      <c r="H407" s="220" t="n"/>
      <c r="I407" s="220" t="n"/>
      <c r="J407" s="220" t="n"/>
      <c r="K407" s="220" t="n"/>
      <c r="L407" s="220" t="n"/>
      <c r="M407" s="222" t="n"/>
      <c r="N407" s="220" t="n"/>
      <c r="O407" s="220" t="n"/>
      <c r="P407" s="220" t="inlineStr">
        <is>
          <t>How you build it: Write the Appendix 8 entry the same day.</t>
        </is>
      </c>
      <c r="Q407" s="220" t="n"/>
      <c r="R407" s="220" t="n"/>
      <c r="S407" s="220" t="n"/>
      <c r="T407" s="220" t="n"/>
      <c r="U407" s="220" t="n"/>
    </row>
    <row r="408" outlineLevel="2" ht="120" customHeight="1" s="128">
      <c r="A408" s="139" t="inlineStr">
        <is>
          <t>MICRO-SKILL</t>
        </is>
      </c>
      <c r="B408" s="139" t="inlineStr">
        <is>
          <t>6. Ethical Practice</t>
        </is>
      </c>
      <c r="C408" s="139" t="inlineStr">
        <is>
          <t>Work an ethical dilemma through a decision procedure</t>
        </is>
      </c>
      <c r="D408" s="139" t="inlineStr">
        <is>
          <t>Block 3 · Owning it</t>
        </is>
      </c>
      <c r="E408" s="223" t="inlineStr">
        <is>
          <t>Take responsibility for the consequences</t>
        </is>
      </c>
      <c r="F408" s="139" t="inlineStr">
        <is>
          <t>PSI Code Appendix A step 7</t>
        </is>
      </c>
      <c r="G408" s="227" t="inlineStr">
        <is>
          <t>Step 7 of Appendix A is to take responsibility for the decision and its consequences, and to act to correct them where they are harmful. A decision made through a good procedure can still go badly. What matters then is honesty: saying so, correcting what can be corrected, and learning from it. Defending a bad outcome because the procedure was followed misses the point of having a procedure.</t>
        </is>
      </c>
      <c r="H408" s="165" t="inlineStr">
        <is>
          <t>WATCH FOR — how your supervisor talks about a decision that went badly: whether they own it, explain it away, or blame the system.
WRITE DOWN — what they did afterwards: who they told, what they corrected, what they changed in their practice.
ASK AFTERWARDS — 'tell me about a decision you'd make differently now, and what you did once you knew.'</t>
        </is>
      </c>
      <c r="I408" s="165" t="inlineStr">
        <is>
          <t>YOU TAKE — reviewing the outcome of a decision, and naming anything that went wrong.
THEY HOLD — deciding on corrective action.
WHY THAT SPLIT — naming what went wrong is the habit. What to do about it may involve the family, the school or the service.</t>
        </is>
      </c>
      <c r="J408" s="165" t="inlineStr">
        <is>
          <t>YOU RUN IT — review your own decision's outcome in supervision, name what went wrong, and propose corrective action.
WHAT THEY ARE WATCHING FOR — defensiveness, blaming the procedure or the family, and treating 'I followed the steps' as the end of the matter.
STEPPING IN LOOKS LIKE — 'setting aside what others did, what's yours in this?'</t>
        </is>
      </c>
      <c r="K408" s="207" t="inlineStr">
        <is>
          <t>YOU DO IT ALONE — review the outcome, own the part that was yours, and act to correct harm.
PASS TEST — Including where it went wrong
EVIDENCE TO FILE — Appendix 8 follow-up and supervision record. Log against 6. Ethical Practice.
WHAT FAILURE LOOKS LIKE — a harmful outcome explained away as the right decision on the information available, with nothing done about it.</t>
        </is>
      </c>
      <c r="L408" s="165" t="inlineStr">
        <is>
          <t>YOU CAN TEACH IT — you can explain step 7, and model owning a decision that went wrong.
WHEN IT GOES WRONG — you can say what to do when the consequence is serious: tell your supervisor at once, follow service procedure, and consider whether it needs to be reported.</t>
        </is>
      </c>
      <c r="M408" s="224" t="inlineStr">
        <is>
          <t>Defending a bad outcome because the procedure was followed.</t>
        </is>
      </c>
      <c r="N408" s="165" t="inlineStr">
        <is>
          <t>→ Feeds into 'Keep notes at each stage' and into Supervision.</t>
        </is>
      </c>
      <c r="O408" s="225" t="inlineStr">
        <is>
          <t>Not started</t>
        </is>
      </c>
      <c r="P408" s="165" t="inlineStr">
        <is>
          <t>WATCH FOR — how your supervisor talks about a decision that went badly: whether they own it, explain it away, or blame the system.</t>
        </is>
      </c>
      <c r="Q408" s="139" t="inlineStr">
        <is>
          <t>Year 1</t>
        </is>
      </c>
      <c r="R408" s="226" t="inlineStr">
        <is>
          <t>26/10/2026</t>
        </is>
      </c>
      <c r="S408" s="226" t="inlineStr">
        <is>
          <t>16/11/2026</t>
        </is>
      </c>
      <c r="T408" s="226" t="inlineStr">
        <is>
          <t>14/12/2026</t>
        </is>
      </c>
      <c r="U408" s="139" t="inlineStr">
        <is>
          <t>Appendix 8 follow-up · supervision record · Log sheet tagged 6. Ethical Practice</t>
        </is>
      </c>
    </row>
    <row r="409" outlineLevel="2" ht="120" customHeight="1" s="128">
      <c r="A409" s="139" t="inlineStr">
        <is>
          <t>MICRO-SKILL</t>
        </is>
      </c>
      <c r="B409" s="139" t="inlineStr">
        <is>
          <t>6. Ethical Practice</t>
        </is>
      </c>
      <c r="C409" s="139" t="inlineStr">
        <is>
          <t>Work an ethical dilemma through a decision procedure</t>
        </is>
      </c>
      <c r="D409" s="139" t="inlineStr">
        <is>
          <t>Block 3 · Owning it</t>
        </is>
      </c>
      <c r="E409" s="223" t="inlineStr">
        <is>
          <t>Keep notes at each stage</t>
        </is>
      </c>
      <c r="F409" s="139" t="inlineStr">
        <is>
          <t>PSI Code Appendix A</t>
        </is>
      </c>
      <c r="G409" s="227" t="inlineStr">
        <is>
          <t>The pass test for this micro-skill records that the PSI Code strongly recommends keeping notes throughout the decision-making procedure. Read the Appendix A wording yourself. Notes at each stage show the reasoning as it developed, not as reconstructed after the outcome is known. They protect you if challenged, and they are the raw material for your Appendix 8 dilemma entries.</t>
        </is>
      </c>
      <c r="H409" s="165" t="inlineStr">
        <is>
          <t>WATCH FOR — whether your supervisor keeps notes as a dilemma unfolds, or only records the outcome once it is settled.
WRITE DOWN — the headings they use, and where the notes are kept (case file, supervision record, or a separate log).
ASK AFTERWARDS — 'where do you keep these notes, and who can see them?'</t>
        </is>
      </c>
      <c r="I409" s="165" t="inlineStr">
        <is>
          <t>YOU TAKE — keeping dated, stage-by-stage notes for a dilemma your supervisor is working through, one heading per step of Appendix A.
THEY HOLD — the decision and the case record.
WHY THAT SPLIT — note-keeping is a habit you can build on someone else's decision first, so it is automatic by the time the decision is yours.</t>
        </is>
      </c>
      <c r="J409" s="165" t="inlineStr">
        <is>
          <t>YOU RUN IT — keep your own stage-by-stage notes on a dilemma in your case, and bring them to supervision at each step rather than at the end.
WHAT THEY ARE WATCHING FOR — notes written all at once, after the event, which read as if you knew the answer from the start.
STEPPING IN LOOKS LIKE — 'when did you write this part?'</t>
        </is>
      </c>
      <c r="K409" s="207" t="inlineStr">
        <is>
          <t>YOU DO IT ALONE — keep dated notes at each of the seven steps as you go.
PASS TEST — The Code strongly recommends it
EVIDENCE TO FILE — Appendix 8 dilemma entry. Log against 6. Ethical Practice.
WHAT FAILURE LOOKS LIKE — an Appendix 8 entry written from memory weeks later, which reads as if you knew the answer from the start.</t>
        </is>
      </c>
      <c r="L409" s="165" t="inlineStr">
        <is>
          <t>YOU CAN TEACH IT — you can show a peer a simple seven-step note template, and explain why contemporaneous notes carry weight.
WHEN IT GOES WRONG — you can say what to do when notes are missing for a stage: write what you remember, dated and marked as later.</t>
        </is>
      </c>
      <c r="M409" s="224" t="inlineStr">
        <is>
          <t>Writing the whole dilemma record after the outcome is known.</t>
        </is>
      </c>
      <c r="N409" s="165" t="inlineStr">
        <is>
          <t>→ Feeds into Appendix 8 and into Supervision.</t>
        </is>
      </c>
      <c r="O409" s="225" t="inlineStr">
        <is>
          <t>Not started</t>
        </is>
      </c>
      <c r="P409" s="165" t="inlineStr">
        <is>
          <t>WATCH FOR — whether your supervisor keeps notes as a dilemma unfolds, or only records the outcome once it is settled.</t>
        </is>
      </c>
      <c r="Q409" s="139" t="inlineStr">
        <is>
          <t>Year 1</t>
        </is>
      </c>
      <c r="R409" s="226" t="inlineStr">
        <is>
          <t>26/10/2026</t>
        </is>
      </c>
      <c r="S409" s="226" t="inlineStr">
        <is>
          <t>16/11/2026</t>
        </is>
      </c>
      <c r="T409" s="226" t="inlineStr">
        <is>
          <t>14/12/2026</t>
        </is>
      </c>
      <c r="U409" s="139" t="inlineStr">
        <is>
          <t>Appendix 8 dilemma entry · Log sheet tagged 6. Ethical Practice</t>
        </is>
      </c>
    </row>
    <row r="410" outlineLevel="2" ht="19.5" customHeight="1" s="128">
      <c r="A410" s="219" t="inlineStr">
        <is>
          <t>MACRO SKILL</t>
        </is>
      </c>
      <c r="B410" s="219" t="inlineStr">
        <is>
          <t>6. Ethical Practice</t>
        </is>
      </c>
      <c r="C410" s="219" t="inlineStr">
        <is>
          <t>State and hold the limits of your competence</t>
        </is>
      </c>
      <c r="D410" s="219" t="n"/>
      <c r="E410" s="219" t="inlineStr">
        <is>
          <t>3 blocks · 5 micro-skills</t>
        </is>
      </c>
      <c r="F410" s="219" t="inlineStr">
        <is>
          <t>CORU 1.2 · PSI Code 2.2</t>
        </is>
      </c>
      <c r="G410" s="219" t="n"/>
      <c r="H410" s="219" t="n"/>
      <c r="I410" s="219" t="n"/>
      <c r="J410" s="219" t="n"/>
      <c r="K410" s="219" t="n"/>
      <c r="L410" s="219" t="n"/>
      <c r="M410" s="219" t="n"/>
      <c r="N410" s="219" t="n"/>
      <c r="O410" s="219" t="n"/>
      <c r="P410" s="219" t="n"/>
      <c r="Q410" s="219" t="inlineStr">
        <is>
          <t>Year 1</t>
        </is>
      </c>
      <c r="R410" s="219" t="n"/>
      <c r="S410" s="219" t="n"/>
      <c r="T410" s="219" t="n"/>
      <c r="U410" s="219" t="n"/>
    </row>
    <row r="411" outlineLevel="2" ht="43.5" customHeight="1" s="128">
      <c r="A411" s="220" t="inlineStr">
        <is>
          <t>BLOCK</t>
        </is>
      </c>
      <c r="B411" s="220" t="inlineStr">
        <is>
          <t>6. Ethical Practice</t>
        </is>
      </c>
      <c r="C411" s="220" t="inlineStr">
        <is>
          <t>State and hold the limits of your competence</t>
        </is>
      </c>
      <c r="D411" s="221" t="inlineStr">
        <is>
          <t>Block 1 · Knowing where the line is</t>
        </is>
      </c>
      <c r="E411" s="222" t="inlineStr">
        <is>
          <t>Publisher levels, service policy, and your own actual competence.</t>
        </is>
      </c>
      <c r="F411" s="220" t="inlineStr">
        <is>
          <t>2 hours, once · Weeks 1–2</t>
        </is>
      </c>
      <c r="G411" s="220" t="n"/>
      <c r="H411" s="220" t="n"/>
      <c r="I411" s="220" t="n"/>
      <c r="J411" s="220" t="n"/>
      <c r="K411" s="220" t="n"/>
      <c r="L411" s="220" t="n"/>
      <c r="M411" s="222" t="n"/>
      <c r="N411" s="220" t="n"/>
      <c r="O411" s="220" t="n"/>
      <c r="P411" s="220" t="inlineStr">
        <is>
          <t>How you build it: List every tool you hold and its user level. Check against service policy.</t>
        </is>
      </c>
      <c r="Q411" s="220" t="n"/>
      <c r="R411" s="220" t="n"/>
      <c r="S411" s="220" t="n"/>
      <c r="T411" s="220" t="n"/>
      <c r="U411" s="220" t="n"/>
    </row>
    <row r="412" outlineLevel="2" ht="120" customHeight="1" s="128">
      <c r="A412" s="139" t="inlineStr">
        <is>
          <t>MICRO-SKILL</t>
        </is>
      </c>
      <c r="B412" s="139" t="inlineStr">
        <is>
          <t>6. Ethical Practice</t>
        </is>
      </c>
      <c r="C412" s="139" t="inlineStr">
        <is>
          <t>State and hold the limits of your competence</t>
        </is>
      </c>
      <c r="D412" s="139" t="inlineStr">
        <is>
          <t>Block 1 · Knowing where the line is</t>
        </is>
      </c>
      <c r="E412" s="223" t="inlineStr">
        <is>
          <t>Know your publisher competence level for every tool</t>
        </is>
      </c>
      <c r="F412" s="139" t="inlineStr">
        <is>
          <t>PSI Code 3.3.6</t>
        </is>
      </c>
      <c r="G412" s="227" t="inlineStr">
        <is>
          <t>Publishers restrict each instrument to users with particular qualifications, and label them by level in their catalogues. The level systems differ between publishers and between the UK/Ireland and US catalogues, so check each tool rather than assuming. PSI Code 3.3.6 is the clause mapped here. As a trainee you usually use restricted tools under supervision, and the qualification rests with your supervisor. If you cannot say which tools need which level, you cannot tell when you are working beyond what you are entitled to do.</t>
        </is>
      </c>
      <c r="H412" s="165" t="inlineStr">
        <is>
          <t>WATCH FOR — how your supervisor talks about restricted tools: which ones they say a trainee can give under supervision, and which they reserve.
WRITE DOWN — every tool in the service's cupboard, with the publisher and the qualification level printed in that publisher's catalogue.
ASK AFTERWARDS — 'which tools here would you never let a trainee give without you in the room, and is that the publisher's rule or yours?'</t>
        </is>
      </c>
      <c r="I412" s="165" t="inlineStr">
        <is>
          <t>YOU TAKE — building a table of tools, publisher levels, and your status for each (not trained, trained and supervised, cleared by placement).
THEY HOLD — confirming the table, and the service's own rules on top.
WHY THAT SPLIT — looking up levels is research you can do accurately yourself. Placement clearance is their decision under their qualification.</t>
        </is>
      </c>
      <c r="J412" s="165" t="inlineStr">
        <is>
          <t>YOU RUN IT — keep the table current and consult it before offering to use any tool.
WHAT THEY ARE WATCHING FOR — 'I've done a WISC before' used as if it answered the question for another test or another setting.
STEPPING IN LOOKS LIKE — 'what level is that one, and who holds it for your use here?'</t>
        </is>
      </c>
      <c r="K412" s="207" t="inlineStr">
        <is>
          <t>YOU DO IT ALONE — for any tool, state the publisher's level, who holds the qualification for your use, and what supervision is agreed.
PASS TEST — You can state it
EVIDENCE TO FILE — the tools table alongside the Placement Plan. Log against 6. Ethical Practice and 1. Assessment.
WHAT FAILURE LOOKS LIKE — administering a restricted instrument with no agreed supervision, so the scores may not be defensible and the service is exposed.</t>
        </is>
      </c>
      <c r="L412" s="165" t="inlineStr">
        <is>
          <t>YOU CAN TEACH IT — you can explain how publisher levels work, why they exist, and how trainee use sits under a qualified supervisor.
WHEN IT GOES WRONG — you can say what to do when you find you used a tool beyond your agreed level: tell your supervisor, and decide together whether the scores can be reported and how.</t>
        </is>
      </c>
      <c r="M412" s="224" t="inlineStr">
        <is>
          <t>Treating experience with one tool as clearance for a different tool.</t>
        </is>
      </c>
      <c r="N412" s="165" t="inlineStr">
        <is>
          <t>→ Feeds into 'Ask which tools you may administer independently here' and 'Say early what you are not yet competent to do'.</t>
        </is>
      </c>
      <c r="O412" s="225" t="inlineStr">
        <is>
          <t>Not started</t>
        </is>
      </c>
      <c r="P412" s="165" t="inlineStr">
        <is>
          <t>WATCH FOR — how your supervisor talks about restricted tools: which ones they say a trainee can give under supervision, and which they reserve.</t>
        </is>
      </c>
      <c r="Q412" s="139" t="inlineStr">
        <is>
          <t>Year 1</t>
        </is>
      </c>
      <c r="R412" s="226" t="inlineStr">
        <is>
          <t>26/10/2026</t>
        </is>
      </c>
      <c r="S412" s="226" t="inlineStr">
        <is>
          <t>16/11/2026</t>
        </is>
      </c>
      <c r="T412" s="226" t="inlineStr">
        <is>
          <t>14/12/2026</t>
        </is>
      </c>
      <c r="U412" s="139" t="inlineStr">
        <is>
          <t>Tools table with Placement Plan · Log sheet tagged 6. Ethical Practice and 1. Assessment</t>
        </is>
      </c>
    </row>
    <row r="413" outlineLevel="2" ht="43.5" customHeight="1" s="128">
      <c r="A413" s="220" t="inlineStr">
        <is>
          <t>BLOCK</t>
        </is>
      </c>
      <c r="B413" s="220" t="inlineStr">
        <is>
          <t>6. Ethical Practice</t>
        </is>
      </c>
      <c r="C413" s="220" t="inlineStr">
        <is>
          <t>State and hold the limits of your competence</t>
        </is>
      </c>
      <c r="D413" s="221" t="inlineStr">
        <is>
          <t>Block 2 · Saying it</t>
        </is>
      </c>
      <c r="E413" s="222" t="inlineStr">
        <is>
          <t>Naming a limit before being asked, without apologising for it.</t>
        </is>
      </c>
      <c r="F413" s="220" t="inlineStr">
        <is>
          <t>Habit · Weeks 1–2</t>
        </is>
      </c>
      <c r="G413" s="220" t="n"/>
      <c r="H413" s="220" t="n"/>
      <c r="I413" s="220" t="n"/>
      <c r="J413" s="220" t="n"/>
      <c r="K413" s="220" t="n"/>
      <c r="L413" s="220" t="n"/>
      <c r="M413" s="222" t="n"/>
      <c r="N413" s="220" t="n"/>
      <c r="O413" s="220" t="n"/>
      <c r="P413" s="220" t="inlineStr">
        <is>
          <t>How you build it: Say it once in your first supervision. It gets easier.</t>
        </is>
      </c>
      <c r="Q413" s="220" t="n"/>
      <c r="R413" s="220" t="n"/>
      <c r="S413" s="220" t="n"/>
      <c r="T413" s="220" t="n"/>
      <c r="U413" s="220" t="n"/>
    </row>
    <row r="414" outlineLevel="2" ht="120" customHeight="1" s="128">
      <c r="A414" s="139" t="inlineStr">
        <is>
          <t>MICRO-SKILL</t>
        </is>
      </c>
      <c r="B414" s="139" t="inlineStr">
        <is>
          <t>6. Ethical Practice</t>
        </is>
      </c>
      <c r="C414" s="139" t="inlineStr">
        <is>
          <t>State and hold the limits of your competence</t>
        </is>
      </c>
      <c r="D414" s="139" t="inlineStr">
        <is>
          <t>Block 2 · Saying it</t>
        </is>
      </c>
      <c r="E414" s="223" t="inlineStr">
        <is>
          <t>Say early what you are not yet competent to do</t>
        </is>
      </c>
      <c r="F414" s="139" t="inlineStr">
        <is>
          <t>CORU SoP 1.2 · PSI Code 2.2.2</t>
        </is>
      </c>
      <c r="G414" s="227" t="inlineStr">
        <is>
          <t>Supervisors allocate work based on what they think you can do. If you do not tell them where you are not yet competent, they will assume you can, and the gap shows up in front of a family or school. CORU SoP 1.2 and PSI Code 2.2.2 are the clauses mapped here. Saying it early, at allocation or in the Placement Plan, is professional. Saying it after the work has gone wrong is too late, and no one can fix the problem in time.</t>
        </is>
      </c>
      <c r="H414" s="165" t="inlineStr">
        <is>
          <t>WATCH FOR — how your supervisor talks about what they do not do: referrals they pass on, tools they have not used, areas they consult on.
WRITE DOWN — the words they use to say it, without apologising or over-explaining.
ASK AFTERWARDS — 'what do you wish trainees told you earlier?'</t>
        </is>
      </c>
      <c r="I414" s="165" t="inlineStr">
        <is>
          <t>YOU TAKE — writing your own list of areas where you are not yet competent: tools, age bands, presenting problems, types of meeting.
THEY HOLD — how the work is allocated around that list.
WHY THAT SPLIT — honest self-assessment is yours. Allocation is theirs, and they can only do it well with your list.</t>
        </is>
      </c>
      <c r="J414" s="165" t="inlineStr">
        <is>
          <t>YOU RUN IT — raise competence gaps at allocation, before accepting work, with your supervisor responding.
WHAT THEY ARE WATCHING FOR — accepting everything to look capable, and flagging gaps only once work is under way.
STEPPING IN LOOKS LIKE — 'is there anything in this case you haven't done before?'</t>
        </is>
      </c>
      <c r="K414" s="207" t="inlineStr">
        <is>
          <t>YOU DO IT ALONE — state competence gaps at allocation, without being asked, and propose how the gap will be covered (co-working, supervision, training).
PASS TEST — Before being asked
EVIDENCE TO FILE — supervision record and Placement Plan. Log against 6. Ethical Practice and 7. Supervision.
WHAT FAILURE LOOKS LIKE — you lead a feedback meeting on a presentation you have never worked with, and cannot answer the parent's questions.</t>
        </is>
      </c>
      <c r="L414" s="165" t="inlineStr">
        <is>
          <t>YOU CAN TEACH IT — you can explain why early disclosure of gaps is a professional strength, and how to phrase it with a plan attached.
WHEN IT GOES WRONG — you can say what to do when you find a gap mid-case: say so straight away, and agree with your supervisor how to cover it.</t>
        </is>
      </c>
      <c r="M414" s="224" t="inlineStr">
        <is>
          <t>Accepting work beyond your competence to avoid looking less capable.</t>
        </is>
      </c>
      <c r="N414" s="165" t="inlineStr">
        <is>
          <t>→ Feeds into 'Decline work that exceeds you' and into Supervision.</t>
        </is>
      </c>
      <c r="O414" s="225" t="inlineStr">
        <is>
          <t>Not started</t>
        </is>
      </c>
      <c r="P414" s="165" t="inlineStr">
        <is>
          <t>WATCH FOR — how your supervisor talks about what they do not do: referrals they pass on, tools they have not used, areas they consult on.</t>
        </is>
      </c>
      <c r="Q414" s="139" t="inlineStr">
        <is>
          <t>Year 1</t>
        </is>
      </c>
      <c r="R414" s="226" t="inlineStr">
        <is>
          <t>26/10/2026</t>
        </is>
      </c>
      <c r="S414" s="226" t="inlineStr">
        <is>
          <t>16/11/2026</t>
        </is>
      </c>
      <c r="T414" s="226" t="inlineStr">
        <is>
          <t>14/12/2026</t>
        </is>
      </c>
      <c r="U414" s="139" t="inlineStr">
        <is>
          <t>Supervision record · Placement Plan · Log sheet tagged 6. Ethical Practice and 7. Supervision</t>
        </is>
      </c>
    </row>
    <row r="415" outlineLevel="2" ht="120" customHeight="1" s="128">
      <c r="A415" s="139" t="inlineStr">
        <is>
          <t>MICRO-SKILL</t>
        </is>
      </c>
      <c r="B415" s="139" t="inlineStr">
        <is>
          <t>6. Ethical Practice</t>
        </is>
      </c>
      <c r="C415" s="139" t="inlineStr">
        <is>
          <t>State and hold the limits of your competence</t>
        </is>
      </c>
      <c r="D415" s="139" t="inlineStr">
        <is>
          <t>Block 2 · Saying it</t>
        </is>
      </c>
      <c r="E415" s="223" t="inlineStr">
        <is>
          <t>Decline work that exceeds you</t>
        </is>
      </c>
      <c r="F415" s="139" t="inlineStr">
        <is>
          <t>PSI Code 2.2.3</t>
        </is>
      </c>
      <c r="G415" s="227" t="inlineStr">
        <is>
          <t>Sometimes flagging a gap is not enough, and the right answer is no. A request might be far beyond your training — a complex risk assessment, a court report, a presentation you have no grounding in — or no adequate supervision may be available. PSI Code 2.2.3 is the clause mapped here. Declining protects the child from work that is not good enough. A trainee who says yes to everything is a risk to the people they work with.</t>
        </is>
      </c>
      <c r="H415" s="165" t="inlineStr">
        <is>
          <t>WATCH FOR — how your supervisor declines work: to a school, a colleague, a manager. Notice the words and whether they offer an alternative.
WRITE DOWN — a phrase you could use yourself.
ASK AFTERWARDS — 'when did you last say no to a piece of work, and how did it land?'</t>
        </is>
      </c>
      <c r="I415" s="165" t="inlineStr">
        <is>
          <t>YOU TAKE — identifying requests that exceed you, and saying so to your supervisor.
THEY HOLD — declining on your behalf to the school or service, while you are learning how.
WHY THAT SPLIT — recognising the limit is yours. Saying no to a principal on a live placement involves relationships your supervisor manages.</t>
        </is>
      </c>
      <c r="J415" s="165" t="inlineStr">
        <is>
          <t>YOU RUN IT — decline work yourself, to the person asking, with an alternative, and your supervisor informed.
WHAT THEY ARE WATCHING FOR — saying yes and then quietly struggling, or declining without offering any alternative.
STEPPING IN LOOKS LIKE — 'would it help to say you can do the observation but not the report?'</t>
        </is>
      </c>
      <c r="K415" s="207" t="inlineStr">
        <is>
          <t>YOU DO IT ALONE — decline work that exceeds you, clearly and courteously, with an alternative where possible, and record it.
PASS TEST — You declined
EVIDENCE TO FILE — case note or email, and supervision record. Log against 6. Ethical Practice.
WHAT FAILURE LOOKS LIKE — a report written beyond your competence, which then has to be withdrawn or corrected.</t>
        </is>
      </c>
      <c r="L415" s="165" t="inlineStr">
        <is>
          <t>YOU CAN TEACH IT — you can explain when declining is required rather than optional, and how to do it while keeping the relationship.
WHEN IT GOES WRONG — you can say what to do when you are pressured to accept: repeat the limit, explain the risk to the child, and escalate to your supervisor.</t>
        </is>
      </c>
      <c r="M415" s="224" t="inlineStr">
        <is>
          <t>Saying yes to work beyond you because the school needs it done.</t>
        </is>
      </c>
      <c r="N415" s="165" t="inlineStr">
        <is>
          <t>→ Feeds into 'Refer on and maintain responsibility until contact is made'.</t>
        </is>
      </c>
      <c r="O415" s="225" t="inlineStr">
        <is>
          <t>Not started</t>
        </is>
      </c>
      <c r="P415" s="165" t="inlineStr">
        <is>
          <t>WATCH FOR — how your supervisor declines work: to a school, a colleague, a manager. Notice the words and whether they offer an alternative.</t>
        </is>
      </c>
      <c r="Q415" s="139" t="inlineStr">
        <is>
          <t>Year 1</t>
        </is>
      </c>
      <c r="R415" s="226" t="inlineStr">
        <is>
          <t>26/10/2026</t>
        </is>
      </c>
      <c r="S415" s="226" t="inlineStr">
        <is>
          <t>16/11/2026</t>
        </is>
      </c>
      <c r="T415" s="226" t="inlineStr">
        <is>
          <t>14/12/2026</t>
        </is>
      </c>
      <c r="U415" s="139" t="inlineStr">
        <is>
          <t>Case note or email · supervision record · Log sheet tagged 6. Ethical Practice</t>
        </is>
      </c>
    </row>
    <row r="416" outlineLevel="2" ht="43.5" customHeight="1" s="128">
      <c r="A416" s="220" t="inlineStr">
        <is>
          <t>BLOCK</t>
        </is>
      </c>
      <c r="B416" s="220" t="inlineStr">
        <is>
          <t>6. Ethical Practice</t>
        </is>
      </c>
      <c r="C416" s="220" t="inlineStr">
        <is>
          <t>State and hold the limits of your competence</t>
        </is>
      </c>
      <c r="D416" s="221" t="inlineStr">
        <is>
          <t>Block 3 · Referring properly</t>
        </is>
      </c>
      <c r="E416" s="222" t="inlineStr">
        <is>
          <t>Handing on without dropping the case.</t>
        </is>
      </c>
      <c r="F416" s="220" t="inlineStr">
        <is>
          <t>Habit · Weeks 7–12</t>
        </is>
      </c>
      <c r="G416" s="220" t="n"/>
      <c r="H416" s="220" t="n"/>
      <c r="I416" s="220" t="n"/>
      <c r="J416" s="220" t="n"/>
      <c r="K416" s="220" t="n"/>
      <c r="L416" s="220" t="n"/>
      <c r="M416" s="222" t="n"/>
      <c r="N416" s="220" t="n"/>
      <c r="O416" s="220" t="n"/>
      <c r="P416" s="220" t="inlineStr">
        <is>
          <t>How you build it: Maintain contact until the referral is picked up. PSI 3.4.3 requires it.</t>
        </is>
      </c>
      <c r="Q416" s="220" t="n"/>
      <c r="R416" s="220" t="n"/>
      <c r="S416" s="220" t="n"/>
      <c r="T416" s="220" t="n"/>
      <c r="U416" s="220" t="n"/>
    </row>
    <row r="417" outlineLevel="2" ht="120" customHeight="1" s="128">
      <c r="A417" s="139" t="inlineStr">
        <is>
          <t>MICRO-SKILL</t>
        </is>
      </c>
      <c r="B417" s="139" t="inlineStr">
        <is>
          <t>6. Ethical Practice</t>
        </is>
      </c>
      <c r="C417" s="139" t="inlineStr">
        <is>
          <t>State and hold the limits of your competence</t>
        </is>
      </c>
      <c r="D417" s="139" t="inlineStr">
        <is>
          <t>Block 3 · Referring properly</t>
        </is>
      </c>
      <c r="E417" s="223" t="inlineStr">
        <is>
          <t>Refer on and maintain responsibility until contact is made</t>
        </is>
      </c>
      <c r="F417" s="139" t="inlineStr">
        <is>
          <t>PSI Code 3.4.3</t>
        </is>
      </c>
      <c r="G417" s="227" t="inlineStr">
        <is>
          <t>Referral is a handover, not an exit. Until the receiving service has made contact, the child is still yours to hold in mind. Referrals get lost, rejected, or sit on waiting lists while risk changes. PSI Code 3.4.3 is the clause mapped here. A trainee who closes the file the day the referral letter goes has left the child in a gap between services. That gap is exactly where harm can go unnoticed.</t>
        </is>
      </c>
      <c r="H417" s="165" t="inlineStr">
        <is>
          <t>WATCH FOR — what your supervisor does after sending a referral: whether they diarise a follow-up, and what they tell the family and school in the meantime.
WRITE DOWN — the steps from referral sent to referral accepted and contact made.
ASK AFTERWARDS — 'have you had a referral go missing? How did you find out?'</t>
        </is>
      </c>
      <c r="I417" s="165" t="inlineStr">
        <is>
          <t>YOU TAKE — writing the referral, confirming it was received, and diarising a follow-up date to check contact has been made.
THEY HOLD — the decision to refer and when to close.
WHY THAT SPLIT — writing the referral and tracking it are practical. Closing the case carries responsibility for what happens after.</t>
        </is>
      </c>
      <c r="J417" s="165" t="inlineStr">
        <is>
          <t>YOU RUN IT — make the referral, follow it up, and keep the family informed, with your supervisor overseeing.
WHAT THEY ARE WATCHING FOR — closing the file when the letter goes, and no follow-up date.
STEPPING IN LOOKS LIKE — 'has CAMHS acknowledged it yet? When will you check?'</t>
        </is>
      </c>
      <c r="K417" s="207" t="inlineStr">
        <is>
          <t>YOU DO IT ALONE — refer, confirm receipt, follow up until the receiving service has made contact, and only then hand over.
PASS TEST — You did not drop it at referral
EVIDENCE TO FILE — the referral, acknowledgement and follow-up notes. Log against 6. Ethical Practice and 5. Working with Others.
WHAT FAILURE LOOKS LIKE — a family who waited months for a service that never received the referral.</t>
        </is>
      </c>
      <c r="L417" s="165" t="inlineStr">
        <is>
          <t>YOU CAN TEACH IT — you can explain why responsibility continues after referral and show a simple tracking method.
WHEN IT GOES WRONG — you can say what to do when a referral is lost or rejected: tell the family, re-refer or find another route, and record the gap.</t>
        </is>
      </c>
      <c r="M417" s="224" t="inlineStr">
        <is>
          <t>Closing the case the day the referral letter is posted.</t>
        </is>
      </c>
      <c r="N417" s="165" t="inlineStr">
        <is>
          <t>→ Feeds into 'Learn the referral and risk pathways' and into Working with Others.</t>
        </is>
      </c>
      <c r="O417" s="225" t="inlineStr">
        <is>
          <t>Not started</t>
        </is>
      </c>
      <c r="P417" s="165" t="inlineStr">
        <is>
          <t>WATCH FOR — what your supervisor does after sending a referral: whether they diarise a follow-up, and what they tell the family and school in the meantime.</t>
        </is>
      </c>
      <c r="Q417" s="139" t="inlineStr">
        <is>
          <t>Year 1</t>
        </is>
      </c>
      <c r="R417" s="226" t="inlineStr">
        <is>
          <t>26/10/2026</t>
        </is>
      </c>
      <c r="S417" s="226" t="inlineStr">
        <is>
          <t>16/11/2026</t>
        </is>
      </c>
      <c r="T417" s="226" t="inlineStr">
        <is>
          <t>14/12/2026</t>
        </is>
      </c>
      <c r="U417" s="139" t="inlineStr">
        <is>
          <t>Referral · acknowledgement · follow-up notes · Log sheet tagged 6. Ethical Practice and 5. Working with Others</t>
        </is>
      </c>
    </row>
    <row r="418" outlineLevel="2" ht="120" customHeight="1" s="128">
      <c r="A418" s="139" t="inlineStr">
        <is>
          <t>MICRO-SKILL</t>
        </is>
      </c>
      <c r="B418" s="139" t="inlineStr">
        <is>
          <t>6. Ethical Practice</t>
        </is>
      </c>
      <c r="C418" s="139" t="inlineStr">
        <is>
          <t>State and hold the limits of your competence</t>
        </is>
      </c>
      <c r="D418" s="139" t="inlineStr">
        <is>
          <t>Block 3 · Referring properly</t>
        </is>
      </c>
      <c r="E418" s="223" t="inlineStr">
        <is>
          <t>Include a limitations paragraph in every report</t>
        </is>
      </c>
      <c r="F418" s="139" t="inlineStr">
        <is>
          <t>CORU SoP 1.2</t>
        </is>
      </c>
      <c r="G418" s="227" t="inlineStr">
        <is>
          <t>A limitations paragraph is where you state the limits of your own competence and your evidence in writing. CORU SoP 1.2 is the standard mapped here. It sits in Ethical Practice as well as Assessment because it is the public form of knowing your limits. Every report has some. A report that states none is either unusually complete or not being honest, and readers cannot tell which. This micro-skill is about consistency — every report, not only the difficult ones.</t>
        </is>
      </c>
      <c r="H418" s="165" t="inlineStr">
        <is>
          <t>WATCH FOR — whether every report your supervisor writes has a limitations paragraph, including the straightforward ones.
WRITE DOWN — the limitations stated in three of their reports, and how each is specific to that case.
ASK AFTERWARDS — 'do you ever write a report without one?'</t>
        </is>
      </c>
      <c r="I418" s="165" t="inlineStr">
        <is>
          <t>YOU TAKE — drafting the limitations paragraph for every report you contribute to.
THEY HOLD — the final wording.
WHY THAT SPLIT — making it a habit on every draft is what builds consistency. Wording that the family will read is still theirs to approve.</t>
        </is>
      </c>
      <c r="J418" s="165" t="inlineStr">
        <is>
          <t>YOU RUN IT — write limitations for each of your own reports, and have your supervisor check them for specificity.
WHAT THEY ARE WATCHING FOR — the same paragraph pasted into every report.
STEPPING IN LOOKS LIKE — 'this is the same wording as your last report. What's specific to this child?'</t>
        </is>
      </c>
      <c r="K418" s="207" t="inlineStr">
        <is>
          <t>YOU DO IT ALONE — every report has a specific limitations paragraph, including your own competence limits where relevant.
PASS TEST — Every one
EVIDENCE TO FILE — the reports. Keep a tally in your Log. Log against 6. Ethical Practice and 1. Assessment.
WHAT FAILURE LOOKS LIKE — one report in five without a limitations paragraph, and that is the one that gets challenged.</t>
        </is>
      </c>
      <c r="L418" s="165" t="inlineStr">
        <is>
          <t>YOU CAN TEACH IT — you can explain why a limitations paragraph is an ethical requirement, not just an assessment convention, and show what makes one specific.
WHEN IT GOES WRONG — you can say what to do when a report went out without one: issue an addendum if the missing limits matter to the conclusions.</t>
        </is>
      </c>
      <c r="M418" s="224" t="inlineStr">
        <is>
          <t>Pasting the same generic limitations paragraph into every report.</t>
        </is>
      </c>
      <c r="N418" s="165" t="inlineStr">
        <is>
          <t>→ Feeds into 'State what you did not assess and what that limits' and into report quality throughout.</t>
        </is>
      </c>
      <c r="O418" s="225" t="inlineStr">
        <is>
          <t>Not started</t>
        </is>
      </c>
      <c r="P418" s="165" t="inlineStr">
        <is>
          <t>WATCH FOR — whether every report your supervisor writes has a limitations paragraph, including the straightforward ones.</t>
        </is>
      </c>
      <c r="Q418" s="139" t="inlineStr">
        <is>
          <t>Year 1</t>
        </is>
      </c>
      <c r="R418" s="226" t="inlineStr">
        <is>
          <t>26/10/2026</t>
        </is>
      </c>
      <c r="S418" s="226" t="inlineStr">
        <is>
          <t>16/11/2026</t>
        </is>
      </c>
      <c r="T418" s="226" t="inlineStr">
        <is>
          <t>14/12/2026</t>
        </is>
      </c>
      <c r="U418" s="139" t="inlineStr">
        <is>
          <t>Reports · Log tally · Log sheet tagged 6. Ethical Practice and 1. Assessment</t>
        </is>
      </c>
    </row>
    <row r="419" outlineLevel="2" ht="19.5" customHeight="1" s="128">
      <c r="A419" s="219" t="inlineStr">
        <is>
          <t>MACRO SKILL</t>
        </is>
      </c>
      <c r="B419" s="219" t="inlineStr">
        <is>
          <t>6. Ethical Practice</t>
        </is>
      </c>
      <c r="C419" s="219" t="inlineStr">
        <is>
          <t>Manage workload and your own wellbeing</t>
        </is>
      </c>
      <c r="D419" s="219" t="n"/>
      <c r="E419" s="219" t="inlineStr">
        <is>
          <t>4 blocks · 6 micro-skills</t>
        </is>
      </c>
      <c r="F419" s="219" t="inlineStr">
        <is>
          <t>CORU 1.18 · 1.20 · 5.45 · PSI 4.1</t>
        </is>
      </c>
      <c r="G419" s="219" t="n"/>
      <c r="H419" s="219" t="n"/>
      <c r="I419" s="219" t="n"/>
      <c r="J419" s="219" t="n"/>
      <c r="K419" s="219" t="n"/>
      <c r="L419" s="219" t="n"/>
      <c r="M419" s="219" t="n"/>
      <c r="N419" s="219" t="n"/>
      <c r="O419" s="219" t="n"/>
      <c r="P419" s="219" t="n"/>
      <c r="Q419" s="219" t="inlineStr">
        <is>
          <t>Year 1</t>
        </is>
      </c>
      <c r="R419" s="219" t="n"/>
      <c r="S419" s="219" t="n"/>
      <c r="T419" s="219" t="n"/>
      <c r="U419" s="219" t="n"/>
    </row>
    <row r="420" outlineLevel="2" ht="43.5" customHeight="1" s="128">
      <c r="A420" s="220" t="inlineStr">
        <is>
          <t>BLOCK</t>
        </is>
      </c>
      <c r="B420" s="220" t="inlineStr">
        <is>
          <t>6. Ethical Practice</t>
        </is>
      </c>
      <c r="C420" s="220" t="inlineStr">
        <is>
          <t>Manage workload and your own wellbeing</t>
        </is>
      </c>
      <c r="D420" s="221" t="inlineStr">
        <is>
          <t>Block 1 · Knowing your numbers</t>
        </is>
      </c>
      <c r="E420" s="222" t="inlineStr">
        <is>
          <t>Actual caseload, actual travel, actual hours.</t>
        </is>
      </c>
      <c r="F420" s="220" t="inlineStr">
        <is>
          <t>2 hours · Weeks 3–6</t>
        </is>
      </c>
      <c r="G420" s="220" t="n"/>
      <c r="H420" s="220" t="n"/>
      <c r="I420" s="220" t="n"/>
      <c r="J420" s="220" t="n"/>
      <c r="K420" s="220" t="n"/>
      <c r="L420" s="220" t="n"/>
      <c r="M420" s="222" t="n"/>
      <c r="N420" s="220" t="n"/>
      <c r="O420" s="220" t="n"/>
      <c r="P420" s="220" t="inlineStr">
        <is>
          <t>How you build it: Track it for two weeks. The number is usually different from the impression.</t>
        </is>
      </c>
      <c r="Q420" s="220" t="n"/>
      <c r="R420" s="220" t="n"/>
      <c r="S420" s="220" t="n"/>
      <c r="T420" s="220" t="n"/>
      <c r="U420" s="220" t="n"/>
    </row>
    <row r="421" outlineLevel="2" ht="120" customHeight="1" s="128">
      <c r="A421" s="139" t="inlineStr">
        <is>
          <t>MICRO-SKILL</t>
        </is>
      </c>
      <c r="B421" s="139" t="inlineStr">
        <is>
          <t>6. Ethical Practice</t>
        </is>
      </c>
      <c r="C421" s="139" t="inlineStr">
        <is>
          <t>Manage workload and your own wellbeing</t>
        </is>
      </c>
      <c r="D421" s="139" t="inlineStr">
        <is>
          <t>Block 1 · Knowing your numbers</t>
        </is>
      </c>
      <c r="E421" s="223" t="inlineStr">
        <is>
          <t>Track your actual caseload and travel load</t>
        </is>
      </c>
      <c r="F421" s="139" t="inlineStr">
        <is>
          <t>CORU SoP 1.18</t>
        </is>
      </c>
      <c r="G421" s="227" t="inlineStr">
        <is>
          <t>Educational psychology in rural Ireland involves long drives between schools. A caseload that looks manageable on paper can be unmanageable once travel, report-writing and meetings are counted. CORU SoP 1.18 is the standard mapped here. Without the numbers you cannot raise workload credibly — 'I'm overwhelmed' is easier to dismiss than 'I have twelve open cases, eleven hours' driving a week, and six reports due'. The Cavan placement (05/10/2026–18/12/2026, four days a week) is where to start counting.</t>
        </is>
      </c>
      <c r="H421" s="165" t="inlineStr">
        <is>
          <t>WATCH FOR — how your supervisor tracks their own workload: a spreadsheet, a diary, a whiteboard. Notice whether they count travel and writing time.
WRITE DOWN — the categories they track.
ASK AFTERWARDS — 'what's a realistic caseload for a trainee here, and how would you know I was over it?'</t>
        </is>
      </c>
      <c r="I421" s="165" t="inlineStr">
        <is>
          <t>YOU TAKE — keeping a weekly record: open cases, sessions, meetings, reports due, travel hours, and hours worked.
THEY HOLD — deciding what is a reasonable load.
WHY THAT SPLIT — keeping the numbers is yours. Judging what is reasonable needs knowledge of the service and of trainee norms.</t>
        </is>
      </c>
      <c r="J421" s="165" t="inlineStr">
        <is>
          <t>YOU RUN IT — bring your numbers to supervision each week, with a one-line summary of how the load is.
WHAT THEY ARE WATCHING FOR — numbers kept but not looked at, and travel and writing time left out.
STEPPING IN LOOKS LIKE — 'you've got four reports due next week and two days in schools. When are you writing?'</t>
        </is>
      </c>
      <c r="K421" s="207" t="inlineStr">
        <is>
          <t>YOU DO IT ALONE — keep a weekly workload record that includes travel and writing, and know your numbers without looking.
PASS TEST — You know the numbers
EVIDENCE TO FILE — the weekly record, which can sit in the Log. Log against 6. Ethical Practice.
WHAT FAILURE LOOKS LIKE — you realise in week nine that four reports are overdue and you did not see it coming.</t>
        </is>
      </c>
      <c r="L421" s="165" t="inlineStr">
        <is>
          <t>YOU CAN TEACH IT — you can show a peer a simple workload tracker and explain why travel and writing time are where caseloads hide.
WHEN IT GOES WRONG — you can say what to do when the numbers show you are over capacity: take them to supervision and ask for re-prioritisation, not more effort.</t>
        </is>
      </c>
      <c r="M421" s="224" t="inlineStr">
        <is>
          <t>Counting cases but not travel or report-writing time.</t>
        </is>
      </c>
      <c r="N421" s="165" t="inlineStr">
        <is>
          <t>→ Feeds into 'Raise workload before it becomes a problem'.</t>
        </is>
      </c>
      <c r="O421" s="225" t="inlineStr">
        <is>
          <t>Not started</t>
        </is>
      </c>
      <c r="P421" s="165" t="inlineStr">
        <is>
          <t>WATCH FOR — how your supervisor tracks their own workload: a spreadsheet, a diary, a whiteboard. Notice whether they count travel and writing time.</t>
        </is>
      </c>
      <c r="Q421" s="139" t="inlineStr">
        <is>
          <t>Year 1</t>
        </is>
      </c>
      <c r="R421" s="226" t="inlineStr">
        <is>
          <t>26/10/2026</t>
        </is>
      </c>
      <c r="S421" s="226" t="inlineStr">
        <is>
          <t>16/11/2026</t>
        </is>
      </c>
      <c r="T421" s="226" t="inlineStr">
        <is>
          <t>14/12/2026</t>
        </is>
      </c>
      <c r="U421" s="139" t="inlineStr">
        <is>
          <t>Weekly workload record · Log sheet tagged 6. Ethical Practice</t>
        </is>
      </c>
    </row>
    <row r="422" outlineLevel="2" ht="43.5" customHeight="1" s="128">
      <c r="A422" s="220" t="inlineStr">
        <is>
          <t>BLOCK</t>
        </is>
      </c>
      <c r="B422" s="220" t="inlineStr">
        <is>
          <t>6. Ethical Practice</t>
        </is>
      </c>
      <c r="C422" s="220" t="inlineStr">
        <is>
          <t>Manage workload and your own wellbeing</t>
        </is>
      </c>
      <c r="D422" s="221" t="inlineStr">
        <is>
          <t>Block 2 · Knowing your signals</t>
        </is>
      </c>
      <c r="E422" s="222" t="inlineStr">
        <is>
          <t>What your own early warning signs are.</t>
        </is>
      </c>
      <c r="F422" s="220" t="inlineStr">
        <is>
          <t>2 hours, once · Weeks 1–2</t>
        </is>
      </c>
      <c r="G422" s="220" t="n"/>
      <c r="H422" s="220" t="n"/>
      <c r="I422" s="220" t="n"/>
      <c r="J422" s="220" t="n"/>
      <c r="K422" s="220" t="n"/>
      <c r="L422" s="220" t="n"/>
      <c r="M422" s="222" t="n"/>
      <c r="N422" s="220" t="n"/>
      <c r="O422" s="220" t="n"/>
      <c r="P422" s="220" t="inlineStr">
        <is>
          <t>How you build it: Write down what you were like the last time you were depleted. Three specific things.</t>
        </is>
      </c>
      <c r="Q422" s="220" t="n"/>
      <c r="R422" s="220" t="n"/>
      <c r="S422" s="220" t="n"/>
      <c r="T422" s="220" t="n"/>
      <c r="U422" s="220" t="n"/>
    </row>
    <row r="423" outlineLevel="2" ht="120" customHeight="1" s="128">
      <c r="A423" s="139" t="inlineStr">
        <is>
          <t>MICRO-SKILL</t>
        </is>
      </c>
      <c r="B423" s="139" t="inlineStr">
        <is>
          <t>6. Ethical Practice</t>
        </is>
      </c>
      <c r="C423" s="139" t="inlineStr">
        <is>
          <t>Manage workload and your own wellbeing</t>
        </is>
      </c>
      <c r="D423" s="139" t="inlineStr">
        <is>
          <t>Block 2 · Knowing your signals</t>
        </is>
      </c>
      <c r="E423" s="223" t="inlineStr">
        <is>
          <t>Recognise your own warning signs</t>
        </is>
      </c>
      <c r="F423" s="139" t="inlineStr">
        <is>
          <t>CORU SoP 5.45</t>
        </is>
      </c>
      <c r="G423" s="227" t="inlineStr">
        <is>
          <t>Burnout is described as emotional exhaustion, depersonalisation and reduced personal accomplishment (Maslach &amp; Jackson, Journal of Occupational Behaviour, 1981). It builds slowly, and the person inside it is often the last to see it. Everyone's early signs are different: sleep, irritability, dread before work, cynicism about families, cutting corners on records. CORU SoP 5.45 is the standard mapped here. Knowing your own signs is what lets you act before your judgement is affected.</t>
        </is>
      </c>
      <c r="H423" s="165" t="inlineStr">
        <is>
          <t>WATCH FOR — how your supervisor talks about their own stress, if they do, and what they do to manage it.
WRITE DOWN — for yourself, privately, what you notice in yourself when stretched: body, mood, thinking, behaviour.
ASK AFTERWARDS — 'what are your early signs, and what do you do when you notice them?'</t>
        </is>
      </c>
      <c r="I423" s="165" t="inlineStr">
        <is>
          <t>YOU TAKE — naming your warning signs, privately, and deciding which you will share in supervision.
THEY HOLD — noticing if they see signs you have not mentioned.
WHY THAT SPLIT — your signs are yours to know. A supervisor is a second pair of eyes, not a monitor.</t>
        </is>
      </c>
      <c r="J423" s="165" t="inlineStr">
        <is>
          <t>YOU RUN IT — check your signs weekly, and raise it in supervision when they appear.
WHAT THEY ARE WATCHING FOR — a trainee who says they are fine while their records slip and their language about families turns cynical.
STEPPING IN LOOKS LIKE — 'you seem stretched. How are you actually doing?'</t>
        </is>
      </c>
      <c r="K423" s="207" t="inlineStr">
        <is>
          <t>YOU DO IT ALONE — name your warning signs, check them regularly, and act on them.
PASS TEST — You can name them
EVIDENCE TO FILE — nothing personal needs filing. A supervision note that wellbeing was discussed is enough. Log against 6. Ethical Practice.
WHAT FAILURE LOOKS LIKE — you notice at the end of placement that you were running on empty for weeks, and your later reports show it.</t>
        </is>
      </c>
      <c r="L423" s="165" t="inlineStr">
        <is>
          <t>YOU CAN TEACH IT — you can explain burnout and its early signs, citing sources, and help a peer identify their own.
WHEN IT GOES WRONG — you can say what to do when the signs are there and not easing: tell your supervisor, use the employee assistance or university counselling service, and see your GP.</t>
        </is>
      </c>
      <c r="M423" s="224" t="inlineStr">
        <is>
          <t>Noticing your signs and deciding to push through until the placement ends.</t>
        </is>
      </c>
      <c r="N423" s="165" t="inlineStr">
        <is>
          <t>→ Feeds into 'Seek supervision when stressed, not only when stuck' and 'Refrain from practice where judgement is seriously impaired'.</t>
        </is>
      </c>
      <c r="O423" s="225" t="inlineStr">
        <is>
          <t>Not started</t>
        </is>
      </c>
      <c r="P423" s="165" t="inlineStr">
        <is>
          <t>WATCH FOR — how your supervisor talks about their own stress, if they do, and what they do to manage it.</t>
        </is>
      </c>
      <c r="Q423" s="139" t="inlineStr">
        <is>
          <t>Year 1</t>
        </is>
      </c>
      <c r="R423" s="226" t="inlineStr">
        <is>
          <t>26/10/2026</t>
        </is>
      </c>
      <c r="S423" s="226" t="inlineStr">
        <is>
          <t>16/11/2026</t>
        </is>
      </c>
      <c r="T423" s="226" t="inlineStr">
        <is>
          <t>14/12/2026</t>
        </is>
      </c>
      <c r="U423" s="139" t="inlineStr">
        <is>
          <t>Supervision record · Log sheet tagged 6. Ethical Practice</t>
        </is>
      </c>
    </row>
    <row r="424" outlineLevel="2" ht="43.5" customHeight="1" s="128">
      <c r="A424" s="220" t="inlineStr">
        <is>
          <t>BLOCK</t>
        </is>
      </c>
      <c r="B424" s="220" t="inlineStr">
        <is>
          <t>6. Ethical Practice</t>
        </is>
      </c>
      <c r="C424" s="220" t="inlineStr">
        <is>
          <t>Manage workload and your own wellbeing</t>
        </is>
      </c>
      <c r="D424" s="221" t="inlineStr">
        <is>
          <t>Block 3 · Acting on it</t>
        </is>
      </c>
      <c r="E424" s="222" t="inlineStr">
        <is>
          <t>Raising workload early and seeking supervision when stressed.</t>
        </is>
      </c>
      <c r="F424" s="220" t="inlineStr">
        <is>
          <t>Habit · Weeks 3–6</t>
        </is>
      </c>
      <c r="G424" s="220" t="n"/>
      <c r="H424" s="220" t="n"/>
      <c r="I424" s="220" t="n"/>
      <c r="J424" s="220" t="n"/>
      <c r="K424" s="220" t="n"/>
      <c r="L424" s="220" t="n"/>
      <c r="M424" s="222" t="n"/>
      <c r="N424" s="220" t="n"/>
      <c r="O424" s="220" t="n"/>
      <c r="P424" s="220" t="inlineStr">
        <is>
          <t>How you build it: Put one line about your own state on every supervision agenda for a month.</t>
        </is>
      </c>
      <c r="Q424" s="220" t="n"/>
      <c r="R424" s="220" t="n"/>
      <c r="S424" s="220" t="n"/>
      <c r="T424" s="220" t="n"/>
      <c r="U424" s="220" t="n"/>
    </row>
    <row r="425" outlineLevel="2" ht="120" customHeight="1" s="128">
      <c r="A425" s="139" t="inlineStr">
        <is>
          <t>MICRO-SKILL</t>
        </is>
      </c>
      <c r="B425" s="139" t="inlineStr">
        <is>
          <t>6. Ethical Practice</t>
        </is>
      </c>
      <c r="C425" s="139" t="inlineStr">
        <is>
          <t>Manage workload and your own wellbeing</t>
        </is>
      </c>
      <c r="D425" s="139" t="inlineStr">
        <is>
          <t>Block 3 · Acting on it</t>
        </is>
      </c>
      <c r="E425" s="223" t="inlineStr">
        <is>
          <t>Raise workload before it becomes a problem</t>
        </is>
      </c>
      <c r="F425" s="139" t="inlineStr">
        <is>
          <t>CORU SoP 1.18</t>
        </is>
      </c>
      <c r="G425" s="227" t="inlineStr">
        <is>
          <t>Workload raised early can be solved by re-prioritising, deferring or re-allocating. Workload raised after deadlines are missed becomes a performance conversation, and families and schools have already been let down. CORU SoP 1.18 is the standard mapped here. Trainees often hold back because they fear looking less capable than their peers. Supervisors consistently prefer to hear early.</t>
        </is>
      </c>
      <c r="H425" s="165" t="inlineStr">
        <is>
          <t>WATCH FOR — how your supervisor raises workload with their own manager: what they bring and what they ask for.
WRITE DOWN — the structure: the numbers, the pinch point, the specific ask.
ASK AFTERWARDS — 'what's the earliest point you'd want me to tell you I was stretched?'</t>
        </is>
      </c>
      <c r="I425" s="165" t="inlineStr">
        <is>
          <t>YOU TAKE — spotting the pinch point in your workload record and naming it.
THEY HOLD — the decision about what to defer or re-allocate.
WHY THAT SPLIT — spotting the problem is yours. Re-prioritising involves other people's work and service commitments.</t>
        </is>
      </c>
      <c r="J425" s="165" t="inlineStr">
        <is>
          <t>YOU RUN IT — raise a workload issue before a deadline is at risk, with the numbers and a proposal.
WHAT THEY ARE WATCHING FOR — waiting until you are already behind, and raising it as a general complaint with no proposal.
STEPPING IN LOOKS LIKE — 'what would you take off your list if you could?'</t>
        </is>
      </c>
      <c r="K425" s="207" t="inlineStr">
        <is>
          <t>YOU DO IT ALONE — raise workload as soon as your numbers show a pinch point ahead, with a specific proposal.
PASS TEST — Before, not after
EVIDENCE TO FILE — supervision record. Log against 6. Ethical Practice and 7. Supervision.
WHAT FAILURE LOOKS LIKE — you raise it the day after a report deadline was missed.</t>
        </is>
      </c>
      <c r="L425" s="165" t="inlineStr">
        <is>
          <t>YOU CAN TEACH IT — you can explain why early is better, and how to raise workload with numbers and a proposal.
WHEN IT GOES WRONG — you can say what to do when raising it did not change anything: raise it again, in writing, and involve the university placement tutor if needed.</t>
        </is>
      </c>
      <c r="M425" s="224" t="inlineStr">
        <is>
          <t>Raising workload only after a deadline has been missed.</t>
        </is>
      </c>
      <c r="N425" s="165" t="inlineStr">
        <is>
          <t>→ Feeds into 'Seek supervision when stressed, not only when stuck' and into Supervision.</t>
        </is>
      </c>
      <c r="O425" s="225" t="inlineStr">
        <is>
          <t>Not started</t>
        </is>
      </c>
      <c r="P425" s="165" t="inlineStr">
        <is>
          <t>WATCH FOR — how your supervisor raises workload with their own manager: what they bring and what they ask for.</t>
        </is>
      </c>
      <c r="Q425" s="139" t="inlineStr">
        <is>
          <t>Year 1</t>
        </is>
      </c>
      <c r="R425" s="226" t="inlineStr">
        <is>
          <t>26/10/2026</t>
        </is>
      </c>
      <c r="S425" s="226" t="inlineStr">
        <is>
          <t>16/11/2026</t>
        </is>
      </c>
      <c r="T425" s="226" t="inlineStr">
        <is>
          <t>14/12/2026</t>
        </is>
      </c>
      <c r="U425" s="139" t="inlineStr">
        <is>
          <t>Supervision record · Log sheet tagged 6. Ethical Practice and 7. Supervision</t>
        </is>
      </c>
    </row>
    <row r="426" outlineLevel="2" ht="120" customHeight="1" s="128">
      <c r="A426" s="139" t="inlineStr">
        <is>
          <t>MICRO-SKILL</t>
        </is>
      </c>
      <c r="B426" s="139" t="inlineStr">
        <is>
          <t>6. Ethical Practice</t>
        </is>
      </c>
      <c r="C426" s="139" t="inlineStr">
        <is>
          <t>Manage workload and your own wellbeing</t>
        </is>
      </c>
      <c r="D426" s="139" t="inlineStr">
        <is>
          <t>Block 3 · Acting on it</t>
        </is>
      </c>
      <c r="E426" s="223" t="inlineStr">
        <is>
          <t>Seek supervision when stressed, not only when stuck</t>
        </is>
      </c>
      <c r="F426" s="139" t="inlineStr">
        <is>
          <t>PSI Code 4.1.2</t>
        </is>
      </c>
      <c r="G426" s="227" t="inlineStr">
        <is>
          <t>Supervision is not only for case problems. PSI Code 4.1.2 is the clause mapped here, and the pass test records that seeking support is required, not merely permitted. Stress affects judgement, record-keeping and how you relate to families, so it is a practice issue, not only a personal one. Trainees often bring cases to supervision and keep stress to themselves. That leaves the supervisor managing risks they cannot see.</t>
        </is>
      </c>
      <c r="H426" s="165" t="inlineStr">
        <is>
          <t>WATCH FOR — whether your supervisor's supervision sessions have space for wellbeing, and how it is raised.
WRITE DOWN — how the agenda is set, and whether wellbeing is a standing item.
ASK AFTERWARDS — 'how do you use your own supervision when you're stressed?'</t>
        </is>
      </c>
      <c r="I426" s="165" t="inlineStr">
        <is>
          <t>YOU TAKE — adding wellbeing to your supervision agenda as a standing item, and saying one honest sentence under it each week, even when it is 'steady'.
THEY HOLD — creating space for it, and responding.
WHY THAT SPLIT — raising it is yours; the supervisor cannot respond to what they do not know, and a standing item makes it ordinary rather than an alarm.</t>
        </is>
      </c>
      <c r="J426" s="165" t="inlineStr">
        <is>
          <t>YOU RUN IT — raise stress in supervision when it is there, and link it to its effect on your practice.
WHAT THEY ARE WATCHING FOR — 'fine' every week, and stress raised only as an excuse after something has gone wrong.
STEPPING IN LOOKS LIKE — 'you said fine. On a scale of one to ten?'</t>
        </is>
      </c>
      <c r="K426" s="207" t="inlineStr">
        <is>
          <t>YOU DO IT ALONE — bring stress to supervision when it is present, not only case problems.
PASS TEST — It is required, not permitted
EVIDENCE TO FILE — supervision record noting wellbeing discussed. Log against 6. Ethical Practice and 7. Supervision.
WHAT FAILURE LOOKS LIKE — your supervisor learns you were struggling from your placement evaluation, not from you.</t>
        </is>
      </c>
      <c r="L426" s="165" t="inlineStr">
        <is>
          <t>YOU CAN TEACH IT — you can explain why stress is a practice issue and how to raise it in supervision without it becoming therapy.
WHEN IT GOES WRONG — you can say what to do when supervision is not a safe place to raise it: use the university placement tutor or another route.</t>
        </is>
      </c>
      <c r="M426" s="224" t="inlineStr">
        <is>
          <t>Bringing only case problems to supervision and keeping stress to yourself.</t>
        </is>
      </c>
      <c r="N426" s="165" t="inlineStr">
        <is>
          <t>→ Feeds into 'Refrain from practice where judgement is seriously impaired' and into Supervision.</t>
        </is>
      </c>
      <c r="O426" s="225" t="inlineStr">
        <is>
          <t>Not started</t>
        </is>
      </c>
      <c r="P426" s="165" t="inlineStr">
        <is>
          <t>WATCH FOR — whether your supervisor's supervision sessions have space for wellbeing, and how it is raised.</t>
        </is>
      </c>
      <c r="Q426" s="139" t="inlineStr">
        <is>
          <t>Year 1</t>
        </is>
      </c>
      <c r="R426" s="226" t="inlineStr">
        <is>
          <t>26/10/2026</t>
        </is>
      </c>
      <c r="S426" s="226" t="inlineStr">
        <is>
          <t>16/11/2026</t>
        </is>
      </c>
      <c r="T426" s="226" t="inlineStr">
        <is>
          <t>14/12/2026</t>
        </is>
      </c>
      <c r="U426" s="139" t="inlineStr">
        <is>
          <t>Supervision record · Log sheet tagged 6. Ethical Practice and 7. Supervision</t>
        </is>
      </c>
    </row>
    <row r="427" outlineLevel="2" ht="43.5" customHeight="1" s="128">
      <c r="A427" s="220" t="inlineStr">
        <is>
          <t>BLOCK</t>
        </is>
      </c>
      <c r="B427" s="220" t="inlineStr">
        <is>
          <t>6. Ethical Practice</t>
        </is>
      </c>
      <c r="C427" s="220" t="inlineStr">
        <is>
          <t>Manage workload and your own wellbeing</t>
        </is>
      </c>
      <c r="D427" s="221" t="inlineStr">
        <is>
          <t>Block 4 · Knowing the formal duties</t>
        </is>
      </c>
      <c r="E427" s="222" t="inlineStr">
        <is>
          <t>The seven-day notification and when to refrain from practice.</t>
        </is>
      </c>
      <c r="F427" s="220" t="inlineStr">
        <is>
          <t>1 hour, once · Weeks 1–2</t>
        </is>
      </c>
      <c r="G427" s="220" t="n"/>
      <c r="H427" s="220" t="n"/>
      <c r="I427" s="220" t="n"/>
      <c r="J427" s="220" t="n"/>
      <c r="K427" s="220" t="n"/>
      <c r="L427" s="220" t="n"/>
      <c r="M427" s="222" t="n"/>
      <c r="N427" s="220" t="n"/>
      <c r="O427" s="220" t="n"/>
      <c r="P427" s="220" t="inlineStr">
        <is>
          <t>How you build it: Read Handbook §5 once. Know it exists.</t>
        </is>
      </c>
      <c r="Q427" s="220" t="n"/>
      <c r="R427" s="220" t="n"/>
      <c r="S427" s="220" t="n"/>
      <c r="T427" s="220" t="n"/>
      <c r="U427" s="220" t="n"/>
    </row>
    <row r="428" outlineLevel="2" ht="120" customHeight="1" s="128">
      <c r="A428" s="139" t="inlineStr">
        <is>
          <t>MICRO-SKILL</t>
        </is>
      </c>
      <c r="B428" s="139" t="inlineStr">
        <is>
          <t>6. Ethical Practice</t>
        </is>
      </c>
      <c r="C428" s="139" t="inlineStr">
        <is>
          <t>Manage workload and your own wellbeing</t>
        </is>
      </c>
      <c r="D428" s="139" t="inlineStr">
        <is>
          <t>Block 4 · Knowing the formal duties</t>
        </is>
      </c>
      <c r="E428" s="223" t="inlineStr">
        <is>
          <t>Know the seven-day notification duty</t>
        </is>
      </c>
      <c r="F428" s="139" t="inlineStr">
        <is>
          <t>Handbook §5</t>
        </is>
      </c>
      <c r="G428" s="227" t="inlineStr">
        <is>
          <t>The UCD Handbook §5 sets out a seven-day notification duty. Its exact triggers and route were not in the sources used to write this row, so do not act on a summary. Read §5 and write down, in your own words, what triggers it, who you notify, how, and within what time. Duties like this usually cover changes in circumstances that bear on fitness to practise. Missing the deadline can become a professional issue in itself, whatever the underlying matter was.</t>
        </is>
      </c>
      <c r="H428" s="165" t="inlineStr">
        <is>
          <t>WATCH FOR — whether your supervisor or placement tutor mentions notification duties at induction.
WRITE DOWN — the exact wording of Handbook §5: what triggers it, who is notified, how, and the time limit.
ASK AFTERWARDS — ask your placement tutor, 'can you give me an example of something that would trigger the seven-day duty?'</t>
        </is>
      </c>
      <c r="I428" s="165" t="inlineStr">
        <is>
          <t>YOU TAKE — reading §5 and summarising it in your own words on one page.
THEY HOLD — (placement tutor) confirming your summary is correct.
WHY THAT SPLIT — reading the rule is yours. Confirming your reading avoids acting on a misunderstanding when it matters.</t>
        </is>
      </c>
      <c r="J428" s="165" t="inlineStr">
        <is>
          <t>YOU RUN IT — keep your summary where you can find it, and check a hypothetical scenario against it with your tutor.
WHAT THEY ARE WATCHING FOR — assuming the duty only covers serious matters, and not knowing how to notify.
STEPPING IN LOOKS LIKE — 'if that happened on a Friday, when would the seven days end?'</t>
        </is>
      </c>
      <c r="K428" s="207" t="inlineStr">
        <is>
          <t>YOU DO IT ALONE — know the trigger, the recipient, the method and the deadline, and act within it if needed.
PASS TEST — You could act on it if needed
EVIDENCE TO FILE — your one-page summary of §5, kept in your portfolio. Log against 6. Ethical Practice.
WHAT FAILURE LOOKS LIKE — something triggers the duty and you learn about the deadline after it has passed.</t>
        </is>
      </c>
      <c r="L428" s="165" t="inlineStr">
        <is>
          <t>YOU CAN TEACH IT — you can explain the duty to a new trainee from the Handbook text, not from memory.
WHEN IT GOES WRONG — you can say what to do when you missed the deadline: notify at once, explain the delay honestly, and tell your placement tutor.</t>
        </is>
      </c>
      <c r="M428" s="224" t="inlineStr">
        <is>
          <t>Not reading §5 until something triggers it.</t>
        </is>
      </c>
      <c r="N428" s="165" t="inlineStr">
        <is>
          <t>→ Feeds into 'Refrain from practice where judgement is seriously impaired'.</t>
        </is>
      </c>
      <c r="O428" s="225" t="inlineStr">
        <is>
          <t>Not started</t>
        </is>
      </c>
      <c r="P428" s="165" t="inlineStr">
        <is>
          <t>WATCH FOR — whether your supervisor or placement tutor mentions notification duties at induction.</t>
        </is>
      </c>
      <c r="Q428" s="139" t="inlineStr">
        <is>
          <t>Year 1</t>
        </is>
      </c>
      <c r="R428" s="226" t="inlineStr">
        <is>
          <t>26/10/2026</t>
        </is>
      </c>
      <c r="S428" s="226" t="inlineStr">
        <is>
          <t>16/11/2026</t>
        </is>
      </c>
      <c r="T428" s="226" t="inlineStr">
        <is>
          <t>14/12/2026</t>
        </is>
      </c>
      <c r="U428" s="139" t="inlineStr">
        <is>
          <t>One-page summary of Handbook §5 · Log sheet tagged 6. Ethical Practice</t>
        </is>
      </c>
    </row>
    <row r="429" outlineLevel="2" ht="120" customHeight="1" s="128">
      <c r="A429" s="139" t="inlineStr">
        <is>
          <t>MICRO-SKILL</t>
        </is>
      </c>
      <c r="B429" s="139" t="inlineStr">
        <is>
          <t>6. Ethical Practice</t>
        </is>
      </c>
      <c r="C429" s="139" t="inlineStr">
        <is>
          <t>Manage workload and your own wellbeing</t>
        </is>
      </c>
      <c r="D429" s="139" t="inlineStr">
        <is>
          <t>Block 4 · Knowing the formal duties</t>
        </is>
      </c>
      <c r="E429" s="223" t="inlineStr">
        <is>
          <t>Refrain from practice where judgement is seriously impaired</t>
        </is>
      </c>
      <c r="F429" s="139" t="inlineStr">
        <is>
          <t>PSI Code 2.5.1</t>
        </is>
      </c>
      <c r="G429" s="227" t="inlineStr">
        <is>
          <t>Illness, bereavement, exhaustion, medication, alcohol, or a crisis at home can all seriously impair judgement. PSI Code 2.5.1 is the clause mapped here: a psychologist whose judgement is seriously impaired should refrain from practice. The difficulty is that impairment affects the judgement you would use to notice it. So the skill is knowing your signs in advance, having an agreed plan, and accepting a supervisor's view when they see it before you do.</t>
        </is>
      </c>
      <c r="H429" s="165" t="inlineStr">
        <is>
          <t>WATCH FOR — how the service handles a psychologist who is unwell or in crisis: cover arrangements, how cases are protected, and whether it is treated as normal.
WRITE DOWN — who you would tell, and how your cases would be covered.
ASK AFTERWARDS — 'have you ever stepped back from work? How did you know it was time?'</t>
        </is>
      </c>
      <c r="I429" s="165" t="inlineStr">
        <is>
          <t>YOU TAKE — agreeing in advance with your supervisor what would lead you to step back, and who covers.
THEY HOLD — the decision if you are not able to make it yourself.
WHY THAT SPLIT — a plan made while well is the only reliable one, because impaired judgement is poor at judging itself.</t>
        </is>
      </c>
      <c r="J429" s="165" t="inlineStr">
        <is>
          <t>YOU RUN IT — if impaired, say so, step back from direct work, and hand over cases per the plan.
WHAT THEY ARE WATCHING FOR — pushing on because of placement days or deadlines, and seeing families while unwell.
STEPPING IN LOOKS LIKE — 'I think you need to go home. I'll cover this afternoon.'</t>
        </is>
      </c>
      <c r="K429" s="207" t="inlineStr">
        <is>
          <t>YOU DO IT ALONE — recognise serious impairment, stop direct practice, tell your supervisor and tutor, and follow any notification duty.
PASS TEST — You would know and would act
EVIDENCE TO FILE — nothing personal needs filing. Supervision record of the plan. Log against 6. Ethical Practice.
WHAT FAILURE LOOKS LIKE — a feedback meeting led while seriously unwell, with a family given confused or inaccurate information.</t>
        </is>
      </c>
      <c r="L429" s="165" t="inlineStr">
        <is>
          <t>YOU CAN TEACH IT — you can explain the duty, why a pre-agreed plan matters, and why stepping back is professional rather than a failure.
WHEN IT GOES WRONG — you can say what to do when you realise afterwards that you practised while impaired: tell your supervisor, review the affected work, and correct anything that needs it.</t>
        </is>
      </c>
      <c r="M429" s="224" t="inlineStr">
        <is>
          <t>Continuing to see families while seriously unwell because placement days are needed.</t>
        </is>
      </c>
      <c r="N429" s="165" t="inlineStr">
        <is>
          <t>→ Feeds into Supervision, and into 'Know the seven-day notification duty'.</t>
        </is>
      </c>
      <c r="O429" s="225" t="inlineStr">
        <is>
          <t>Not started</t>
        </is>
      </c>
      <c r="P429" s="165" t="inlineStr">
        <is>
          <t>WATCH FOR — how the service handles a psychologist who is unwell or in crisis: cover arrangements, how cases are protected, and whether it is treated as normal.</t>
        </is>
      </c>
      <c r="Q429" s="139" t="inlineStr">
        <is>
          <t>Year 1</t>
        </is>
      </c>
      <c r="R429" s="226" t="inlineStr">
        <is>
          <t>26/10/2026</t>
        </is>
      </c>
      <c r="S429" s="226" t="inlineStr">
        <is>
          <t>16/11/2026</t>
        </is>
      </c>
      <c r="T429" s="226" t="inlineStr">
        <is>
          <t>14/12/2026</t>
        </is>
      </c>
      <c r="U429" s="139" t="inlineStr">
        <is>
          <t>Supervision record of plan · Log sheet tagged 6. Ethical Practice</t>
        </is>
      </c>
    </row>
    <row r="430" ht="21.75" customHeight="1" s="128">
      <c r="A430" s="173" t="inlineStr">
        <is>
          <t>COMPETENCY</t>
        </is>
      </c>
      <c r="B430" s="173" t="inlineStr">
        <is>
          <t>7. Supervision</t>
        </is>
      </c>
      <c r="C430" s="173" t="n"/>
      <c r="D430" s="173" t="n"/>
      <c r="E430" s="173" t="inlineStr">
        <is>
          <t>10 macro skills · 24 blocks · 44 micro-skills</t>
        </is>
      </c>
      <c r="F430" s="173" t="n"/>
      <c r="G430" s="173" t="n"/>
      <c r="H430" s="173" t="n"/>
      <c r="I430" s="173" t="n"/>
      <c r="J430" s="173" t="n"/>
      <c r="K430" s="173" t="n"/>
      <c r="L430" s="173" t="n"/>
      <c r="M430" s="173" t="n"/>
      <c r="N430" s="173" t="n"/>
      <c r="O430" s="173" t="n"/>
      <c r="P430" s="173" t="n"/>
      <c r="Q430" s="173" t="n"/>
      <c r="R430" s="173" t="n"/>
      <c r="S430" s="173" t="n"/>
      <c r="T430" s="173" t="n"/>
      <c r="U430" s="173" t="n"/>
    </row>
    <row r="431" ht="19.5" customHeight="1" s="128">
      <c r="A431" s="219" t="inlineStr">
        <is>
          <t>MACRO SKILL</t>
        </is>
      </c>
      <c r="B431" s="219" t="inlineStr">
        <is>
          <t>7. Supervision</t>
        </is>
      </c>
      <c r="C431" s="219" t="inlineStr">
        <is>
          <t>Agree and sign the supervision contract</t>
        </is>
      </c>
      <c r="D431" s="219" t="n"/>
      <c r="E431" s="219" t="inlineStr">
        <is>
          <t>2 blocks · 6 micro-skills</t>
        </is>
      </c>
      <c r="F431" s="219" t="inlineStr">
        <is>
          <t>Handbook §6 · PSI Accred 3.3.9</t>
        </is>
      </c>
      <c r="G431" s="219" t="n"/>
      <c r="H431" s="219" t="n"/>
      <c r="I431" s="219" t="n"/>
      <c r="J431" s="219" t="n"/>
      <c r="K431" s="219" t="n"/>
      <c r="L431" s="219" t="n"/>
      <c r="M431" s="219" t="n"/>
      <c r="N431" s="219" t="n"/>
      <c r="O431" s="219" t="n"/>
      <c r="P431" s="219" t="n"/>
      <c r="Q431" s="219" t="inlineStr">
        <is>
          <t>Year 1</t>
        </is>
      </c>
      <c r="R431" s="219" t="n"/>
      <c r="S431" s="219" t="n"/>
      <c r="T431" s="219" t="n"/>
      <c r="U431" s="219" t="n"/>
    </row>
    <row r="432" outlineLevel="2" ht="43.5" customHeight="1" s="128">
      <c r="A432" s="220" t="inlineStr">
        <is>
          <t>BLOCK</t>
        </is>
      </c>
      <c r="B432" s="220" t="inlineStr">
        <is>
          <t>7. Supervision</t>
        </is>
      </c>
      <c r="C432" s="220" t="inlineStr">
        <is>
          <t>Agree and sign the supervision contract</t>
        </is>
      </c>
      <c r="D432" s="221" t="inlineStr">
        <is>
          <t>Block 1 · Knowing what you are entitled to</t>
        </is>
      </c>
      <c r="E432" s="222" t="inlineStr">
        <is>
          <t>The dose, the review points, the observations — what the PSI and the handbook require.</t>
        </is>
      </c>
      <c r="F432" s="220" t="inlineStr">
        <is>
          <t>2 hours, once · Before placement</t>
        </is>
      </c>
      <c r="G432" s="220" t="n"/>
      <c r="H432" s="220" t="n"/>
      <c r="I432" s="220" t="n"/>
      <c r="J432" s="220" t="n"/>
      <c r="K432" s="220" t="n"/>
      <c r="L432" s="220" t="n"/>
      <c r="M432" s="222" t="n"/>
      <c r="N432" s="220" t="n"/>
      <c r="O432" s="220" t="n"/>
      <c r="P432" s="220" t="inlineStr">
        <is>
          <t>How you build it: Read PSI Accreditation 3.3.9 and Handbook §6. Both are short.</t>
        </is>
      </c>
      <c r="Q432" s="220" t="n"/>
      <c r="R432" s="220" t="n"/>
      <c r="S432" s="220" t="n"/>
      <c r="T432" s="220" t="n"/>
      <c r="U432" s="220" t="n"/>
    </row>
    <row r="433" outlineLevel="2" ht="120" customHeight="1" s="128">
      <c r="A433" s="139" t="inlineStr">
        <is>
          <t>MICRO-SKILL</t>
        </is>
      </c>
      <c r="B433" s="139" t="inlineStr">
        <is>
          <t>7. Supervision</t>
        </is>
      </c>
      <c r="C433" s="139" t="inlineStr">
        <is>
          <t>Agree and sign the supervision contract</t>
        </is>
      </c>
      <c r="D433" s="139" t="inlineStr">
        <is>
          <t>Block 1 · Knowing what you are entitled to</t>
        </is>
      </c>
      <c r="E433" s="223" t="inlineStr">
        <is>
          <t>Know the 30 minutes per placement day entitlement</t>
        </is>
      </c>
      <c r="F433" s="139" t="inlineStr">
        <is>
          <t>PSI Accred 3.3.9</t>
        </is>
      </c>
      <c r="G433" s="227" t="inlineStr">
        <is>
          <t>The Reference sheet summarises PSI Accreditation Standards (2022) 3.3.9 as requiring thirty minutes of supervision per placement day; read 3.3.9 itself so you quote the standard's words rather than a paraphrase. At four Cavan days a week that is two hours weekly — the formal hour plus an hour of informal contact. A trainee who does not know the figure cannot notice a shortfall, and one who cannot state it turns a requirement into a favour she has to ask for.</t>
        </is>
      </c>
      <c r="H433" s="165" t="inlineStr">
        <is>
          <t>WATCH FOR — how your supervisor talks about supervision time in the first meeting: as a fixed commitment with a figure attached, or as 'whenever we get a chance'. Notice whether they count informal contact (a call after a visit, a drive to a school) as supervision or treat only the booked hour as real.
WRITE DOWN — the figure, the 3.3.9 reference, and the weekly total it produces for four days a week.
ASK AFTERWARDS — 'how have you tracked supervision time with previous trainees, and what counted?'</t>
        </is>
      </c>
      <c r="I433" s="165" t="inlineStr">
        <is>
          <t>YOU TAKE — reading PSI Accreditation 3.3.9 in full before week one (the text is on the Reference sheet, Part B), doing the arithmetic for the Cavan pattern, and bringing both to the contract conversation.
THEY HOLD — the decision about how the time is split between formal and informal contact, within the standard.
WHY THAT SPLIT — knowing the entitlement is your job and no one else will do it for you. How the time is delivered depends on the supervisor's diary and service, so the shape is agreed, not dictated.</t>
        </is>
      </c>
      <c r="J433" s="165" t="inlineStr">
        <is>
          <t>YOU RUN IT — state the entitlement yourself in the contract meeting, citing 3.3.9, and propose how the two weekly hours will be made up, with your supervisor responding.
WHAT THEY ARE WATCHING FOR — apologetic framing ('I know you're busy, but…') that makes the standard sound optional, or the opposite — reading it out like a grievance before any problem exists.
STEPPING IN LOOKS LIKE — 'you're right, that's the figure — let's write down what counts as the informal hour so neither of us has to guess later.'</t>
        </is>
      </c>
      <c r="K433" s="207" t="inlineStr">
        <is>
          <t>YOU DO IT ALONE — carry the figure and the source in your head, apply it to whatever days-per-week pattern you are on, and use it calmly the first time the hour moves, without needing to look it up.
PASS TEST — You can state it if the hour slips
EVIDENCE TO FILE — the signed contract recording the entitlement and how it will be met; running totals on the supervision records. Log against 7. Supervision.
WHAT FAILURE LOOKS LIKE — reaching December unable to say whether the standard was met, because you never knew the figure and never counted.</t>
        </is>
      </c>
      <c r="L433" s="165" t="inlineStr">
        <is>
          <t>YOU CAN TEACH IT — you can explain to a first-year peer where the figure comes from, how to convert it for a three-, four- or five-day pattern, why informal contact counts only if it is recorded, and why quoting a standard is less awkward than making a request.
WHEN IT GOES WRONG — you can say what to do when the total falls short: raise it with the figure and the dates in hand, propose a make-up plan, and if it persists, use the UCD route for placement concerns — read the Handbook for the route itself.</t>
        </is>
      </c>
      <c r="M433" s="224" t="inlineStr">
        <is>
          <t>Treating supervision time as whatever the supervisor can spare rather than as a stated, countable standard.</t>
        </is>
      </c>
      <c r="N433" s="165" t="inlineStr">
        <is>
          <t>→ Feeds into 'Record day, time, duration and format', 'Keep to 30 minutes per placement day cumulatively', and 'Raise it if it slips twice'.</t>
        </is>
      </c>
      <c r="O433" s="225" t="inlineStr">
        <is>
          <t>Not started</t>
        </is>
      </c>
      <c r="P433" s="165" t="inlineStr">
        <is>
          <t>WATCH FOR — how your supervisor talks about supervision time in the first meeting: as a fixed commitment with a figure attached, or as 'whenever we get a chance'. Notice whether they count informal contact (a call after a visit, a drive to a school) as supervision or treat only the booked hour as real.</t>
        </is>
      </c>
      <c r="Q433" s="139" t="inlineStr">
        <is>
          <t>Year 1</t>
        </is>
      </c>
      <c r="R433" s="226" t="inlineStr">
        <is>
          <t>26/10/2026</t>
        </is>
      </c>
      <c r="S433" s="226" t="inlineStr">
        <is>
          <t>16/11/2026</t>
        </is>
      </c>
      <c r="T433" s="226" t="inlineStr">
        <is>
          <t>14/12/2026</t>
        </is>
      </c>
      <c r="U433" s="139" t="inlineStr">
        <is>
          <t>Signed supervision contract · supervision records (Appendix 8) · Log sheet tagged 7. Supervision</t>
        </is>
      </c>
    </row>
    <row r="434" outlineLevel="2" ht="120" customHeight="1" s="128">
      <c r="A434" s="139" t="inlineStr">
        <is>
          <t>MICRO-SKILL</t>
        </is>
      </c>
      <c r="B434" s="139" t="inlineStr">
        <is>
          <t>7. Supervision</t>
        </is>
      </c>
      <c r="C434" s="139" t="inlineStr">
        <is>
          <t>Agree and sign the supervision contract</t>
        </is>
      </c>
      <c r="D434" s="139" t="inlineStr">
        <is>
          <t>Block 1 · Knowing what you are entitled to</t>
        </is>
      </c>
      <c r="E434" s="223" t="inlineStr">
        <is>
          <t>Know the four components expected</t>
        </is>
      </c>
      <c r="F434" s="139" t="inlineStr">
        <is>
          <t>Handbook §6.1</t>
        </is>
      </c>
      <c r="G434" s="227" t="inlineStr">
        <is>
          <t>Supervision is not one thing. The pass test names four components — educative, supportive, evaluative and safeguarding — mapped here to Handbook §6.1; read that section yourself for UCD's exact wording. They echo Proctor's (1986) formative, restorative and normative functions and Kadushin's (1976) educational, supportive and administrative ones. A trainee who knows only the educative strand accepts sessions that never check her wellbeing, never give her a judgement of her standard, and never look at risk.</t>
        </is>
      </c>
      <c r="H434" s="165" t="inlineStr">
        <is>
          <t>WATCH FOR — which component each part of a session is actually doing: teaching you something (educative), attending to how you are coping (supportive), telling you where your work stands (evaluative), or checking that clients and you are safe (safeguarding). Notice which your supervisor defaults to and which rarely appears.
WRITE DOWN — one example of each from the first sessions, with the component label.
ASK AFTERWARDS — 'which of the four do you find hardest to fit into an hour, and why?'</t>
        </is>
      </c>
      <c r="I434" s="165" t="inlineStr">
        <is>
          <t>YOU TAKE — writing the four components into the draft contract with one line each on what they will look like in practice, and noting Proctor's (1986) three functions alongside as the underlying model.
THEY HOLD — the evaluative component — the judgement of your competence that feeds the mid-placement review and written feedback.
WHY THAT SPLIT — you can name and ask for all four. Evaluation is the one that is genuinely theirs: it is the gatekeeping part of the role, and a trainee cannot evaluate herself on the supervisor's behalf.</t>
        </is>
      </c>
      <c r="J434" s="165" t="inlineStr">
        <is>
          <t>YOU RUN IT — in the contract meeting, walk through the four components and agree how each will be met over the placement, with your supervisor adding or amending.
WHAT THEY ARE WATCHING FOR — reciting labels without being able to say what each looks like in an EP service, and folding safeguarding into 'supportive' when it is about the child, not about you.
STEPPING IN LOOKS LIKE — 'give me an example of what safeguarding in supervision would look like for a school visit next month.'</t>
        </is>
      </c>
      <c r="K434" s="207" t="inlineStr">
        <is>
          <t>YOU DO IT ALONE — name the four components without prompting, give a practice example of each, and use them to notice when supervision has run on one strand for weeks.
PASS TEST — Educative, supportive, evaluative, safeguarding
EVIDENCE TO FILE — the contract listing the four components; component tags on each supervision record. Log against 7. Supervision.
WHAT FAILURE LOOKS LIKE — a run of records that are all educative case discussion, no evaluative feedback until the mid-placement review surprises you, and no safeguarding item logged in a term of school visits.</t>
        </is>
      </c>
      <c r="L434" s="165" t="inlineStr">
        <is>
          <t>YOU CAN TEACH IT — you can explain the four components, map them roughly onto Proctor (1986) and Kadushin (1976) — noting the mapping is approximate, not one-to-one — and show why safeguarding and evaluation protect clients and the profession, not just the trainee.
WHEN IT GOES WRONG — you can say what to do when one component is missing: name it on the next agenda ('I'd like some evaluative feedback on my report writing'), rather than waiting for the review.</t>
        </is>
      </c>
      <c r="M434" s="224" t="inlineStr">
        <is>
          <t>Knowing only the teaching function of supervision, so the evaluative and safeguarding components go missing unnoticed.</t>
        </is>
      </c>
      <c r="N434" s="165" t="inlineStr">
        <is>
          <t>→ Feeds into 'Tag which of the four components the session covered', 'Take the weekly supervision hour', and 7. Supervision competency evidence.</t>
        </is>
      </c>
      <c r="O434" s="225" t="inlineStr">
        <is>
          <t>Not started</t>
        </is>
      </c>
      <c r="P434" s="165" t="inlineStr">
        <is>
          <t>WATCH FOR — which component each part of a session is actually doing: teaching you something (educative), attending to how you are coping (supportive), telling you where your work stands (evaluative), or checking that clients and you are safe (safeguarding). Notice which your supervisor defaults to and which rarely appears.</t>
        </is>
      </c>
      <c r="Q434" s="139" t="inlineStr">
        <is>
          <t>Year 1</t>
        </is>
      </c>
      <c r="R434" s="226" t="inlineStr">
        <is>
          <t>26/10/2026</t>
        </is>
      </c>
      <c r="S434" s="226" t="inlineStr">
        <is>
          <t>16/11/2026</t>
        </is>
      </c>
      <c r="T434" s="226" t="inlineStr">
        <is>
          <t>14/12/2026</t>
        </is>
      </c>
      <c r="U434" s="139" t="inlineStr">
        <is>
          <t>Signed supervision contract · supervision records (Appendix 8) · Log sheet tagged 7. Supervision</t>
        </is>
      </c>
    </row>
    <row r="435" outlineLevel="2" ht="43.5" customHeight="1" s="128">
      <c r="A435" s="220" t="inlineStr">
        <is>
          <t>BLOCK</t>
        </is>
      </c>
      <c r="B435" s="220" t="inlineStr">
        <is>
          <t>7. Supervision</t>
        </is>
      </c>
      <c r="C435" s="220" t="inlineStr">
        <is>
          <t>Agree and sign the supervision contract</t>
        </is>
      </c>
      <c r="D435" s="221" t="inlineStr">
        <is>
          <t>Block 2 · Drafting it</t>
        </is>
      </c>
      <c r="E435" s="222" t="inlineStr">
        <is>
          <t>Bringing something rather than waiting to be given one.</t>
        </is>
      </c>
      <c r="F435" s="220" t="inlineStr">
        <is>
          <t>2 hours, once · Weeks 1–2</t>
        </is>
      </c>
      <c r="G435" s="220" t="n"/>
      <c r="H435" s="220" t="n"/>
      <c r="I435" s="220" t="n"/>
      <c r="J435" s="220" t="n"/>
      <c r="K435" s="220" t="n"/>
      <c r="L435" s="220" t="n"/>
      <c r="M435" s="222" t="n"/>
      <c r="N435" s="220" t="n"/>
      <c r="O435" s="220" t="n"/>
      <c r="P435" s="220" t="inlineStr">
        <is>
          <t>How you build it: Draft it before week one. Bring it in.</t>
        </is>
      </c>
      <c r="Q435" s="220" t="n"/>
      <c r="R435" s="220" t="n"/>
      <c r="S435" s="220" t="n"/>
      <c r="T435" s="220" t="n"/>
      <c r="U435" s="220" t="n"/>
    </row>
    <row r="436" outlineLevel="2" ht="120" customHeight="1" s="128">
      <c r="A436" s="139" t="inlineStr">
        <is>
          <t>MICRO-SKILL</t>
        </is>
      </c>
      <c r="B436" s="139" t="inlineStr">
        <is>
          <t>7. Supervision</t>
        </is>
      </c>
      <c r="C436" s="139" t="inlineStr">
        <is>
          <t>Agree and sign the supervision contract</t>
        </is>
      </c>
      <c r="D436" s="139" t="inlineStr">
        <is>
          <t>Block 2 · Drafting it</t>
        </is>
      </c>
      <c r="E436" s="223" t="inlineStr">
        <is>
          <t>Bring a draft to week one</t>
        </is>
      </c>
      <c r="F436" s="139" t="inlineStr">
        <is>
          <t>Handbook §6</t>
        </is>
      </c>
      <c r="G436" s="227" t="inlineStr">
        <is>
          <t>The Reference sheet's point: signing in week one is the only moment when asking for something feels normal rather than like a complaint. Arriving with a draft means the conversation is about your terms rather than a template you skim and sign. Scaife (2019, Supervision in Clinical Practice, 3rd ed.) and Page and Wosket (Supervising the Counsellor; edition — check) both treat contracting as the first stage of supervision, not an administrative extra. With nothing prepared, the default fills the gap.</t>
        </is>
      </c>
      <c r="H436" s="165" t="inlineStr">
        <is>
          <t>WATCH FOR — how your supervisor responds to a trainee who arrives with a draft versus one who arrives empty-handed: which items they accept without discussion, which they amend, and which they add that you did not think of (usually cover arrangements and out-of-hours contact).
WRITE DOWN — every item they added or changed, and the reason given.
ASK AFTERWARDS — 'what do trainees usually leave out of a first contract that causes trouble in the second month?'</t>
        </is>
      </c>
      <c r="I436" s="165" t="inlineStr">
        <is>
          <t>YOU TAKE — drafting it before week one: entitlement (3.3.9), four components, day and time, cancellations, out-of-session contact, leave cover, disagreement, records and who holds them, observation dates, any adjustments you want in writing.
THEY HOLD — service-specific items you cannot know: cover within the Cavan team, local protocols, diary constraints.
WHY THAT SPLIT — the draft shows you know the standard; the service detail is theirs, and a contract that ignores it will not survive the term.</t>
        </is>
      </c>
      <c r="J436" s="165" t="inlineStr">
        <is>
          <t>YOU RUN IT — lead the week-one meeting from your draft, item by item, and agree amendments on the page, with your supervisor responding.
WHAT THEY ARE WATCHING FOR — a draft so rigid it reads as distrust, or so thin it is a template with names added. Also watch for leaving out the Table 3 Early Years and Young Adult bands and PSI 3.3.6 special-setting visits, which belong in the Appendix 1 conversation at the same meeting.
STEPPING IN LOOKS LIKE — 'this is good — can we leave the observation dates until I've seen the diary, but agree a week for each now?'</t>
        </is>
      </c>
      <c r="K436" s="207" t="inlineStr">
        <is>
          <t>YOU DO IT ALONE — produce a first draft for any new placement without being asked, tailored to that service, and use it to structure the first supervision meeting.
PASS TEST — You arrived with something
EVIDENCE TO FILE — the draft (dated) and the signed final version, so the changes are visible; a supervision record for the contracting session. Log against 7. Supervision.
WHAT FAILURE LOOKS LIKE — signing the service's standard form in week three, after casework has started, with 'weekly' as the only commitment and no observation dates.</t>
        </is>
      </c>
      <c r="L436" s="165" t="inlineStr">
        <is>
          <t>YOU CAN TEACH IT — you can explain why contracting comes first in the supervision literature (Scaife, 2019; Page &amp; Wosket), which items prevent the common breakdowns, and why a new supervisor means a new contract — the Roscommon arrangement does not carry over.
WHEN IT GOES WRONG — you can say what to do if week one passes without a contract: raise it at the next meeting, bring the draft, and do not start new casework on an unwritten arrangement if you can avoid it.</t>
        </is>
      </c>
      <c r="M436" s="224" t="inlineStr">
        <is>
          <t>Arriving in week one with nothing and signing whatever template the service uses.</t>
        </is>
      </c>
      <c r="N436" s="165" t="inlineStr">
        <is>
          <t>→ Feeds into 'Record day, time, duration and format', 'Agree how cancellations are handled', and 'Arrange it in the first weeks' (observation).</t>
        </is>
      </c>
      <c r="O436" s="225" t="inlineStr">
        <is>
          <t>Not started</t>
        </is>
      </c>
      <c r="P436" s="165" t="inlineStr">
        <is>
          <t>WATCH FOR — how your supervisor responds to a trainee who arrives with a draft versus one who arrives empty-handed: which items they accept without discussion, which they amend, and which they add that you did not think of (usually cover arrangements and out-of-hours contact).</t>
        </is>
      </c>
      <c r="Q436" s="139" t="inlineStr">
        <is>
          <t>Year 1</t>
        </is>
      </c>
      <c r="R436" s="226" t="inlineStr">
        <is>
          <t>26/10/2026</t>
        </is>
      </c>
      <c r="S436" s="226" t="inlineStr">
        <is>
          <t>16/11/2026</t>
        </is>
      </c>
      <c r="T436" s="226" t="inlineStr">
        <is>
          <t>14/12/2026</t>
        </is>
      </c>
      <c r="U436" s="139" t="inlineStr">
        <is>
          <t>Draft and signed contract · supervision records (Appendix 8) · Log sheet tagged 7. Supervision</t>
        </is>
      </c>
    </row>
    <row r="437" outlineLevel="2" ht="120" customHeight="1" s="128">
      <c r="A437" s="139" t="inlineStr">
        <is>
          <t>MICRO-SKILL</t>
        </is>
      </c>
      <c r="B437" s="139" t="inlineStr">
        <is>
          <t>7. Supervision</t>
        </is>
      </c>
      <c r="C437" s="139" t="inlineStr">
        <is>
          <t>Agree and sign the supervision contract</t>
        </is>
      </c>
      <c r="D437" s="139" t="inlineStr">
        <is>
          <t>Block 2 · Drafting it</t>
        </is>
      </c>
      <c r="E437" s="223" t="inlineStr">
        <is>
          <t>Record day, time, duration and format</t>
        </is>
      </c>
      <c r="F437" s="139" t="inlineStr">
        <is>
          <t>Handbook §6</t>
        </is>
      </c>
      <c r="G437" s="227" t="inlineStr">
        <is>
          <t>'Weekly' is not a commitment; 'Tuesday 10:00–11:00, in person, at the service base' is. The Reference sheet lists writing 'weekly' as a named error: an unspecified hour is the first thing to move when the caseload grows, and there is nothing to point to when it does. Carroll (2014, Effective Supervision for the Helping Professions, 2nd ed.) places responsibility for the structure of supervision partly on the supervisee. Vague terms protect neither of you.</t>
        </is>
      </c>
      <c r="H437" s="165" t="inlineStr">
        <is>
          <t>WATCH FOR — how your supervisor's week is actually shaped: which days they are in schools, which are admin or team days, and when they are least likely to be called away. Notice whether they propose a slot that is realistic or one that is ideal.
WRITE DOWN — the proposed day, start and end time, whether it is in person, online or phone, and the location.
ASK AFTERWARDS — 'which slot in your week has survived best with other trainees, and which has always been eaten?'</t>
        </is>
      </c>
      <c r="I437" s="165" t="inlineStr">
        <is>
          <t>YOU TAKE — proposing two or three specific slots that fit your placement days, avoiding the last hour of the day, and writing the agreed one into the contract in full.
THEY HOLD — the final choice, since their diary carries more constraints than yours.
WHY THAT SPLIT — you bring options so the decision is quick and specific. They choose because a slot they cannot protect will fail, however well you have drafted it.</t>
        </is>
      </c>
      <c r="J437" s="165" t="inlineStr">
        <is>
          <t>YOU RUN IT — put the specifics into the contract yourself, read them back, and set the recurring calendar invitation from your side the same day, with your supervisor confirming.
WHAT THEY ARE WATCHING FOR — 'as arranged', 'weekly', or 'Tuesdays' with no time; a slot at the end of a school day; online by default when in person is available and better for the difficult items.
STEPPING IN LOOKS LIKE — 'let's not put it at four — that's when the phone calls come. Can you do Tuesday morning?'</t>
        </is>
      </c>
      <c r="K437" s="207" t="inlineStr">
        <is>
          <t>YOU DO IT ALONE — write every supervision arrangement with day, time, duration, format and location, and put it in both calendars as a recurring appointment before you leave the room.
PASS TEST — Specific, not 'as arranged'
EVIDENCE TO FILE — the signed contract; a recurring calendar entry; supervision records showing the agreed slot was used. Log against 7. Supervision.
WHAT FAILURE LOOKS LIKE — a contract that says 'weekly supervision as arranged', and by November you cannot say when the last formal hour was.</t>
        </is>
      </c>
      <c r="L437" s="165" t="inlineStr">
        <is>
          <t>YOU CAN TEACH IT — you can explain why specificity is what makes the hour defensible, why the end-of-day slot fails, and why format matters (in-person sessions tend to be where the harder items get raised — your experience, not a research claim).
WHEN IT GOES WRONG — you can say what to do when the agreed slot proves unworkable: renegotiate a new specific slot and amend the contract, rather than drifting into 'whenever suits'.</t>
        </is>
      </c>
      <c r="M437" s="224" t="inlineStr">
        <is>
          <t>Writing 'weekly' or 'as arranged' instead of a named day, time, duration and format.</t>
        </is>
      </c>
      <c r="N437" s="165" t="inlineStr">
        <is>
          <t>→ Feeds into 'Protect the hour', 'Agree how cancellations are handled', and 'Send it the day before'.</t>
        </is>
      </c>
      <c r="O437" s="225" t="inlineStr">
        <is>
          <t>Not started</t>
        </is>
      </c>
      <c r="P437" s="165" t="inlineStr">
        <is>
          <t>WATCH FOR — how your supervisor's week is actually shaped: which days they are in schools, which are admin or team days, and when they are least likely to be called away. Notice whether they propose a slot that is realistic or one that is ideal.</t>
        </is>
      </c>
      <c r="Q437" s="139" t="inlineStr">
        <is>
          <t>Year 1</t>
        </is>
      </c>
      <c r="R437" s="226" t="inlineStr">
        <is>
          <t>26/10/2026</t>
        </is>
      </c>
      <c r="S437" s="226" t="inlineStr">
        <is>
          <t>16/11/2026</t>
        </is>
      </c>
      <c r="T437" s="226" t="inlineStr">
        <is>
          <t>14/12/2026</t>
        </is>
      </c>
      <c r="U437" s="139" t="inlineStr">
        <is>
          <t>Signed supervision contract · calendar entry · Log sheet tagged 7. Supervision</t>
        </is>
      </c>
    </row>
    <row r="438" outlineLevel="2" ht="120" customHeight="1" s="128">
      <c r="A438" s="139" t="inlineStr">
        <is>
          <t>MICRO-SKILL</t>
        </is>
      </c>
      <c r="B438" s="139" t="inlineStr">
        <is>
          <t>7. Supervision</t>
        </is>
      </c>
      <c r="C438" s="139" t="inlineStr">
        <is>
          <t>Agree and sign the supervision contract</t>
        </is>
      </c>
      <c r="D438" s="139" t="inlineStr">
        <is>
          <t>Block 2 · Drafting it</t>
        </is>
      </c>
      <c r="E438" s="223" t="inlineStr">
        <is>
          <t>Agree how cancellations are handled</t>
        </is>
      </c>
      <c r="F438" s="139" t="inlineStr">
        <is>
          <t>PSI Supervision Guidelines 2024</t>
        </is>
      </c>
      <c r="G438" s="227" t="inlineStr">
        <is>
          <t>Supervision is rarely lost in one decision; the Reference sheet describes it going gradually — moved once, shortened, merged into a car journey. A cancellation clause stops that drift by deciding in advance who rearranges and by when. PSI Supervision Guidelines (2024) are mapped here; read them for the wording. The Reference sheet's rule is that a missed hour is rescheduled within the same week, not dropped. Without that, each cancellation is negotiated from scratch, and the trainee usually concedes.</t>
        </is>
      </c>
      <c r="H438" s="165" t="inlineStr">
        <is>
          <t>WATCH FOR — what actually happens when your supervisor's day is disrupted: do they rebook the hour on the spot, leave it to you, or let it lapse? Notice whether trainee-initiated and supervisor-initiated cancellations are treated the same.
WRITE DOWN — the rule you agree: who rearranges, the deadline for the replacement, and what happens if it cannot be found.
ASK AFTERWARDS — 'when you've had to cancel before, what made it easy or hard to put the hour back?'</t>
        </is>
      </c>
      <c r="I438" s="165" t="inlineStr">
        <is>
          <t>YOU TAKE — drafting a clause naming who rebooks (whoever cancels, or always you), the window (same week), and the fallback (a phone session rather than nothing).
THEY HOLD — agreement on what counts as a legitimate reason to move it, and on cover when they are on leave.
WHY THAT SPLIT — the mechanics are yours to propose. Cover arrangements depend on the team, and only the supervisor can commit a colleague.</t>
        </is>
      </c>
      <c r="J438" s="165" t="inlineStr">
        <is>
          <t>YOU RUN IT — raise cancellations as a contract item, propose your clause, and agree it in writing, with your supervisor amending.
WHAT THEY ARE WATCHING FOR — a clause that only binds the supervisor (which reads as mistrust), or one with no deadline ('we'll rearrange') that permits drift.
STEPPING IN LOOKS LIKE — 'whoever cancels books the replacement before the end of the same day — does that work for you?'</t>
        </is>
      </c>
      <c r="K438" s="207" t="inlineStr">
        <is>
          <t>YOU DO IT ALONE — apply the clause every time without it becoming a confrontation: when the hour is cancelled, reply the same day with two replacement slots in the same week, and log the change.
PASS TEST — Who rearranges, and by when
EVIDENCE TO FILE — the clause in the signed contract; supervision records noting rescheduled sessions with original and new dates (DD/MM/YYYY). Log against 7. Supervision.
WHAT FAILURE LOOKS LIKE — three cancelled hours in a term, none replaced, and no record that they were ever due.</t>
        </is>
      </c>
      <c r="L438" s="165" t="inlineStr">
        <is>
          <t>YOU CAN TEACH IT — you can explain to a peer why the cancellation clause is the part of the contract that does most work, how to draft one that binds both people, and how the record of rescheduled sessions becomes evidence of the 3.3.9 total.
WHEN IT GOES WRONG — you can say what to do when the clause is ignored: name it at the next session with dates, and if it continues, follow 'Raise it if it slips twice'.</t>
        </is>
      </c>
      <c r="M438" s="224" t="inlineStr">
        <is>
          <t>Agreeing 'we'll rearrange' with no named person and no deadline.</t>
        </is>
      </c>
      <c r="N438" s="165" t="inlineStr">
        <is>
          <t>→ Feeds into 'Protect the hour', 'Raise it if it slips twice', and 'Keep to 30 minutes per placement day cumulatively'.</t>
        </is>
      </c>
      <c r="O438" s="225" t="inlineStr">
        <is>
          <t>Not started</t>
        </is>
      </c>
      <c r="P438" s="165" t="inlineStr">
        <is>
          <t>WATCH FOR — what actually happens when your supervisor's day is disrupted: do they rebook the hour on the spot, leave it to you, or let it lapse? Notice whether trainee-initiated and supervisor-initiated cancellations are treated the same.</t>
        </is>
      </c>
      <c r="Q438" s="139" t="inlineStr">
        <is>
          <t>Year 1</t>
        </is>
      </c>
      <c r="R438" s="226" t="inlineStr">
        <is>
          <t>26/10/2026</t>
        </is>
      </c>
      <c r="S438" s="226" t="inlineStr">
        <is>
          <t>16/11/2026</t>
        </is>
      </c>
      <c r="T438" s="226" t="inlineStr">
        <is>
          <t>14/12/2026</t>
        </is>
      </c>
      <c r="U438" s="139" t="inlineStr">
        <is>
          <t>Signed supervision contract · supervision records (Appendix 8) · Log sheet tagged 7. Supervision</t>
        </is>
      </c>
    </row>
    <row r="439" outlineLevel="2" ht="120" customHeight="1" s="128">
      <c r="A439" s="139" t="inlineStr">
        <is>
          <t>MICRO-SKILL</t>
        </is>
      </c>
      <c r="B439" s="139" t="inlineStr">
        <is>
          <t>7. Supervision</t>
        </is>
      </c>
      <c r="C439" s="139" t="inlineStr">
        <is>
          <t>Agree and sign the supervision contract</t>
        </is>
      </c>
      <c r="D439" s="139" t="inlineStr">
        <is>
          <t>Block 2 · Drafting it</t>
        </is>
      </c>
      <c r="E439" s="223" t="inlineStr">
        <is>
          <t>Both sign and date it</t>
        </is>
      </c>
      <c r="F439" s="139" t="inlineStr">
        <is>
          <t>Handbook Appendix 8</t>
        </is>
      </c>
      <c r="G439" s="227" t="inlineStr">
        <is>
          <t>An unsigned contract is a draft, and a draft carries no weight when you need to point to it. The row maps this to Handbook Appendix 8; check which form UCD expects the signed contract on. Signing and dating makes the agreement visible to UCD if a problem arises later. The Reference sheet's Appendix 4 lesson applies directly: an 84-day log still waiting for countersignature is the position a same-day signature avoids.</t>
        </is>
      </c>
      <c r="H439" s="165" t="inlineStr">
        <is>
          <t>WATCH FOR — whether your supervisor treats signing as a formality at the end or as the moment the agreement becomes real, and whether they keep a copy themselves.
WRITE DOWN — the date signed, where each copy is held, and whether UCD needs a copy and by when (check the Handbook; do not assume).
ASK AFTERWARDS — 'have you ever had to go back to a signed contract with a trainee, and what did it settle?'</t>
        </is>
      </c>
      <c r="I439" s="165" t="inlineStr">
        <is>
          <t>YOU TAKE — preparing the final version with all agreed amendments incorporated, bringing two copies (or a signable digital version), and filing yours the same day.
THEY HOLD — their signature and their copy, and any service-level sign-off their line manager requires.
WHY THAT SPLIT — the administration is yours because you carry the consequence if it is missing. Any internal service approval is outside your reach.</t>
        </is>
      </c>
      <c r="J439" s="165" t="inlineStr">
        <is>
          <t>YOU RUN IT — close the contracting meeting by reading back the final terms, signing and dating it together, and confirming where the copies go, with your supervisor present.
WHAT THEY ARE WATCHING FOR — 'I'll sign it later' left open, undated signatures, a signed version that differs from what was agreed, and no copy kept.
STEPPING IN LOOKS LIKE — 'print it now and we'll both sign before you go — otherwise it'll sit in my inbox.'</t>
        </is>
      </c>
      <c r="K439" s="207" t="inlineStr">
        <is>
          <t>YOU DO IT ALONE — ensure every placement contract is signed and dated by both of you in the first week, in DD/MM/YYYY, with a copy filed where you and UCD can find it.
PASS TEST — It is signed
EVIDENCE TO FILE — the signed and dated contract in your placement folder; a supervision record for the session in which it was signed. Log against 7. Supervision.
WHAT FAILURE LOOKS LIKE — an unsigned Word document in your email drafts in March, when you need it to show what was agreed about the hour or the observations.</t>
        </is>
      </c>
      <c r="L439" s="165" t="inlineStr">
        <is>
          <t>YOU CAN TEACH IT — you can explain why signature and date matter (evidence, accountability, a fixed point for review), why the same-day habit applies to Appendix 4 and every other countersigned form, and why the contract should be revisited at the mid-placement review.
WHEN IT GOES WRONG — you can say what to do if it was never signed: get it signed now with the actual date, not backdated, and note in the record that it was signed late.</t>
        </is>
      </c>
      <c r="M439" s="224" t="inlineStr">
        <is>
          <t>Leaving the contract unsigned 'for later', so it cannot be relied on when it is needed.</t>
        </is>
      </c>
      <c r="N439" s="165" t="inlineStr">
        <is>
          <t>→ Feeds into 'Get them co-signed', 'Protect the hour', and the mid-placement review.</t>
        </is>
      </c>
      <c r="O439" s="225" t="inlineStr">
        <is>
          <t>Not started</t>
        </is>
      </c>
      <c r="P439" s="165" t="inlineStr">
        <is>
          <t>WATCH FOR — whether your supervisor treats signing as a formality at the end or as the moment the agreement becomes real, and whether they keep a copy themselves.</t>
        </is>
      </c>
      <c r="Q439" s="139" t="inlineStr">
        <is>
          <t>Year 1</t>
        </is>
      </c>
      <c r="R439" s="226" t="inlineStr">
        <is>
          <t>26/10/2026</t>
        </is>
      </c>
      <c r="S439" s="226" t="inlineStr">
        <is>
          <t>16/11/2026</t>
        </is>
      </c>
      <c r="T439" s="226" t="inlineStr">
        <is>
          <t>14/12/2026</t>
        </is>
      </c>
      <c r="U439" s="139" t="inlineStr">
        <is>
          <t>Signed contract · supervision records (Appendix 8) · Log sheet tagged 7. Supervision</t>
        </is>
      </c>
    </row>
    <row r="440" outlineLevel="2" ht="19.5" customHeight="1" s="128">
      <c r="A440" s="219" t="inlineStr">
        <is>
          <t>MACRO SKILL</t>
        </is>
      </c>
      <c r="B440" s="219" t="inlineStr">
        <is>
          <t>7. Supervision</t>
        </is>
      </c>
      <c r="C440" s="219" t="inlineStr">
        <is>
          <t>Take the weekly supervision hour</t>
        </is>
      </c>
      <c r="D440" s="219" t="n"/>
      <c r="E440" s="219" t="inlineStr">
        <is>
          <t>1 blocks · 3 micro-skills</t>
        </is>
      </c>
      <c r="F440" s="219" t="inlineStr">
        <is>
          <t>Handbook §6 · PSI Accred 3.3.9</t>
        </is>
      </c>
      <c r="G440" s="219" t="n"/>
      <c r="H440" s="219" t="n"/>
      <c r="I440" s="219" t="n"/>
      <c r="J440" s="219" t="n"/>
      <c r="K440" s="219" t="n"/>
      <c r="L440" s="219" t="n"/>
      <c r="M440" s="219" t="n"/>
      <c r="N440" s="219" t="n"/>
      <c r="O440" s="219" t="n"/>
      <c r="P440" s="219" t="n"/>
      <c r="Q440" s="219" t="inlineStr">
        <is>
          <t>Year 1</t>
        </is>
      </c>
      <c r="R440" s="219" t="n"/>
      <c r="S440" s="219" t="n"/>
      <c r="T440" s="219" t="n"/>
      <c r="U440" s="219" t="n"/>
    </row>
    <row r="441" outlineLevel="2" ht="43.5" customHeight="1" s="128">
      <c r="A441" s="220" t="inlineStr">
        <is>
          <t>BLOCK</t>
        </is>
      </c>
      <c r="B441" s="220" t="inlineStr">
        <is>
          <t>7. Supervision</t>
        </is>
      </c>
      <c r="C441" s="220" t="inlineStr">
        <is>
          <t>Take the weekly supervision hour</t>
        </is>
      </c>
      <c r="D441" s="221" t="inlineStr">
        <is>
          <t>Block 1 · Protecting it</t>
        </is>
      </c>
      <c r="E441" s="222" t="inlineStr">
        <is>
          <t>Treating the hour as fixed rather than movable.</t>
        </is>
      </c>
      <c r="F441" s="220" t="inlineStr">
        <is>
          <t>Habit · Ongoing all year</t>
        </is>
      </c>
      <c r="G441" s="220" t="n"/>
      <c r="H441" s="220" t="n"/>
      <c r="I441" s="220" t="n"/>
      <c r="J441" s="220" t="n"/>
      <c r="K441" s="220" t="n"/>
      <c r="L441" s="220" t="n"/>
      <c r="M441" s="222" t="n"/>
      <c r="N441" s="220" t="n"/>
      <c r="O441" s="220" t="n"/>
      <c r="P441" s="220" t="inlineStr">
        <is>
          <t>How you build it: Put it in the calendar as unavailable. Defend it twice and it stops being questioned.</t>
        </is>
      </c>
      <c r="Q441" s="220" t="n"/>
      <c r="R441" s="220" t="n"/>
      <c r="S441" s="220" t="n"/>
      <c r="T441" s="220" t="n"/>
      <c r="U441" s="220" t="n"/>
    </row>
    <row r="442" outlineLevel="2" ht="120" customHeight="1" s="128">
      <c r="A442" s="139" t="inlineStr">
        <is>
          <t>MICRO-SKILL</t>
        </is>
      </c>
      <c r="B442" s="139" t="inlineStr">
        <is>
          <t>7. Supervision</t>
        </is>
      </c>
      <c r="C442" s="139" t="inlineStr">
        <is>
          <t>Take the weekly supervision hour</t>
        </is>
      </c>
      <c r="D442" s="139" t="inlineStr">
        <is>
          <t>Block 1 · Protecting it</t>
        </is>
      </c>
      <c r="E442" s="223" t="inlineStr">
        <is>
          <t>Protect the hour</t>
        </is>
      </c>
      <c r="F442" s="139" t="inlineStr">
        <is>
          <t>PSI Accred 3.3.9</t>
        </is>
      </c>
      <c r="G442" s="227" t="inlineStr">
        <is>
          <t>The Reference sheet calls the weekly hour the single most protective thing in the placement and the first to disappear. It is where you find out what you did not know you did not know. PSI Accreditation 3.3.9 is mapped here. The hour goes by small erosions, and each one feels reasonable; a trainee who does not guard it structurally will find in December that it has not been happening and nobody said so.</t>
        </is>
      </c>
      <c r="H442" s="165" t="inlineStr">
        <is>
          <t>WATCH FOR — what your supervisor does to keep the hour intact: phone off, door closed, not taking calls, starting on time. Notice what they treat as a legitimate reason to interrupt it (a child protection matter) and what they defer.
WRITE DOWN — for each week, whether the hour happened, its actual length, and anything that cut into it.
ASK AFTERWARDS — 'what's the thing that most often takes supervision time away from you, and how do you stop it?'</t>
        </is>
      </c>
      <c r="I442" s="165" t="inlineStr">
        <is>
          <t>YOU TAKE — keeping the recurring calendar entry, confirming the room, arriving on time with the agenda sent, and rebooking at once when it moves.
THEY HOLD — deciding whether a genuine emergency overrides the hour on the day.
WHY THAT SPLIT — most of protecting the hour is logistics, and a trainee who manages them removes most of the reasons it slips. Judging a service emergency requires authority and information you do not have.</t>
        </is>
      </c>
      <c r="J442" s="165" t="inlineStr">
        <is>
          <t>YOU RUN IT — manage the weekly hour yourself: calendar, room, agenda, start and finish, with your supervisor attending.
WHAT THEY ARE WATCHING FOR — accepting moves without rebooking, letting it become the last slot of the day, and filling it with updates that could have been an email so it feels dispensable.
STEPPING IN LOOKS LIKE — 'we've moved this three times — let's find a slot we can both actually keep.'</t>
        </is>
      </c>
      <c r="K442" s="207" t="inlineStr">
        <is>
          <t>YOU DO IT ALONE — keep the hour happening weekly across the placement, rebook within the week when it moves, and keep it for supervision rather than case management.
PASS TEST — It happened
EVIDENCE TO FILE — a supervision record for every session held, with date and duration; rescheduled sessions noted. Log against 7. Supervision.
WHAT FAILURE LOOKS LIKE — records for six sessions in an eleven-week placement, with no note of why the others did not happen.</t>
        </is>
      </c>
      <c r="L442" s="165" t="inlineStr">
        <is>
          <t>YOU CAN TEACH IT — you can explain how the hour erodes (moved, shortened, merged into a journey), the structural protections that stop it, and why keeping it is part of ethical practice rather than a personal preference.
WHEN IT GOES WRONG — you can say what to do when it has lapsed: count the missed sessions with dates, raise it functionally at the next contact, and agree a make-up plan in writing.</t>
        </is>
      </c>
      <c r="M442" s="224" t="inlineStr">
        <is>
          <t>Letting the hour move, shrink or merge into other contact without rebooking it.</t>
        </is>
      </c>
      <c r="N442" s="165" t="inlineStr">
        <is>
          <t>→ Feeds into 'Raise it if it slips twice', 'Complete a record for every session', and 'Keep to 30 minutes per placement day cumulatively'.</t>
        </is>
      </c>
      <c r="O442" s="225" t="inlineStr">
        <is>
          <t>Not started</t>
        </is>
      </c>
      <c r="P442" s="165" t="inlineStr">
        <is>
          <t>WATCH FOR — what your supervisor does to keep the hour intact: phone off, door closed, not taking calls, starting on time. Notice what they treat as a legitimate reason to interrupt it (a child protection matter) and what they defer.</t>
        </is>
      </c>
      <c r="Q442" s="139" t="inlineStr">
        <is>
          <t>Year 1</t>
        </is>
      </c>
      <c r="R442" s="226" t="inlineStr">
        <is>
          <t>26/10/2026</t>
        </is>
      </c>
      <c r="S442" s="226" t="inlineStr">
        <is>
          <t>16/11/2026</t>
        </is>
      </c>
      <c r="T442" s="226" t="inlineStr">
        <is>
          <t>14/12/2026</t>
        </is>
      </c>
      <c r="U442" s="139" t="inlineStr">
        <is>
          <t>Supervision records (Appendix 8) · calendar · Log sheet tagged 7. Supervision</t>
        </is>
      </c>
    </row>
    <row r="443" outlineLevel="2" ht="120" customHeight="1" s="128">
      <c r="A443" s="139" t="inlineStr">
        <is>
          <t>MICRO-SKILL</t>
        </is>
      </c>
      <c r="B443" s="139" t="inlineStr">
        <is>
          <t>7. Supervision</t>
        </is>
      </c>
      <c r="C443" s="139" t="inlineStr">
        <is>
          <t>Take the weekly supervision hour</t>
        </is>
      </c>
      <c r="D443" s="139" t="inlineStr">
        <is>
          <t>Block 1 · Protecting it</t>
        </is>
      </c>
      <c r="E443" s="223" t="inlineStr">
        <is>
          <t>Raise it if it slips twice</t>
        </is>
      </c>
      <c r="F443" s="139" t="inlineStr">
        <is>
          <t>PSI Accred 3.3.9</t>
        </is>
      </c>
      <c r="G443" s="227" t="inlineStr">
        <is>
          <t>The Reference sheet's rule: cancelled twice in a row is a pattern, and you name it at the next session. PSI Accreditation 3.3.9 makes supervision a requirement of the programme, not a courtesy; read the standard so you can say so accurately. Supervision can be insufficient without anyone behaving badly — a stretched service, a supervisor across too many schools. Trainees often decide the shortfall is their fault for needing too much and wait until the end, when nothing can be fixed.</t>
        </is>
      </c>
      <c r="H443" s="165" t="inlineStr">
        <is>
          <t>WATCH FOR — how your supervisor responds when a pattern is named: whether they treat it as information to act on or as criticism. Notice how they talk about supervision shortfalls in their own work, if they do.
WRITE DOWN — dates of the sessions that did not happen, the reason if given, and what was agreed when you raised it.
ASK AFTERWARDS — 'if supervision started slipping with a trainee, how would you want them to tell you?'</t>
        </is>
      </c>
      <c r="I443" s="165" t="inlineStr">
        <is>
          <t>YOU TAKE — keeping the count, and raising it yourself in functional terms at the next contact: 'we've had two of the last four sessions — can we look at how to protect it?'
THEY HOLD — the fix inside the service, and any conversation with their manager about capacity.
WHY THAT SPLIT — you are the person who notices first and whose placement depends on it. The remedy often sits with workload and staffing, which only the supervisor can address.</t>
        </is>
      </c>
      <c r="J443" s="165" t="inlineStr">
        <is>
          <t>YOU RUN IT — raise the slippage at the start of the next session, with dates, and propose a remedy, with your supervisor responding.
WHAT THEY ARE WATCHING FOR — apologising for raising it, framing it as a complaint about them rather than a problem to solve together, or not naming the standard at all.
STEPPING IN LOOKS LIKE — 'thanks for saying it — you're right, and it's a requirement. Let's book the next four now.'</t>
        </is>
      </c>
      <c r="K443" s="207" t="inlineStr">
        <is>
          <t>YOU DO IT ALONE — raise any second consecutive miss at the next contact, calmly, with dates and the standard; if it does not change, contact UCD placement staff through the route the Handbook sets out (read §6.4.3 for the route yourself).
PASS TEST — It is a requirement, not a courtesy
EVIDENCE TO FILE — supervision records noting the missed dates and the conversation; any email to UCD kept. Log against 7. Supervision.
WHAT FAILURE LOOKS LIKE — telling your tutor at the end-of-placement review that supervision 'hadn't really happened since November'.</t>
        </is>
      </c>
      <c r="L443" s="165" t="inlineStr">
        <is>
          <t>YOU CAN TEACH IT — you can explain why the second miss is the trigger, how to raise it without blame, why using the UCD route is not disloyalty (the Reference sheet's point), and why waiting harms the children on your caseload as well as you.
WHEN IT GOES WRONG — you can say what to do when raising it changes nothing: document, contact UCD, and keep practising safely — which may mean holding back from new complex work until supervision is back.</t>
        </is>
      </c>
      <c r="M443" s="224" t="inlineStr">
        <is>
          <t>Deciding a supervision shortfall is your fault for needing too much, and saying nothing until the end.</t>
        </is>
      </c>
      <c r="N443" s="165" t="inlineStr">
        <is>
          <t>→ Feeds into 'Keep to 30 minutes per placement day cumulatively', 6. Ethical Practice (working within competence), and the mid-placement review.</t>
        </is>
      </c>
      <c r="O443" s="225" t="inlineStr">
        <is>
          <t>Not started</t>
        </is>
      </c>
      <c r="P443" s="165" t="inlineStr">
        <is>
          <t>WATCH FOR — how your supervisor responds when a pattern is named: whether they treat it as information to act on or as criticism. Notice how they talk about supervision shortfalls in their own work, if they do.</t>
        </is>
      </c>
      <c r="Q443" s="139" t="inlineStr">
        <is>
          <t>Year 1</t>
        </is>
      </c>
      <c r="R443" s="226" t="inlineStr">
        <is>
          <t>26/10/2026</t>
        </is>
      </c>
      <c r="S443" s="226" t="inlineStr">
        <is>
          <t>16/11/2026</t>
        </is>
      </c>
      <c r="T443" s="226" t="inlineStr">
        <is>
          <t>14/12/2026</t>
        </is>
      </c>
      <c r="U443" s="139" t="inlineStr">
        <is>
          <t>Supervision records (Appendix 8) · email trail · Log sheet tagged 7. Supervision</t>
        </is>
      </c>
    </row>
    <row r="444" outlineLevel="2" ht="120" customHeight="1" s="128">
      <c r="A444" s="139" t="inlineStr">
        <is>
          <t>MICRO-SKILL</t>
        </is>
      </c>
      <c r="B444" s="139" t="inlineStr">
        <is>
          <t>7. Supervision</t>
        </is>
      </c>
      <c r="C444" s="139" t="inlineStr">
        <is>
          <t>Take the weekly supervision hour</t>
        </is>
      </c>
      <c r="D444" s="139" t="inlineStr">
        <is>
          <t>Block 1 · Protecting it</t>
        </is>
      </c>
      <c r="E444" s="223" t="inlineStr">
        <is>
          <t>Keep to 30 minutes per placement day cumulatively</t>
        </is>
      </c>
      <c r="F444" s="139" t="inlineStr">
        <is>
          <t>PSI Accred 3.3.9</t>
        </is>
      </c>
      <c r="G444" s="227" t="inlineStr">
        <is>
          <t>The Reference sheet summarises PSI Accreditation 3.3.9 as thirty minutes per placement day; read the standard itself. At four days a week that is two hours weekly: the formal hour plus an hour of informal contact — corridor conversations, a call after a difficult visit, a joint drive to a school. The informal hour is real supervision but only counts if it is logged. At the end of placement the log is the evidence the standard was met.</t>
        </is>
      </c>
      <c r="H444" s="165" t="inlineStr">
        <is>
          <t>WATCH FOR — the informal supervision that happens around the formal hour: advice in the car, a phone call after a feedback meeting, a quick check before a consultation. Notice how much of your learning happens there.
WRITE DOWN — each informal contact the same day: date, minutes, format, topic in a line.
ASK AFTERWARDS — 'would you count that conversation in the car as supervision? What would make it count?'</t>
        </is>
      </c>
      <c r="I444" s="165" t="inlineStr">
        <is>
          <t>YOU TAKE — keeping a running cumulative total: placement days to date × 30 minutes against minutes logged, formal and informal, updated weekly.
THEY HOLD — agreement that a given informal contact was supervision, confirmed by their countersignature on the records.
WHY THAT SPLIT — the arithmetic is yours and takes a minute a week. Only the supervisor can confirm that a conversation was supervision rather than chat, which is why records need their signature.</t>
        </is>
      </c>
      <c r="J444" s="165" t="inlineStr">
        <is>
          <t>YOU RUN IT — bring the running total to supervision monthly and state where it stands, with your supervisor checking it against their own recollection.
WHAT THEY ARE WATCHING FOR — counting every conversation generously, or the opposite — logging only the formal hour and showing a shortfall that did not exist.
STEPPING IN LOOKS LIKE — 'that phone call was ten minutes of logistics, not supervision — don't count it. The drive to the school was, though.'</t>
        </is>
      </c>
      <c r="K444" s="207" t="inlineStr">
        <is>
          <t>YOU DO IT ALONE — keep a cumulative total from day one, know at any point whether you are ahead or behind, and act before the gap is too big to close.
PASS TEST — You track the total
EVIDENCE TO FILE — supervision records for formal and informal contact with minutes; a running total you can show on request. Log against 7. Supervision.
WHAT FAILURE LOOKS LIKE — an end-of-placement claim that the standard was met, with records showing only the formal hours and no way to evidence the rest.</t>
        </is>
      </c>
      <c r="L444" s="165" t="inlineStr">
        <is>
          <t>YOU CAN TEACH IT — you can explain how to calculate the requirement for any days-per-week pattern, what informal contact legitimately counts, and why the record rather than the memory is what evidences the standard.
WHEN IT GOES WRONG — you can say what to do if the total falls behind: show the figures, propose added sessions, and raise it early through 'Raise it if it slips twice' rather than at the final review.</t>
        </is>
      </c>
      <c r="M444" s="224" t="inlineStr">
        <is>
          <t>Not logging the informal contact, then being unable to show the standard was met.</t>
        </is>
      </c>
      <c r="N444" s="165" t="inlineStr">
        <is>
          <t>→ Feeds into 'Complete a record for every session', 'Get them co-signed', and the end-of-placement review.</t>
        </is>
      </c>
      <c r="O444" s="225" t="inlineStr">
        <is>
          <t>Not started</t>
        </is>
      </c>
      <c r="P444" s="165" t="inlineStr">
        <is>
          <t>WATCH FOR — the informal supervision that happens around the formal hour: advice in the car, a phone call after a feedback meeting, a quick check before a consultation. Notice how much of your learning happens there.</t>
        </is>
      </c>
      <c r="Q444" s="139" t="inlineStr">
        <is>
          <t>Year 1</t>
        </is>
      </c>
      <c r="R444" s="226" t="inlineStr">
        <is>
          <t>26/10/2026</t>
        </is>
      </c>
      <c r="S444" s="226" t="inlineStr">
        <is>
          <t>16/11/2026</t>
        </is>
      </c>
      <c r="T444" s="226" t="inlineStr">
        <is>
          <t>14/12/2026</t>
        </is>
      </c>
      <c r="U444" s="139" t="inlineStr">
        <is>
          <t>Supervision records with minutes (Appendix 8) · running total · Log sheet tagged 7. Supervision</t>
        </is>
      </c>
    </row>
    <row r="445" outlineLevel="2" ht="19.5" customHeight="1" s="128">
      <c r="A445" s="219" t="inlineStr">
        <is>
          <t>MACRO SKILL</t>
        </is>
      </c>
      <c r="B445" s="219" t="inlineStr">
        <is>
          <t>7. Supervision</t>
        </is>
      </c>
      <c r="C445" s="219" t="inlineStr">
        <is>
          <t>Prepare and send an agenda in advance</t>
        </is>
      </c>
      <c r="D445" s="219" t="n"/>
      <c r="E445" s="219" t="inlineStr">
        <is>
          <t>2 blocks · 4 micro-skills</t>
        </is>
      </c>
      <c r="F445" s="219" t="inlineStr">
        <is>
          <t>Handbook §6.2 · CORU 4.3</t>
        </is>
      </c>
      <c r="G445" s="219" t="n"/>
      <c r="H445" s="219" t="n"/>
      <c r="I445" s="219" t="n"/>
      <c r="J445" s="219" t="n"/>
      <c r="K445" s="219" t="n"/>
      <c r="L445" s="219" t="n"/>
      <c r="M445" s="219" t="n"/>
      <c r="N445" s="219" t="n"/>
      <c r="O445" s="219" t="n"/>
      <c r="P445" s="219" t="n"/>
      <c r="Q445" s="219" t="inlineStr">
        <is>
          <t>Year 1</t>
        </is>
      </c>
      <c r="R445" s="219" t="n"/>
      <c r="S445" s="219" t="n"/>
      <c r="T445" s="219" t="n"/>
      <c r="U445" s="219" t="n"/>
    </row>
    <row r="446" outlineLevel="2" ht="43.5" customHeight="1" s="128">
      <c r="A446" s="220" t="inlineStr">
        <is>
          <t>BLOCK</t>
        </is>
      </c>
      <c r="B446" s="220" t="inlineStr">
        <is>
          <t>7. Supervision</t>
        </is>
      </c>
      <c r="C446" s="220" t="inlineStr">
        <is>
          <t>Prepare and send an agenda in advance</t>
        </is>
      </c>
      <c r="D446" s="221" t="inlineStr">
        <is>
          <t>Block 1 · The habit</t>
        </is>
      </c>
      <c r="E446" s="222" t="inlineStr">
        <is>
          <t>Sending three items the day before, every week.</t>
        </is>
      </c>
      <c r="F446" s="220" t="inlineStr">
        <is>
          <t>15 minutes weekly · Weeks 1–2</t>
        </is>
      </c>
      <c r="G446" s="220" t="n"/>
      <c r="H446" s="220" t="n"/>
      <c r="I446" s="220" t="n"/>
      <c r="J446" s="220" t="n"/>
      <c r="K446" s="220" t="n"/>
      <c r="L446" s="220" t="n"/>
      <c r="M446" s="222" t="n"/>
      <c r="N446" s="220" t="n"/>
      <c r="O446" s="220" t="n"/>
      <c r="P446" s="220" t="inlineStr">
        <is>
          <t>How you build it: Recurring calendar reminder. It is administration, not skill.</t>
        </is>
      </c>
      <c r="Q446" s="220" t="n"/>
      <c r="R446" s="220" t="n"/>
      <c r="S446" s="220" t="n"/>
      <c r="T446" s="220" t="n"/>
      <c r="U446" s="220" t="n"/>
    </row>
    <row r="447" outlineLevel="2" ht="120" customHeight="1" s="128">
      <c r="A447" s="139" t="inlineStr">
        <is>
          <t>MICRO-SKILL</t>
        </is>
      </c>
      <c r="B447" s="139" t="inlineStr">
        <is>
          <t>7. Supervision</t>
        </is>
      </c>
      <c r="C447" s="139" t="inlineStr">
        <is>
          <t>Prepare and send an agenda in advance</t>
        </is>
      </c>
      <c r="D447" s="139" t="inlineStr">
        <is>
          <t>Block 1 · The habit</t>
        </is>
      </c>
      <c r="E447" s="223" t="inlineStr">
        <is>
          <t>Send it the day before</t>
        </is>
      </c>
      <c r="F447" s="139" t="inlineStr">
        <is>
          <t>Handbook §6.2</t>
        </is>
      </c>
      <c r="G447" s="227" t="inlineStr">
        <is>
          <t>An agenda sent the day before means your supervisor arrives having thought about your questions, and the hour starts at the substance. Sending it as you walk in removes the only benefit, as the Reference sheet notes. It also leaves a dated, searchable record of what you raised and when, which matters if a concern later turns out to have been raised early. Handbook §6.2 is mapped here; read it for UCD's expectation. Carroll (2014) places this responsibility with the supervisee.</t>
        </is>
      </c>
      <c r="H447" s="165" t="inlineStr">
        <is>
          <t>WATCH FOR — how your supervisor uses an agenda that arrives in advance: do they come with a view, a resource, or a question back? Compare a session where they had it the day before with one where they saw it on arrival.
WRITE DOWN — when you sent it, whether they had read it, and what difference it made to the first ten minutes.
ASK AFTERWARDS — 'is the day before enough notice for you, or would another time work better for you to think about it?'</t>
        </is>
      </c>
      <c r="I447" s="165" t="inlineStr">
        <is>
          <t>YOU TAKE — writing and sending the agenda by email at a fixed time the day before, every week, as a fifteen-minute habit.
THEY HOLD — adding their own items, and deciding whether anything on yours needs to move earlier (a risk item should not wait for Tuesday).
WHY THAT SPLIT — the habit is entirely yours. The supervisor may know that an item needs action sooner than the hour, and advance notice gives them the chance to say so.</t>
        </is>
      </c>
      <c r="J447" s="165" t="inlineStr">
        <is>
          <t>YOU RUN IT — send the agenda the day before each session for several weeks, with your supervisor responding by email or at the start of the session.
WHAT THEY ARE WATCHING FOR — agendas that drift to the morning of the session, then to arrival; and urgent items (a safeguarding concern) held for the agenda when they needed action that day.
STEPPING IN LOOKS LIKE — 'item two shouldn't have waited for supervision — ring me the same day next time.'</t>
        </is>
      </c>
      <c r="K447" s="207" t="inlineStr">
        <is>
          <t>YOU DO IT ALONE — send an agenda the day before every supervision session, at a regular time, by email so it is timestamped, and act on anything urgent immediately rather than parking it.
PASS TEST — In advance, not on arrival
EVIDENCE TO FILE — the sent agendas in a dedicated email folder; agenda items reflected in the supervision record. Log against 7. Supervision.
WHAT FAILURE LOOKS LIKE — an agenda typed on your phone in the car park, which your supervisor reads for the first time while you wait.</t>
        </is>
      </c>
      <c r="L447" s="165" t="inlineStr">
        <is>
          <t>YOU CAN TEACH IT — you can explain why advance notice changes the quality of the hour, why email beats a verbal list (timestamp, record), and where the line sits between an agenda item and something that needs action now.
WHEN IT GOES WRONG — you can say what to do in a week you miss it: send a short agenda as early as you can, and never hold a child protection concern for supervision — report to Tusla as soon as practicable, then bring it.</t>
        </is>
      </c>
      <c r="M447" s="224" t="inlineStr">
        <is>
          <t>Sending the agenda as you walk in, which removes the only benefit.</t>
        </is>
      </c>
      <c r="N447" s="165" t="inlineStr">
        <is>
          <t>→ Feeds into 'Keep it to three items', 'Update on actions agreed last time', and 'Record topics, actions and who does what'.</t>
        </is>
      </c>
      <c r="O447" s="225" t="inlineStr">
        <is>
          <t>Not started</t>
        </is>
      </c>
      <c r="P447" s="165" t="inlineStr">
        <is>
          <t>WATCH FOR — how your supervisor uses an agenda that arrives in advance: do they come with a view, a resource, or a question back? Compare a session where they had it the day before with one where they saw it on arrival.</t>
        </is>
      </c>
      <c r="Q447" s="139" t="inlineStr">
        <is>
          <t>Year 1</t>
        </is>
      </c>
      <c r="R447" s="226" t="inlineStr">
        <is>
          <t>26/10/2026</t>
        </is>
      </c>
      <c r="S447" s="226" t="inlineStr">
        <is>
          <t>16/11/2026</t>
        </is>
      </c>
      <c r="T447" s="226" t="inlineStr">
        <is>
          <t>14/12/2026</t>
        </is>
      </c>
      <c r="U447" s="139" t="inlineStr">
        <is>
          <t>Sent agenda emails · supervision records (Appendix 8) · Log sheet tagged 7. Supervision</t>
        </is>
      </c>
    </row>
    <row r="448" outlineLevel="2" ht="120" customHeight="1" s="128">
      <c r="A448" s="139" t="inlineStr">
        <is>
          <t>MICRO-SKILL</t>
        </is>
      </c>
      <c r="B448" s="139" t="inlineStr">
        <is>
          <t>7. Supervision</t>
        </is>
      </c>
      <c r="C448" s="139" t="inlineStr">
        <is>
          <t>Prepare and send an agenda in advance</t>
        </is>
      </c>
      <c r="D448" s="139" t="inlineStr">
        <is>
          <t>Block 1 · The habit</t>
        </is>
      </c>
      <c r="E448" s="223" t="inlineStr">
        <is>
          <t>Keep it to three items</t>
        </is>
      </c>
      <c r="F448" s="139" t="inlineStr">
        <is>
          <t>Handbook §6.2</t>
        </is>
      </c>
      <c r="G448" s="227" t="inlineStr">
        <is>
          <t>The Reference sheet: an hour holds roughly three substantive items, not eight. Ten items turn supervision into a list read aloud and push the difficult item off the end. Good items share a shape — you have already thought about them and got stuck — and priority order means that if time runs out, you lose the least important thing. Handbook §6.2 is mapped here. Case updates that could be an email should be an email.</t>
        </is>
      </c>
      <c r="H448" s="165" t="inlineStr">
        <is>
          <t>WATCH FOR — how long a single substantive item actually takes in your supervisor's sessions, and what happens to the items at the bottom of a long list.
WRITE DOWN — for each session, how many items were covered in depth, and which were rushed or dropped.
ASK AFTERWARDS — 'when a trainee brings a long list, which items do you wish they'd sent by email instead?'</t>
        </is>
      </c>
      <c r="I448" s="165" t="inlineStr">
        <is>
          <t>YOU TAKE — choosing three items the day before: one case you are stuck on, one thing you did that you are unsure about, one forward-looking item — each a line, in priority order, with updates moved to email.
THEY HOLD — the right to reorder or swap an item if something more pressing needs the time.
WHY THAT SPLIT — selection is the skill you are building. The supervisor may see a risk or priority you cannot, which is a reason to let them move items, not to add more.</t>
        </is>
      </c>
      <c r="J448" s="165" t="inlineStr">
        <is>
          <t>YOU RUN IT — bring a three-item agenda each week and keep the session to it, with your supervisor following your lead.
WHAT THEY ARE WATCHING FOR — items that are status updates ('case update'), items with no thinking behind them, and a list that quietly grows back to six.
STEPPING IN LOOKS LIKE — 'what's the actual question on item one? Tell me the two options you're stuck between.'</t>
        </is>
      </c>
      <c r="K448" s="207" t="inlineStr">
        <is>
          <t>YOU DO IT ALONE — produce a focused agenda every week: three items, each showing your prior thinking and the question you want answered, updates handled elsewhere.
PASS TEST — Focused
EVIDENCE TO FILE — the sent agendas; supervision records showing each item discussed in depth, with cases identified by reference number only. Log against 7. Supervision.
WHAT FAILURE LOOKS LIKE — an eight-item agenda where item eight, the one you were worried about, is 'if we have time' and never happens.</t>
        </is>
      </c>
      <c r="L448" s="165" t="inlineStr">
        <is>
          <t>YOU CAN TEACH IT — you can explain the three-item shape, how to turn 'case update' into a real question ('two competing formulations — which does the data support?'), and why the limit is what protects the difficult item.
WHEN IT GOES WRONG — you can say what to do when more than three things genuinely need supervision: prioritise, email the rest, and ask for extra time rather than squeezing.</t>
        </is>
      </c>
      <c r="M448" s="224" t="inlineStr">
        <is>
          <t>Bringing a long list of status updates so the hour becomes a list read aloud.</t>
        </is>
      </c>
      <c r="N448" s="165" t="inlineStr">
        <is>
          <t>→ Feeds into 'Include at least one thing that went badly', 'Record topics, actions and who does what', and 7. Supervision.</t>
        </is>
      </c>
      <c r="O448" s="225" t="inlineStr">
        <is>
          <t>Not started</t>
        </is>
      </c>
      <c r="P448" s="165" t="inlineStr">
        <is>
          <t>WATCH FOR — how long a single substantive item actually takes in your supervisor's sessions, and what happens to the items at the bottom of a long list.</t>
        </is>
      </c>
      <c r="Q448" s="139" t="inlineStr">
        <is>
          <t>Year 1</t>
        </is>
      </c>
      <c r="R448" s="226" t="inlineStr">
        <is>
          <t>26/10/2026</t>
        </is>
      </c>
      <c r="S448" s="226" t="inlineStr">
        <is>
          <t>16/11/2026</t>
        </is>
      </c>
      <c r="T448" s="226" t="inlineStr">
        <is>
          <t>14/12/2026</t>
        </is>
      </c>
      <c r="U448" s="139" t="inlineStr">
        <is>
          <t>Sent agenda emails · supervision records (Appendix 8) · Log sheet tagged 7. Supervision</t>
        </is>
      </c>
    </row>
    <row r="449" outlineLevel="2" ht="120" customHeight="1" s="128">
      <c r="A449" s="139" t="inlineStr">
        <is>
          <t>MICRO-SKILL</t>
        </is>
      </c>
      <c r="B449" s="139" t="inlineStr">
        <is>
          <t>7. Supervision</t>
        </is>
      </c>
      <c r="C449" s="139" t="inlineStr">
        <is>
          <t>Prepare and send an agenda in advance</t>
        </is>
      </c>
      <c r="D449" s="139" t="inlineStr">
        <is>
          <t>Block 1 · The habit</t>
        </is>
      </c>
      <c r="E449" s="223" t="inlineStr">
        <is>
          <t>Update on actions agreed last time</t>
        </is>
      </c>
      <c r="F449" s="139" t="inlineStr">
        <is>
          <t>Handbook §6.2</t>
        </is>
      </c>
      <c r="G449" s="227" t="inlineStr">
        <is>
          <t>The Reference sheet: end the agenda with last week's actions and their status, in two lines. It makes the sessions cumulative rather than a series of unconnected hours, and it produces the record of change that your reflections and the reflective essay draw on. Handbook §6.2 is mapped here. Without the loop, actions agreed in supervision quietly lapse, and the same problem returns three weeks later as if new.</t>
        </is>
      </c>
      <c r="H449" s="165" t="inlineStr">
        <is>
          <t>WATCH FOR — whether your supervisor refers back to what was agreed last time, and how they respond when an action was not done — curiosity about why, or moving on.
WRITE DOWN — the actions from each session in a running list with owner and due date, and their status the following week.
ASK AFTERWARDS — 'when an action from supervision doesn't get done, what does that usually tell you?'</t>
        </is>
      </c>
      <c r="I449" s="165" t="inlineStr">
        <is>
          <t>YOU TAKE — keeping the running action list, and adding a short 'Last time' section to each agenda: action, owner, done / partly / not, and one line on why.
THEY HOLD — their own actions (a resource, a phone call, a decision) and accountability for those.
WHY THAT SPLIT — the tracking is yours because it is your development being recorded. The supervisor's actions stay theirs, but listing them keeps both sides honest.</t>
        </is>
      </c>
      <c r="J449" s="165" t="inlineStr">
        <is>
          <t>YOU RUN IT — open or close each session with the action update, spending no more than a few minutes on it, with your supervisor listening.
WHAT THEY ARE WATCHING FOR — actions marked 'done' that were half done, undone actions carried forward week after week without comment, and actions too vague to judge.
STEPPING IN LOOKS LIKE — 'that's been on the list three weeks — what's actually in the way?'</t>
        </is>
      </c>
      <c r="K449" s="207" t="inlineStr">
        <is>
          <t>YOU DO IT ALONE — carry every action from one session into the next agenda, report its status honestly, and treat a repeatedly undone action as an item worth discussing.
PASS TEST — You closed the loop
EVIDENCE TO FILE — agendas with a 'Last time' section; supervision records whose actions match the next agenda. Log against 7. Supervision.
WHAT FAILURE LOOKS LIKE — a term of records with actions that are never mentioned again, so no one can tell what changed as a result of supervision.</t>
        </is>
      </c>
      <c r="L449" s="165" t="inlineStr">
        <is>
          <t>YOU CAN TEACH IT — you can explain why closing the loop makes supervision cumulative, how a run of action updates becomes evidence of development over the placement, and why a stuck action is information rather than failure.
WHEN IT GOES WRONG — you can say what to do when actions keep slipping: check whether they were too big, too vague, or the wrong action, and redesign them in the session.</t>
        </is>
      </c>
      <c r="M449" s="224" t="inlineStr">
        <is>
          <t>Never referring back to last week's actions, so nothing accumulates.</t>
        </is>
      </c>
      <c r="N449" s="165" t="inlineStr">
        <is>
          <t>→ Feeds into 'Record topics, actions and who does what', the reflective essay (hers to write), and the mid-placement review.</t>
        </is>
      </c>
      <c r="O449" s="225" t="inlineStr">
        <is>
          <t>Not started</t>
        </is>
      </c>
      <c r="P449" s="165" t="inlineStr">
        <is>
          <t>WATCH FOR — whether your supervisor refers back to what was agreed last time, and how they respond when an action was not done — curiosity about why, or moving on.</t>
        </is>
      </c>
      <c r="Q449" s="139" t="inlineStr">
        <is>
          <t>Year 1</t>
        </is>
      </c>
      <c r="R449" s="226" t="inlineStr">
        <is>
          <t>26/10/2026</t>
        </is>
      </c>
      <c r="S449" s="226" t="inlineStr">
        <is>
          <t>16/11/2026</t>
        </is>
      </c>
      <c r="T449" s="226" t="inlineStr">
        <is>
          <t>14/12/2026</t>
        </is>
      </c>
      <c r="U449" s="139" t="inlineStr">
        <is>
          <t>Agendas with action update · supervision records (Appendix 8) · Log sheet tagged 7. Supervision</t>
        </is>
      </c>
    </row>
    <row r="450" outlineLevel="2" ht="43.5" customHeight="1" s="128">
      <c r="A450" s="220" t="inlineStr">
        <is>
          <t>BLOCK</t>
        </is>
      </c>
      <c r="B450" s="220" t="inlineStr">
        <is>
          <t>7. Supervision</t>
        </is>
      </c>
      <c r="C450" s="220" t="inlineStr">
        <is>
          <t>Prepare and send an agenda in advance</t>
        </is>
      </c>
      <c r="D450" s="221" t="inlineStr">
        <is>
          <t>Block 2 · Choosing the right items</t>
        </is>
      </c>
      <c r="E450" s="222" t="inlineStr">
        <is>
          <t>Learning to bring what you are avoiding.</t>
        </is>
      </c>
      <c r="F450" s="220" t="inlineStr">
        <is>
          <t>Ongoing · Weeks 7–12</t>
        </is>
      </c>
      <c r="G450" s="220" t="n"/>
      <c r="H450" s="220" t="n"/>
      <c r="I450" s="220" t="n"/>
      <c r="J450" s="220" t="n"/>
      <c r="K450" s="220" t="n"/>
      <c r="L450" s="220" t="n"/>
      <c r="M450" s="222" t="n"/>
      <c r="N450" s="220" t="n"/>
      <c r="O450" s="220" t="n"/>
      <c r="P450" s="220" t="inlineStr">
        <is>
          <t>How you build it: Notice which case you did not mention. That is the one.</t>
        </is>
      </c>
      <c r="Q450" s="220" t="n"/>
      <c r="R450" s="220" t="n"/>
      <c r="S450" s="220" t="n"/>
      <c r="T450" s="220" t="n"/>
      <c r="U450" s="220" t="n"/>
    </row>
    <row r="451" outlineLevel="2" ht="120" customHeight="1" s="128">
      <c r="A451" s="139" t="inlineStr">
        <is>
          <t>MICRO-SKILL</t>
        </is>
      </c>
      <c r="B451" s="139" t="inlineStr">
        <is>
          <t>7. Supervision</t>
        </is>
      </c>
      <c r="C451" s="139" t="inlineStr">
        <is>
          <t>Prepare and send an agenda in advance</t>
        </is>
      </c>
      <c r="D451" s="139" t="inlineStr">
        <is>
          <t>Block 2 · Choosing the right items</t>
        </is>
      </c>
      <c r="E451" s="223" t="inlineStr">
        <is>
          <t>Include at least one thing that went badly</t>
        </is>
      </c>
      <c r="F451" s="139" t="inlineStr">
        <is>
          <t>CORU SoP 4.3 · PSI Code 4.1.2</t>
        </is>
      </c>
      <c r="G451" s="227" t="inlineStr">
        <is>
          <t>The Reference sheet: the item you are avoiding is almost always the highest-value item. CORU SoP 4.3 (reflecting critically on your own practice) and PSI Code 4.1.2 are mapped here — read both for their exact wording. Ladany, Hill, Corbett and Nutt (1996, Journal of Counseling Psychology) found supervisees commonly withhold material from supervisors, including clinical mistakes; read the paper for the figures. Unwritten, the difficult item will not survive the first twenty minutes.</t>
        </is>
      </c>
      <c r="H451" s="165" t="inlineStr">
        <is>
          <t>WATCH FOR — how your supervisor responds when you or another trainee brings a mistake: whether they get curious, reassure too fast, or move straight to fixing. Notice whether they ever describe something of their own that went badly.
WRITE DOWN — what made it easier or harder to raise, in your own notes only.
ASK AFTERWARDS — 'what's something that went badly early in your career that supervision helped you with?'</t>
        </is>
      </c>
      <c r="I451" s="165" t="inlineStr">
        <is>
          <t>YOU TAKE — putting one thing that went badly on the agenda in writing each week — a subtest mis-administered, a feedback meeting that landed badly, a decision you are unsure of — stated plainly without self-criticism.
THEY HOLD — deciding whether it needs action beyond supervision (correcting a report, contacting a family, reporting).
WHY THAT SPLIT — naming it is your responsibility and the core of reflective practice. Whether it has consequences for a client is a professional judgement the supervisor is accountable for.</t>
        </is>
      </c>
      <c r="J451" s="165" t="inlineStr">
        <is>
          <t>YOU RUN IT — raise the difficult item yourself, early in the session rather than at the end, with your supervisor responding.
WHAT THEY ARE WATCHING FOR — leaving it until the last five minutes, softening it until it is not recognisable, or only ever bringing minor errors while the real one stays off the list.
STEPPING IN LOOKS LIKE — 'let's take that one first — tell me exactly what happened, not what you should have done.'</t>
        </is>
      </c>
      <c r="K451" s="207" t="inlineStr">
        <is>
          <t>YOU DO IT ALONE — include at least one thing that went badly on every agenda, raise it without being prompted, and follow through on whatever it needs.
PASS TEST — Not only successes
EVIDENCE TO FILE — agendas showing the item; supervision records noting what was discussed and decided; your reflection on it (yours to write — prompts only here). Log against 7. Supervision and 6. Ethical Practice.
WHAT FAILURE LOOKS LIKE — a term of agendas that read like a success log, and a mid-placement review that raises a problem you never brought.</t>
        </is>
      </c>
      <c r="L451" s="165" t="inlineStr">
        <is>
          <t>YOU CAN TEACH IT — you can explain why non-disclosure undermines supervision (Ladany et al., 1996 — check the details in the source), why a written item is more likely to be raised, and how naming mistakes protects clients.
WHEN IT GOES WRONG — you can say what to do if something serious went badly — a missed safeguarding concern — act first (Tusla as soon as practicable; the DLP does not discharge your duty), then bring it; supervision follows action, never replaces it.</t>
        </is>
      </c>
      <c r="M451" s="224" t="inlineStr">
        <is>
          <t>Omitting the difficult item from the agenda and then not raising it.</t>
        </is>
      </c>
      <c r="N451" s="165" t="inlineStr">
        <is>
          <t>→ Feeds into 'Record any ethical dilemma using the seven steps', 6. Ethical Practice, and the reflective essay (hers to write).</t>
        </is>
      </c>
      <c r="O451" s="225" t="inlineStr">
        <is>
          <t>Not started</t>
        </is>
      </c>
      <c r="P451" s="165" t="inlineStr">
        <is>
          <t>WATCH FOR — how your supervisor responds when you or another trainee brings a mistake: whether they get curious, reassure too fast, or move straight to fixing. Notice whether they ever describe something of their own that went badly.</t>
        </is>
      </c>
      <c r="Q451" s="139" t="inlineStr">
        <is>
          <t>Year 1</t>
        </is>
      </c>
      <c r="R451" s="226" t="inlineStr">
        <is>
          <t>26/10/2026</t>
        </is>
      </c>
      <c r="S451" s="226" t="inlineStr">
        <is>
          <t>16/11/2026</t>
        </is>
      </c>
      <c r="T451" s="226" t="inlineStr">
        <is>
          <t>14/12/2026</t>
        </is>
      </c>
      <c r="U451" s="139" t="inlineStr">
        <is>
          <t>Agendas · supervision records (Appendix 8) · Log sheet tagged 7. Supervision and 6. Ethical Practice</t>
        </is>
      </c>
    </row>
    <row r="452" outlineLevel="2" ht="19.5" customHeight="1" s="128">
      <c r="A452" s="219" t="inlineStr">
        <is>
          <t>MACRO SKILL</t>
        </is>
      </c>
      <c r="B452" s="219" t="inlineStr">
        <is>
          <t>7. Supervision</t>
        </is>
      </c>
      <c r="C452" s="219" t="inlineStr">
        <is>
          <t>Keep supervision session records</t>
        </is>
      </c>
      <c r="D452" s="219" t="n"/>
      <c r="E452" s="219" t="inlineStr">
        <is>
          <t>3 blocks · 5 micro-skills</t>
        </is>
      </c>
      <c r="F452" s="219" t="inlineStr">
        <is>
          <t>Handbook Appendix 8 · §6.1</t>
        </is>
      </c>
      <c r="G452" s="219" t="n"/>
      <c r="H452" s="219" t="n"/>
      <c r="I452" s="219" t="n"/>
      <c r="J452" s="219" t="n"/>
      <c r="K452" s="219" t="n"/>
      <c r="L452" s="219" t="n"/>
      <c r="M452" s="219" t="n"/>
      <c r="N452" s="219" t="n"/>
      <c r="O452" s="219" t="n"/>
      <c r="P452" s="219" t="n"/>
      <c r="Q452" s="219" t="inlineStr">
        <is>
          <t>Year 1</t>
        </is>
      </c>
      <c r="R452" s="219" t="n"/>
      <c r="S452" s="219" t="n"/>
      <c r="T452" s="219" t="n"/>
      <c r="U452" s="219" t="n"/>
    </row>
    <row r="453" outlineLevel="2" ht="43.5" customHeight="1" s="128">
      <c r="A453" s="220" t="inlineStr">
        <is>
          <t>BLOCK</t>
        </is>
      </c>
      <c r="B453" s="220" t="inlineStr">
        <is>
          <t>7. Supervision</t>
        </is>
      </c>
      <c r="C453" s="220" t="inlineStr">
        <is>
          <t>Keep supervision session records</t>
        </is>
      </c>
      <c r="D453" s="221" t="inlineStr">
        <is>
          <t>Block 1 · The record itself</t>
        </is>
      </c>
      <c r="E453" s="222" t="inlineStr">
        <is>
          <t>What an Appendix 8 record must contain and how many you need.</t>
        </is>
      </c>
      <c r="F453" s="220" t="inlineStr">
        <is>
          <t>10 minutes per session · Weeks 1–2</t>
        </is>
      </c>
      <c r="G453" s="220" t="n"/>
      <c r="H453" s="220" t="n"/>
      <c r="I453" s="220" t="n"/>
      <c r="J453" s="220" t="n"/>
      <c r="K453" s="220" t="n"/>
      <c r="L453" s="220" t="n"/>
      <c r="M453" s="222" t="n"/>
      <c r="N453" s="220" t="n"/>
      <c r="O453" s="220" t="n"/>
      <c r="P453" s="220" t="inlineStr">
        <is>
          <t>How you build it: 19 for a 75-day placement. Write it the same day.</t>
        </is>
      </c>
      <c r="Q453" s="220" t="n"/>
      <c r="R453" s="220" t="n"/>
      <c r="S453" s="220" t="n"/>
      <c r="T453" s="220" t="n"/>
      <c r="U453" s="220" t="n"/>
    </row>
    <row r="454" outlineLevel="2" ht="120" customHeight="1" s="128">
      <c r="A454" s="139" t="inlineStr">
        <is>
          <t>MICRO-SKILL</t>
        </is>
      </c>
      <c r="B454" s="139" t="inlineStr">
        <is>
          <t>7. Supervision</t>
        </is>
      </c>
      <c r="C454" s="139" t="inlineStr">
        <is>
          <t>Keep supervision session records</t>
        </is>
      </c>
      <c r="D454" s="139" t="inlineStr">
        <is>
          <t>Block 1 · The record itself</t>
        </is>
      </c>
      <c r="E454" s="223" t="inlineStr">
        <is>
          <t>Complete a record for every session</t>
        </is>
      </c>
      <c r="F454" s="139" t="inlineStr">
        <is>
          <t>Handbook Appendix 8</t>
        </is>
      </c>
      <c r="G454" s="227" t="inlineStr">
        <is>
          <t>The Reference sheet treats the supervision record (Appendix 8) as both assessed and the only proof that the supervision standard was met. Written on the day it takes about ten minutes; reconstructed in June it is visibly reconstructed. The pass test's figure — nineteen for a 75-day placement — is roughly one per week of a four-day pattern; count your own placement weeks rather than assuming. Missing records leave no evidence that supervision happened.</t>
        </is>
      </c>
      <c r="H454" s="165" t="inlineStr">
        <is>
          <t>WATCH FOR — whether your supervisor keeps their own note of sessions, what they record, and how quickly after the session they write it.
WRITE DOWN — a list of all expected sessions for the placement (one per placement week), ticked off as each record is completed.
ASK AFTERWARDS — 'what's in your supervision notes that isn't in mine, and should it be?'</t>
        </is>
      </c>
      <c r="I454" s="165" t="inlineStr">
        <is>
          <t>YOU TAKE — writing every record within the day: date (DD/MM/YYYY), duration, format, who was present, items discussed, decisions, actions.
THEY HOLD — checking the record is accurate, correcting anything they would put differently, and countersigning.
WHY THAT SPLIT — the record is yours because it is your evidence and your learning. The supervisor's check is what makes it a shared account rather than one person's memory.</t>
        </is>
      </c>
      <c r="J454" s="165" t="inlineStr">
        <is>
          <t>YOU RUN IT — complete the record after each session and send or show it to your supervisor within the week, with them reading and correcting.
WHAT THEY ARE WATCHING FOR — records that slip to Friday, then to 'batch them later'; records so brief they could describe any session; and informal contact never recorded.
STEPPING IN LOOKS LIKE — 'I haven't seen last week's or the week before — let's do them now before we start.'</t>
        </is>
      </c>
      <c r="K454" s="207" t="inlineStr">
        <is>
          <t>YOU DO IT ALONE — keep a complete, same-day set of records for every formal session and logged informal contact across the placement, so the count matches the weeks.
PASS TEST — 19 for a 75-day placement
EVIDENCE TO FILE — the full set of records in date order on the supervision record form (Appendix 8). Log against 7. Supervision.
WHAT FAILURE LOOKS LIKE — eleven records for a nineteen-week placement, several in identical wording, written the same week in June.</t>
        </is>
      </c>
      <c r="L454" s="165" t="inlineStr">
        <is>
          <t>YOU CAN TEACH IT — you can explain how to calculate the expected number for any placement length and pattern, why same-day records are more accurate and more credible, and how the sequence becomes evidence of development.
WHEN IT GOES WRONG — you can say what to do when records are missing: write them now from agendas and emails, marked honestly as written late with the date written, and never present them as contemporaneous.</t>
        </is>
      </c>
      <c r="M454" s="224" t="inlineStr">
        <is>
          <t>Writing records up in bulk at the end of placement, so they are visibly reconstructed.</t>
        </is>
      </c>
      <c r="N454" s="165" t="inlineStr">
        <is>
          <t>→ Feeds into 'Get them co-signed', 'Keep to 30 minutes per placement day cumulatively', and the reflective essay (hers to write).</t>
        </is>
      </c>
      <c r="O454" s="225" t="inlineStr">
        <is>
          <t>Not started</t>
        </is>
      </c>
      <c r="P454" s="165" t="inlineStr">
        <is>
          <t>WATCH FOR — whether your supervisor keeps their own note of sessions, what they record, and how quickly after the session they write it.</t>
        </is>
      </c>
      <c r="Q454" s="139" t="inlineStr">
        <is>
          <t>Year 1</t>
        </is>
      </c>
      <c r="R454" s="226" t="inlineStr">
        <is>
          <t>26/10/2026</t>
        </is>
      </c>
      <c r="S454" s="226" t="inlineStr">
        <is>
          <t>16/11/2026</t>
        </is>
      </c>
      <c r="T454" s="226" t="inlineStr">
        <is>
          <t>14/12/2026</t>
        </is>
      </c>
      <c r="U454" s="139" t="inlineStr">
        <is>
          <t>Supervision records (Appendix 8) · Log sheet tagged 7. Supervision</t>
        </is>
      </c>
    </row>
    <row r="455" outlineLevel="2" ht="120" customHeight="1" s="128">
      <c r="A455" s="139" t="inlineStr">
        <is>
          <t>MICRO-SKILL</t>
        </is>
      </c>
      <c r="B455" s="139" t="inlineStr">
        <is>
          <t>7. Supervision</t>
        </is>
      </c>
      <c r="C455" s="139" t="inlineStr">
        <is>
          <t>Keep supervision session records</t>
        </is>
      </c>
      <c r="D455" s="139" t="inlineStr">
        <is>
          <t>Block 1 · The record itself</t>
        </is>
      </c>
      <c r="E455" s="223" t="inlineStr">
        <is>
          <t>Record topics, actions and who does what</t>
        </is>
      </c>
      <c r="F455" s="139" t="inlineStr">
        <is>
          <t>Handbook §6.1</t>
        </is>
      </c>
      <c r="G455" s="227" t="inlineStr">
        <is>
          <t>The Reference sheet's error: recording what was discussed but not what was decided. A record of topics shows supervision happened; a record of decisions and named actions shows it changed something. Handbook §6.1 is mapped here. Vague actions ('think about the case') cannot be checked the following week, and a disputed recollection of who agreed to do what is exactly what a specific record prevents. Cases are identified by reference number, never by name.</t>
        </is>
      </c>
      <c r="H455" s="165" t="inlineStr">
        <is>
          <t>WATCH FOR — how your supervisor closes each item: do they summarise the decision and who does what, or does the conversation move on without one?
WRITE DOWN — for each item: the question, the decision, who does what, and by when (DD/MM/YYYY).
ASK AFTERWARDS — 'can we agree the actions out loud at the end, so we both write the same thing?'</t>
        </is>
      </c>
      <c r="I455" s="165" t="inlineStr">
        <is>
          <t>YOU TAKE — reading back the actions in the last five minutes and writing them into the record with owner and date; asking for a short email of agreed actions if that helps you (a reasonable workflow request, as the Reference sheet puts it).
THEY HOLD — decisions that are theirs to make (case allocation, whether to contact a family, risk) and their own actions.
WHY THAT SPLIT — writing it down is yours. Who decides is part of the record: a supervisor's decision recorded as yours, or vice versa, causes problems later.</t>
        </is>
      </c>
      <c r="J455" s="165" t="inlineStr">
        <is>
          <t>YOU RUN IT — close each session by reading the actions back and write the record the same day, with your supervisor confirming.
WHAT THEY ARE WATCHING FOR — actions with no owner, no date, or no verb you can check ('consider', 'reflect on'); children named instead of referenced; third-party detail that belongs in the case file.
STEPPING IN LOOKS LIKE — ''look into it' isn't an action — what will you actually do, and by when?'</t>
        </is>
      </c>
      <c r="K455" s="207" t="inlineStr">
        <is>
          <t>YOU DO IT ALONE — produce records where every item has a decision or an explicit 'no decision yet', and every action has an owner, a checkable verb and a date.
PASS TEST — Actions are specific
EVIDENCE TO FILE — supervision records (Appendix 8) with an actions section; the next agenda's 'Last time' update. Log against 7. Supervision.
WHAT FAILURE LOOKS LIKE — a record reading 'discussed case, discussed report, discussed wellbeing' with nothing decided and nothing to follow up.</t>
        </is>
      </c>
      <c r="L455" s="165" t="inlineStr">
        <is>
          <t>YOU CAN TEACH IT — you can explain the difference between a topic record and a decision record, what makes an action specific, and what must not go into supervision records (names, third-party detail, personal health detail — PSI Code 1.2.6 and 1.2.8 as mapped on the Reference sheet).
WHEN IT GOES WRONG — you can say what to do when you and your supervisor remember a decision differently: go back to the record, correct it together, and agree to read back actions in future.</t>
        </is>
      </c>
      <c r="M455" s="224" t="inlineStr">
        <is>
          <t>Recording what was discussed but not what was decided, or by whom.</t>
        </is>
      </c>
      <c r="N455" s="165" t="inlineStr">
        <is>
          <t>→ Feeds into 'Update on actions agreed last time', 'Get them co-signed', and 7. Supervision evidence.</t>
        </is>
      </c>
      <c r="O455" s="225" t="inlineStr">
        <is>
          <t>Not started</t>
        </is>
      </c>
      <c r="P455" s="165" t="inlineStr">
        <is>
          <t>WATCH FOR — how your supervisor closes each item: do they summarise the decision and who does what, or does the conversation move on without one?</t>
        </is>
      </c>
      <c r="Q455" s="139" t="inlineStr">
        <is>
          <t>Year 1</t>
        </is>
      </c>
      <c r="R455" s="226" t="inlineStr">
        <is>
          <t>26/10/2026</t>
        </is>
      </c>
      <c r="S455" s="226" t="inlineStr">
        <is>
          <t>16/11/2026</t>
        </is>
      </c>
      <c r="T455" s="226" t="inlineStr">
        <is>
          <t>14/12/2026</t>
        </is>
      </c>
      <c r="U455" s="139" t="inlineStr">
        <is>
          <t>Supervision records (Appendix 8) · Log sheet tagged 7. Supervision</t>
        </is>
      </c>
    </row>
    <row r="456" outlineLevel="2" ht="120" customHeight="1" s="128">
      <c r="A456" s="139" t="inlineStr">
        <is>
          <t>MICRO-SKILL</t>
        </is>
      </c>
      <c r="B456" s="139" t="inlineStr">
        <is>
          <t>7. Supervision</t>
        </is>
      </c>
      <c r="C456" s="139" t="inlineStr">
        <is>
          <t>Keep supervision session records</t>
        </is>
      </c>
      <c r="D456" s="139" t="inlineStr">
        <is>
          <t>Block 1 · The record itself</t>
        </is>
      </c>
      <c r="E456" s="223" t="inlineStr">
        <is>
          <t>Get them co-signed</t>
        </is>
      </c>
      <c r="F456" s="139" t="inlineStr">
        <is>
          <t>Handbook Appendix 8</t>
        </is>
      </c>
      <c r="G456" s="227" t="inlineStr">
        <is>
          <t>A record signed by both people is evidence; one written only by the trainee is a claim. The Reference sheet's advice is to get records signed periodically rather than all at the end: a signature each month is administration, a run of unsigned records in June is a problem. The row maps this to Handbook Appendix 8. The Appendix 4 lesson applies — an 84-day log still awaiting countersignature is exactly the position to avoid repeating.</t>
        </is>
      </c>
      <c r="H456" s="165" t="inlineStr">
        <is>
          <t>WATCH FOR — how your supervisor handles paperwork: do they sign on the spot, take things away, or need reminders? Notice what they check before signing.
WRITE DOWN — the date each record was signed, and which records are outstanding.
ASK AFTERWARDS — 'would it be easier for you to sign records monthly at the end of a session, or as I send them?'</t>
        </is>
      </c>
      <c r="I456" s="165" t="inlineStr">
        <is>
          <t>YOU TAKE — keeping a signature tracker, bringing unsigned records to supervision at a fixed interval (monthly works), and making signing take two minutes.
THEY HOLD — the signature, and any corrections before they sign.
WHY THAT SPLIT — you carry the consequence if signatures are missing, so the administration is yours. The signature is theirs because it confirms the account is accurate — they should not sign what they have not read.</t>
        </is>
      </c>
      <c r="J456" s="165" t="inlineStr">
        <is>
          <t>YOU RUN IT — set a monthly signing point in the contract or diary and bring the records, with your supervisor reading and signing in the session.
WHAT THEY ARE WATCHING FOR — waiting to be asked, bringing a large bundle at once, or records the supervisor disagrees with presented for signature without discussion.
STEPPING IN LOOKS LIKE — 'leave these with me' — and you agreeing a date by which you'll collect them.</t>
        </is>
      </c>
      <c r="K456" s="207" t="inlineStr">
        <is>
          <t>YOU DO IT ALONE — keep every record countersigned within about a month of the session, with no backlog at the end of placement, and chase outstanding signatures without awkwardness.
PASS TEST — Signed, not just written
EVIDENCE TO FILE — the countersigned supervision records (Appendix 8); your signature tracker. Log against 7. Supervision.
WHAT FAILURE LOOKS LIKE — the last week of placement with twelve unsigned records and a supervisor on leave.</t>
        </is>
      </c>
      <c r="L456" s="165" t="inlineStr">
        <is>
          <t>YOU CAN TEACH IT — you can explain why countersignature matters (shared accountability, evidential weight), why monthly beats final-week, and how the same habit applies to Appendix 4 and Appendix 7.
WHEN IT GOES WRONG — you can say what to do when signatures are outstanding at the end: list them, agree a date with your supervisor, tell UCD if they cannot be obtained, and do not sign on anyone's behalf.</t>
        </is>
      </c>
      <c r="M456" s="224" t="inlineStr">
        <is>
          <t>Leaving all countersignature to the final week.</t>
        </is>
      </c>
      <c r="N456" s="165" t="inlineStr">
        <is>
          <t>→ Feeds into 'Complete a record for every session', the end-of-placement submission, and the Appendix 4 countersignature habit.</t>
        </is>
      </c>
      <c r="O456" s="225" t="inlineStr">
        <is>
          <t>Not started</t>
        </is>
      </c>
      <c r="P456" s="165" t="inlineStr">
        <is>
          <t>WATCH FOR — how your supervisor handles paperwork: do they sign on the spot, take things away, or need reminders? Notice what they check before signing.</t>
        </is>
      </c>
      <c r="Q456" s="139" t="inlineStr">
        <is>
          <t>Year 1</t>
        </is>
      </c>
      <c r="R456" s="226" t="inlineStr">
        <is>
          <t>26/10/2026</t>
        </is>
      </c>
      <c r="S456" s="226" t="inlineStr">
        <is>
          <t>16/11/2026</t>
        </is>
      </c>
      <c r="T456" s="226" t="inlineStr">
        <is>
          <t>14/12/2026</t>
        </is>
      </c>
      <c r="U456" s="139" t="inlineStr">
        <is>
          <t>Countersigned supervision records (Appendix 8) · Log sheet tagged 7. Supervision</t>
        </is>
      </c>
    </row>
    <row r="457" outlineLevel="2" ht="43.5" customHeight="1" s="128">
      <c r="A457" s="220" t="inlineStr">
        <is>
          <t>BLOCK</t>
        </is>
      </c>
      <c r="B457" s="220" t="inlineStr">
        <is>
          <t>7. Supervision</t>
        </is>
      </c>
      <c r="C457" s="220" t="inlineStr">
        <is>
          <t>Keep supervision session records</t>
        </is>
      </c>
      <c r="D457" s="221" t="inlineStr">
        <is>
          <t>Block 2 · Tagging it</t>
        </is>
      </c>
      <c r="E457" s="222" t="inlineStr">
        <is>
          <t>Marking which component each session covered.</t>
        </is>
      </c>
      <c r="F457" s="220" t="inlineStr">
        <is>
          <t>Habit · Weeks 1–2</t>
        </is>
      </c>
      <c r="G457" s="220" t="n"/>
      <c r="H457" s="220" t="n"/>
      <c r="I457" s="220" t="n"/>
      <c r="J457" s="220" t="n"/>
      <c r="K457" s="220" t="n"/>
      <c r="L457" s="220" t="n"/>
      <c r="M457" s="222" t="n"/>
      <c r="N457" s="220" t="n"/>
      <c r="O457" s="220" t="n"/>
      <c r="P457" s="220" t="inlineStr">
        <is>
          <t>How you build it: Four letters in the margin. Ten seconds.</t>
        </is>
      </c>
      <c r="Q457" s="220" t="n"/>
      <c r="R457" s="220" t="n"/>
      <c r="S457" s="220" t="n"/>
      <c r="T457" s="220" t="n"/>
      <c r="U457" s="220" t="n"/>
    </row>
    <row r="458" outlineLevel="2" ht="120" customHeight="1" s="128">
      <c r="A458" s="139" t="inlineStr">
        <is>
          <t>MICRO-SKILL</t>
        </is>
      </c>
      <c r="B458" s="139" t="inlineStr">
        <is>
          <t>7. Supervision</t>
        </is>
      </c>
      <c r="C458" s="139" t="inlineStr">
        <is>
          <t>Keep supervision session records</t>
        </is>
      </c>
      <c r="D458" s="139" t="inlineStr">
        <is>
          <t>Block 2 · Tagging it</t>
        </is>
      </c>
      <c r="E458" s="223" t="inlineStr">
        <is>
          <t>Tag which of the four components the session covered</t>
        </is>
      </c>
      <c r="F458" s="139" t="inlineStr">
        <is>
          <t>Handbook §6.1</t>
        </is>
      </c>
      <c r="G458" s="227" t="inlineStr">
        <is>
          <t>The pass test's shorthand — E, S, Ev, Sg — tags each record as educative, supportive, evaluative or safeguarding (Handbook §6.1 is mapped here; check its wording). Tagging costs nothing at the time and means that in December you can see by filtering whether you ever had evaluative feedback or safeguarding discussion. The Reference sheet makes the same point for competency tags: supervision is evidence, not just support. Untagged, a gap stays invisible.</t>
        </is>
      </c>
      <c r="H458" s="165" t="inlineStr">
        <is>
          <t>WATCH FOR — which components each session actually covered, as opposed to what the agenda intended. A session about a report can be educative and evaluative; one after a difficult visit can be supportive and safeguarding.
WRITE DOWN — the tags on each record, and the competency tags (1–8) alongside.
ASK AFTERWARDS — 'looking at this month's tags, which component have we under-done?'</t>
        </is>
      </c>
      <c r="I458" s="165" t="inlineStr">
        <is>
          <t>YOU TAKE — tagging each record with the components and the competencies it touched, and reviewing the pattern monthly.
THEY HOLD — confirming or amending the tags when they countersign, particularly Ev, since that is their judgement.
WHY THAT SPLIT — tagging is a quick self-audit you can do alone. The supervisor's check stops you tagging a session as evaluative when no evaluation of your standard was actually given.</t>
        </is>
      </c>
      <c r="J458" s="165" t="inlineStr">
        <is>
          <t>YOU RUN IT — tag each record and bring a monthly tally to supervision, with your supervisor reviewing the balance.
WHAT THEY ARE WATCHING FOR — every session tagged with all four (which means the tags mean nothing), or a month with no Sg tag in a caseload of school visits.
STEPPING IN LOOKS LIKE — 'I wouldn't call that session evaluative — I didn't give you a view on your standard. Let's do that next time.'</t>
        </is>
      </c>
      <c r="K458" s="207" t="inlineStr">
        <is>
          <t>YOU DO IT ALONE — tag every record accurately, notice when a component has been absent for several weeks, and put it on the next agenda.
PASS TEST — E, S, Ev, Sg
EVIDENCE TO FILE — tagged supervision records (Appendix 8); a monthly tally. Log against 7. Supervision.
WHAT FAILURE LOOKS LIKE — records with no tags, or all four on every record, and no way to show what kind of supervision you received.</t>
        </is>
      </c>
      <c r="L458" s="165" t="inlineStr">
        <is>
          <t>YOU CAN TEACH IT — you can explain the four components, how they relate to Proctor's (1986) normative, formative and restorative functions (approximately), and how tagging turns records into an audit of the supervision itself.
WHEN IT GOES WRONG — you can say what to do when the tally shows a gap: name the missing component on the next agenda with a specific request.</t>
        </is>
      </c>
      <c r="M458" s="224" t="inlineStr">
        <is>
          <t>Tagging every session with all four components so the tags show nothing.</t>
        </is>
      </c>
      <c r="N458" s="165" t="inlineStr">
        <is>
          <t>→ Feeds into 'Know the four components expected', 'Prepare and send an agenda in advance', and 7. Supervision evidence.</t>
        </is>
      </c>
      <c r="O458" s="225" t="inlineStr">
        <is>
          <t>Not started</t>
        </is>
      </c>
      <c r="P458" s="165" t="inlineStr">
        <is>
          <t>WATCH FOR — which components each session actually covered, as opposed to what the agenda intended. A session about a report can be educative and evaluative; one after a difficult visit can be supportive and safeguarding.</t>
        </is>
      </c>
      <c r="Q458" s="139" t="inlineStr">
        <is>
          <t>Year 1</t>
        </is>
      </c>
      <c r="R458" s="226" t="inlineStr">
        <is>
          <t>26/10/2026</t>
        </is>
      </c>
      <c r="S458" s="226" t="inlineStr">
        <is>
          <t>16/11/2026</t>
        </is>
      </c>
      <c r="T458" s="226" t="inlineStr">
        <is>
          <t>14/12/2026</t>
        </is>
      </c>
      <c r="U458" s="139" t="inlineStr">
        <is>
          <t>Tagged supervision records (Appendix 8) · Log sheet tagged 7. Supervision</t>
        </is>
      </c>
    </row>
    <row r="459" outlineLevel="2" ht="43.5" customHeight="1" s="128">
      <c r="A459" s="220" t="inlineStr">
        <is>
          <t>BLOCK</t>
        </is>
      </c>
      <c r="B459" s="220" t="inlineStr">
        <is>
          <t>7. Supervision</t>
        </is>
      </c>
      <c r="C459" s="220" t="inlineStr">
        <is>
          <t>Keep supervision session records</t>
        </is>
      </c>
      <c r="D459" s="221" t="inlineStr">
        <is>
          <t>Block 3 · The dilemma entry</t>
        </is>
      </c>
      <c r="E459" s="222" t="inlineStr">
        <is>
          <t>Recording an ethical dilemma using the seven steps.</t>
        </is>
      </c>
      <c r="F459" s="220" t="inlineStr">
        <is>
          <t>30 minutes when it arises · Ongoing all year</t>
        </is>
      </c>
      <c r="G459" s="220" t="n"/>
      <c r="H459" s="220" t="n"/>
      <c r="I459" s="220" t="n"/>
      <c r="J459" s="220" t="n"/>
      <c r="K459" s="220" t="n"/>
      <c r="L459" s="220" t="n"/>
      <c r="M459" s="222" t="n"/>
      <c r="N459" s="220" t="n"/>
      <c r="O459" s="220" t="n"/>
      <c r="P459" s="220" t="inlineStr">
        <is>
          <t>How you build it: Write it the same day it happens. It is the strongest ethics evidence you will have.</t>
        </is>
      </c>
      <c r="Q459" s="220" t="n"/>
      <c r="R459" s="220" t="n"/>
      <c r="S459" s="220" t="n"/>
      <c r="T459" s="220" t="n"/>
      <c r="U459" s="220" t="n"/>
    </row>
    <row r="460" outlineLevel="2" ht="120" customHeight="1" s="128">
      <c r="A460" s="139" t="inlineStr">
        <is>
          <t>MICRO-SKILL</t>
        </is>
      </c>
      <c r="B460" s="139" t="inlineStr">
        <is>
          <t>7. Supervision</t>
        </is>
      </c>
      <c r="C460" s="139" t="inlineStr">
        <is>
          <t>Keep supervision session records</t>
        </is>
      </c>
      <c r="D460" s="139" t="inlineStr">
        <is>
          <t>Block 3 · The dilemma entry</t>
        </is>
      </c>
      <c r="E460" s="223" t="inlineStr">
        <is>
          <t>Record any ethical dilemma using the seven steps</t>
        </is>
      </c>
      <c r="F460" s="139" t="inlineStr">
        <is>
          <t>PSI Code Appendix A</t>
        </is>
      </c>
      <c r="G460" s="227" t="inlineStr">
        <is>
          <t>PSI Code of Professional Ethics (2025) Appendix A sets out a seven-step ethical decision-making procedure, and the Reference sheet maps PSI 3.6.1 as requiring a systematic procedure; copy the step wording from the Code (reproduced on the Reference sheet), not from memory. The Reference sheet's point: a single well-written dilemma entry is worth more than twenty routine records, and Ethical Practice is hard to evidence any other way. A dilemma recorded as 'discussed a tricky case' shows no reasoning.</t>
        </is>
      </c>
      <c r="H460" s="165" t="inlineStr">
        <is>
          <t>WATCH FOR — how your supervisor reasons through a dilemma aloud: do they identify who is affected, name the clauses in tension, generate more than one option? Notice which Appendix A steps they do intuitively and which they skip.
WRITE DOWN — the dilemma in one sentence without identifying details, then each step as it is discussed.
ASK AFTERWARDS — 'which step do you think trainees most often skip, and what does it cost?'</t>
        </is>
      </c>
      <c r="I460" s="165" t="inlineStr">
        <is>
          <t>YOU TAKE — drafting the dilemma entry using all seven Appendix A step headings, filling in your reasoning at each, cases by reference number only.
THEY HOLD — the decision where the case is theirs, and any action that must happen outside supervision.
WHY THAT SPLIT — the structured reasoning is yours to practise and evidence. Where a dilemma involves child protection, the action is not a supervision matter: report to Tusla as soon as practicable, and telling the DLP does not discharge your duty. Supervision follows action.</t>
        </is>
      </c>
      <c r="J460" s="165" t="inlineStr">
        <is>
          <t>YOU RUN IT — bring a dilemma to supervision, work it through the seven steps yourself, and write the entry, with your supervisor challenging each step.
WHAT THEY ARE WATCHING FOR — jumping from the problem to the decision, only one option generated, clauses named without saying what they require, and no record of the outcome.
STEPPING IN LOOKS LIKE — 'you've told me what you did. What else could you have done, and which clause would each option have honoured?'</t>
        </is>
      </c>
      <c r="K460" s="207" t="inlineStr">
        <is>
          <t>YOU DO IT ALONE — recognise a dilemma when it arises, record it through all seven steps, and complete the entry once the outcome is known.
PASS TEST — All seven, from PSI Appendix A
EVIDENCE TO FILE — a dilemma entry in the supervision records (Appendix 8), countersigned; any reflection on it is yours to write. Log against 7. Supervision and 6. Ethical Practice.
WHAT FAILURE LOOKS LIKE — an entry that states the problem and what you decided, with steps three to six missing and no Code clause named.</t>
        </is>
      </c>
      <c r="L460" s="165" t="inlineStr">
        <is>
          <t>YOU CAN TEACH IT — you can walk a peer through the Appendix A steps using an anonymised example, explain why generating options matters more than the decision, and explain why a safeguarding concern is acted on first and recorded after.
WHEN IT GOES WRONG — you can say what to do when a dilemma entry reveals a poor decision: record it honestly, note what you would do differently, and discuss any remedial action with your supervisor.</t>
        </is>
      </c>
      <c r="M460" s="224" t="inlineStr">
        <is>
          <t>Recording a dilemma as a problem and a decision with none of the reasoning steps between them.</t>
        </is>
      </c>
      <c r="N460" s="165" t="inlineStr">
        <is>
          <t>→ Feeds into 6. Ethical Practice evidence, 'Include at least one thing that went badly', and the reflective essay (hers to write).</t>
        </is>
      </c>
      <c r="O460" s="225" t="inlineStr">
        <is>
          <t>Not started</t>
        </is>
      </c>
      <c r="P460" s="165" t="inlineStr">
        <is>
          <t>WATCH FOR — how your supervisor reasons through a dilemma aloud: do they identify who is affected, name the clauses in tension, generate more than one option? Notice which Appendix A steps they do intuitively and which they skip.</t>
        </is>
      </c>
      <c r="Q460" s="139" t="inlineStr">
        <is>
          <t>Year 1</t>
        </is>
      </c>
      <c r="R460" s="226" t="inlineStr">
        <is>
          <t>26/10/2026</t>
        </is>
      </c>
      <c r="S460" s="226" t="inlineStr">
        <is>
          <t>16/11/2026</t>
        </is>
      </c>
      <c r="T460" s="226" t="inlineStr">
        <is>
          <t>14/12/2026</t>
        </is>
      </c>
      <c r="U460" s="139" t="inlineStr">
        <is>
          <t>Dilemma entry in supervision records (Appendix 8) · Log sheet tagged 7. Supervision and 6. Ethical Practice</t>
        </is>
      </c>
    </row>
    <row r="461" outlineLevel="2" ht="19.5" customHeight="1" s="128">
      <c r="A461" s="219" t="inlineStr">
        <is>
          <t>MACRO SKILL</t>
        </is>
      </c>
      <c r="B461" s="219" t="inlineStr">
        <is>
          <t>7. Supervision</t>
        </is>
      </c>
      <c r="C461" s="219" t="inlineStr">
        <is>
          <t>Observe your supervisor with a client</t>
        </is>
      </c>
      <c r="D461" s="219" t="n"/>
      <c r="E461" s="219" t="inlineStr">
        <is>
          <t>2 blocks · 4 micro-skills</t>
        </is>
      </c>
      <c r="F461" s="219" t="inlineStr">
        <is>
          <t>Handbook §6.2 · CORU 5.8</t>
        </is>
      </c>
      <c r="G461" s="219" t="n"/>
      <c r="H461" s="219" t="n"/>
      <c r="I461" s="219" t="n"/>
      <c r="J461" s="219" t="n"/>
      <c r="K461" s="219" t="n"/>
      <c r="L461" s="219" t="n"/>
      <c r="M461" s="219" t="n"/>
      <c r="N461" s="219" t="n"/>
      <c r="O461" s="219" t="n"/>
      <c r="P461" s="219" t="n"/>
      <c r="Q461" s="219" t="inlineStr">
        <is>
          <t>Year 1</t>
        </is>
      </c>
      <c r="R461" s="219" t="n"/>
      <c r="S461" s="219" t="n"/>
      <c r="T461" s="219" t="n"/>
      <c r="U461" s="219" t="n"/>
    </row>
    <row r="462" outlineLevel="2" ht="43.5" customHeight="1" s="128">
      <c r="A462" s="220" t="inlineStr">
        <is>
          <t>BLOCK</t>
        </is>
      </c>
      <c r="B462" s="220" t="inlineStr">
        <is>
          <t>7. Supervision</t>
        </is>
      </c>
      <c r="C462" s="220" t="inlineStr">
        <is>
          <t>Observe your supervisor with a client</t>
        </is>
      </c>
      <c r="D462" s="221" t="inlineStr">
        <is>
          <t>Block 1 · Arranging it</t>
        </is>
      </c>
      <c r="E462" s="222" t="inlineStr">
        <is>
          <t>Getting it booked in the first weeks rather than the last.</t>
        </is>
      </c>
      <c r="F462" s="220" t="inlineStr">
        <is>
          <t>Ask once · Weeks 1–2</t>
        </is>
      </c>
      <c r="G462" s="220" t="n"/>
      <c r="H462" s="220" t="n"/>
      <c r="I462" s="220" t="n"/>
      <c r="J462" s="220" t="n"/>
      <c r="K462" s="220" t="n"/>
      <c r="L462" s="220" t="n"/>
      <c r="M462" s="222" t="n"/>
      <c r="N462" s="220" t="n"/>
      <c r="O462" s="220" t="n"/>
      <c r="P462" s="220" t="inlineStr">
        <is>
          <t>How you build it: Ask in week one. The handbook says occasional rather than protracted.</t>
        </is>
      </c>
      <c r="Q462" s="220" t="n"/>
      <c r="R462" s="220" t="n"/>
      <c r="S462" s="220" t="n"/>
      <c r="T462" s="220" t="n"/>
      <c r="U462" s="220" t="n"/>
    </row>
    <row r="463" outlineLevel="2" ht="120" customHeight="1" s="128">
      <c r="A463" s="139" t="inlineStr">
        <is>
          <t>MICRO-SKILL</t>
        </is>
      </c>
      <c r="B463" s="139" t="inlineStr">
        <is>
          <t>7. Supervision</t>
        </is>
      </c>
      <c r="C463" s="139" t="inlineStr">
        <is>
          <t>Observe your supervisor with a client</t>
        </is>
      </c>
      <c r="D463" s="139" t="inlineStr">
        <is>
          <t>Block 1 · Arranging it</t>
        </is>
      </c>
      <c r="E463" s="223" t="inlineStr">
        <is>
          <t>Arrange it in the first weeks</t>
        </is>
      </c>
      <c r="F463" s="139" t="inlineStr">
        <is>
          <t>Handbook §6.2</t>
        </is>
      </c>
      <c r="G463" s="227" t="inlineStr">
        <is>
          <t>The Reference sheet summarises PSI Accreditation 3.3.9 as requiring observation in both directions; trainees routinely complete being observed and skip observing. Handbook §6.2 is mapped here. Asking vaguely ('could I observe you sometime?') produces agreement and no date. Family consent must be arranged by your supervisor, so it needs time. Left to the end of the Cavan placement (to 18/12/2026), it will not happen.</t>
        </is>
      </c>
      <c r="H463" s="165" t="inlineStr">
        <is>
          <t>WATCH FOR — which parts of your supervisor's diary in the first weeks offer good observation opportunities: a feedback meeting, a consultation, a first meeting with a wary parent, a session in a special setting.
WRITE DOWN — two or three candidate events with dates, and what you would learn from each.
ASK AFTERWARDS — 'which kind of meeting do you think I'd learn most from watching you in at this stage?'</t>
        </is>
      </c>
      <c r="I463" s="165" t="inlineStr">
        <is>
          <t>YOU TAKE — asking in week one for a specific kind of event, writing agreed dates into the contract, and linking one where possible to a special-education setting to help with PSI 3.3.6.
THEY HOLD — choosing the case, seeking family and school consent, and deciding whether your presence is appropriate.
WHY THAT SPLIT — asking early and specifically is yours. Consent and suitability are the supervisor's professional responsibility to the family.</t>
        </is>
      </c>
      <c r="J463" s="165" t="inlineStr">
        <is>
          <t>YOU RUN IT — make the request in the contracting meeting with specific events in mind, and follow up until a date is in the diary, with your supervisor arranging consent.
WHAT THEY ARE WATCHING FOR — vague requests, waiting to be offered, and leaving it until the final month.
STEPPING IN LOOKS LIKE — 'I've a feedback meeting on the third week — I'll ask the family this week, put it in your diary.'</t>
        </is>
      </c>
      <c r="K463" s="207" t="inlineStr">
        <is>
          <t>YOU DO IT ALONE — arrange observations of your supervisor in the first weeks of every placement, with dates agreed and consent in hand before the caseload builds.
PASS TEST — Front-loaded, as the handbook expects
EVIDENCE TO FILE — observation dates in the signed contract; the Appendix 7 forms for each observation. Log against 7. Supervision.
WHAT FAILURE LOOKS LIKE — the last week of placement, no observation of your supervisor done, and one of the 3.3.9 requirements unmet.</t>
        </is>
      </c>
      <c r="L463" s="165" t="inlineStr">
        <is>
          <t>YOU CAN TEACH IT — you can explain why observation is front-loaded (you need the learning before you face the situation), how to ask specifically, and how to use observations to widen setting experience.
WHEN IT GOES WRONG — you can say what to do when a planned observation falls through: ask for the next similar event immediately, and if none arises, raise it as a requirement, not a favour.</t>
        </is>
      </c>
      <c r="M463" s="224" t="inlineStr">
        <is>
          <t>Asking vaguely to observe 'sometime' and never getting a date.</t>
        </is>
      </c>
      <c r="N463" s="165" t="inlineStr">
        <is>
          <t>→ Feeds into 'Agree a focus before observing', PSI 3.3.6 setting coverage, and Appendix 7.</t>
        </is>
      </c>
      <c r="O463" s="225" t="inlineStr">
        <is>
          <t>Not started</t>
        </is>
      </c>
      <c r="P463" s="165" t="inlineStr">
        <is>
          <t>WATCH FOR — which parts of your supervisor's diary in the first weeks offer good observation opportunities: a feedback meeting, a consultation, a first meeting with a wary parent, a session in a special setting.</t>
        </is>
      </c>
      <c r="Q463" s="139" t="inlineStr">
        <is>
          <t>Year 1</t>
        </is>
      </c>
      <c r="R463" s="226" t="inlineStr">
        <is>
          <t>26/10/2026</t>
        </is>
      </c>
      <c r="S463" s="226" t="inlineStr">
        <is>
          <t>16/11/2026</t>
        </is>
      </c>
      <c r="T463" s="226" t="inlineStr">
        <is>
          <t>14/12/2026</t>
        </is>
      </c>
      <c r="U463" s="139" t="inlineStr">
        <is>
          <t>Signed contract · Appendix 7 · Log sheet tagged 7. Supervision</t>
        </is>
      </c>
    </row>
    <row r="464" outlineLevel="2" ht="43.5" customHeight="1" s="128">
      <c r="A464" s="220" t="inlineStr">
        <is>
          <t>BLOCK</t>
        </is>
      </c>
      <c r="B464" s="220" t="inlineStr">
        <is>
          <t>7. Supervision</t>
        </is>
      </c>
      <c r="C464" s="220" t="inlineStr">
        <is>
          <t>Observe your supervisor with a client</t>
        </is>
      </c>
      <c r="D464" s="221" t="inlineStr">
        <is>
          <t>Block 2 · Watching usefully</t>
        </is>
      </c>
      <c r="E464" s="222" t="inlineStr">
        <is>
          <t>Having a focus rather than watching generally.</t>
        </is>
      </c>
      <c r="F464" s="220" t="inlineStr">
        <is>
          <t>1 hour per observation · Weeks 3–6</t>
        </is>
      </c>
      <c r="G464" s="220" t="n"/>
      <c r="H464" s="220" t="n"/>
      <c r="I464" s="220" t="n"/>
      <c r="J464" s="220" t="n"/>
      <c r="K464" s="220" t="n"/>
      <c r="L464" s="220" t="n"/>
      <c r="M464" s="222" t="n"/>
      <c r="N464" s="220" t="n"/>
      <c r="O464" s="220" t="n"/>
      <c r="P464" s="220" t="inlineStr">
        <is>
          <t>How you build it: Agree what you are watching for beforehand. Write it down.</t>
        </is>
      </c>
      <c r="Q464" s="220" t="n"/>
      <c r="R464" s="220" t="n"/>
      <c r="S464" s="220" t="n"/>
      <c r="T464" s="220" t="n"/>
      <c r="U464" s="220" t="n"/>
    </row>
    <row r="465" outlineLevel="2" ht="120" customHeight="1" s="128">
      <c r="A465" s="139" t="inlineStr">
        <is>
          <t>MICRO-SKILL</t>
        </is>
      </c>
      <c r="B465" s="139" t="inlineStr">
        <is>
          <t>7. Supervision</t>
        </is>
      </c>
      <c r="C465" s="139" t="inlineStr">
        <is>
          <t>Observe your supervisor with a client</t>
        </is>
      </c>
      <c r="D465" s="139" t="inlineStr">
        <is>
          <t>Block 2 · Watching usefully</t>
        </is>
      </c>
      <c r="E465" s="223" t="inlineStr">
        <is>
          <t>Agree a focus before observing</t>
        </is>
      </c>
      <c r="F465" s="139" t="inlineStr">
        <is>
          <t>CORU SoP 5.8</t>
        </is>
      </c>
      <c r="G465" s="227" t="inlineStr">
        <is>
          <t>The Reference sheet: watch for process, not content. You already know what a standardised administration looks like; what you do not know is how they manage the room, the interruption, the run of wrong answers. CORU SoP 5.8 is mapped here — read it for its wording. Bandura's (1977, Social Learning Theory) account of observational learning puts attention first: without a focus, you watch everything and learn little.</t>
        </is>
      </c>
      <c r="H465" s="165" t="inlineStr">
        <is>
          <t>WATCH FOR — the moments linked to your agreed focus: how they open with a wary parent, what they say when a child refuses, how they decline to give a score on the day, how they close a meeting that has gone badly.
WRITE DOWN — the focus agreed beforehand, and every moment that relates to it, with verbatim phrases where possible.
ASK AFTERWARDS — 'was that a typical example of how you handle that, or did something about this case change it?'</t>
        </is>
      </c>
      <c r="I465" s="165" t="inlineStr">
        <is>
          <t>YOU TAKE — choosing a focus from your own development needs (supervision records and agendas will show them) and proposing it before the observation.
THEY HOLD — refining it to fit the event, and telling you if the case makes the focus inappropriate or unlikely to arise.
WHY THAT SPLIT — the focus should come from your learning needs, which you know. The supervisor knows the case and whether the moment you want to see is likely to happen.</t>
        </is>
      </c>
      <c r="J465" s="165" t="inlineStr">
        <is>
          <t>YOU RUN IT — agree the focus with your supervisor before the observation, observe against it, and debrief against it, with them adjusting where needed.
WHAT THEY ARE WATCHING FOR — a focus so broad it is not a focus ('how you do assessments'), or one on content you already know rather than process.
STEPPING IN LOOKS LIKE — 'you know the WISC — watch what I do when the parent starts to cry, if she does.'</t>
        </is>
      </c>
      <c r="K465" s="207" t="inlineStr">
        <is>
          <t>YOU DO IT ALONE — set a specific, process-focused aim for every observation, tied to your development needs, and record against it.
PASS TEST — You knew what you were watching for
EVIDENCE TO FILE — the focus written on the Appendix 7 form before the observation; notes against it. Log against 7. Supervision.
WHAT FAILURE LOOKS LIKE — an Appendix 7 form that says 'observed an assessment, very useful' with nothing specific learned.</t>
        </is>
      </c>
      <c r="L465" s="165" t="inlineStr">
        <is>
          <t>YOU CAN TEACH IT — you can explain why a focus matters (Bandura, 1977, on attention in observational learning), the difference between process and content, and how to choose a focus from your own records.
WHEN IT GOES WRONG — you can say what to do when the moment you wanted to see does not arise: observe what did happen, and ask your supervisor to talk you through how they would have handled the moment.</t>
        </is>
      </c>
      <c r="M465" s="224" t="inlineStr">
        <is>
          <t>Watching the content you already know rather than the process you do not.</t>
        </is>
      </c>
      <c r="N465" s="165" t="inlineStr">
        <is>
          <t>→ Feeds into 'Record what they did that you would not have' and 'Ask afterwards why they did it that way'.</t>
        </is>
      </c>
      <c r="O465" s="225" t="inlineStr">
        <is>
          <t>Not started</t>
        </is>
      </c>
      <c r="P465" s="165" t="inlineStr">
        <is>
          <t>WATCH FOR — the moments linked to your agreed focus: how they open with a wary parent, what they say when a child refuses, how they decline to give a score on the day, how they close a meeting that has gone badly.</t>
        </is>
      </c>
      <c r="Q465" s="139" t="inlineStr">
        <is>
          <t>Year 1</t>
        </is>
      </c>
      <c r="R465" s="226" t="inlineStr">
        <is>
          <t>26/10/2026</t>
        </is>
      </c>
      <c r="S465" s="226" t="inlineStr">
        <is>
          <t>16/11/2026</t>
        </is>
      </c>
      <c r="T465" s="226" t="inlineStr">
        <is>
          <t>14/12/2026</t>
        </is>
      </c>
      <c r="U465" s="139" t="inlineStr">
        <is>
          <t>Appendix 7 · Log sheet tagged 7. Supervision</t>
        </is>
      </c>
    </row>
    <row r="466" outlineLevel="2" ht="120" customHeight="1" s="128">
      <c r="A466" s="139" t="inlineStr">
        <is>
          <t>MICRO-SKILL</t>
        </is>
      </c>
      <c r="B466" s="139" t="inlineStr">
        <is>
          <t>7. Supervision</t>
        </is>
      </c>
      <c r="C466" s="139" t="inlineStr">
        <is>
          <t>Observe your supervisor with a client</t>
        </is>
      </c>
      <c r="D466" s="139" t="inlineStr">
        <is>
          <t>Block 2 · Watching usefully</t>
        </is>
      </c>
      <c r="E466" s="223" t="inlineStr">
        <is>
          <t>Record what they did that you would not have</t>
        </is>
      </c>
      <c r="F466" s="139" t="inlineStr">
        <is>
          <t>CORU SoP 4.3</t>
        </is>
      </c>
      <c r="G466" s="227" t="inlineStr">
        <is>
          <t>The value of observation lies in the gap between what you would have done and what an experienced practitioner did. General admiration ('she was very good with the parent') records nothing you can use. CORU SoP 4.3 is mapped here — reflecting critically on your own practice. The Reference sheet advises writing verbatim phrases: the actual words someone uses to decline to give a score on the day are more useful than a principle about managing expectations.</t>
        </is>
      </c>
      <c r="H466" s="165" t="inlineStr">
        <is>
          <t>WATCH FOR — the moments where your supervisor made a choice you would not have: waited instead of speaking, sat beside rather than opposite, named a feeling, changed plan, stopped a task.
WRITE DOWN — the moment, what they did (verbatim phrases where possible), and what you would have done instead.
ASK AFTERWARDS — 'I'd have kept going at that point — what made you stop?'</t>
        </is>
      </c>
      <c r="I466" s="165" t="inlineStr">
        <is>
          <t>YOU TAKE — writing the notes during or immediately after the observation, and completing your section of the Appendix 7 form on the day.
THEY HOLD — checking you have not recorded identifying detail about the family or child, and confirming your account of what happened.
WHY THAT SPLIT — the reflection is yours; no one else can say what you would have done. The supervisor protects the family's information, which your notes must respect.</t>
        </is>
      </c>
      <c r="J466" s="165" t="inlineStr">
        <is>
          <t>YOU RUN IT — after the observation, write two or three specific differences between their practice and yours, and share them in the debrief, with your supervisor responding.
WHAT THEY ARE WATCHING FOR — notes that praise rather than analyse, notes that summarise the case, and identifying details in your record.
STEPPING IN LOOKS LIKE — ''good rapport' isn't a note — what exactly did I do in the first two minutes?'</t>
        </is>
      </c>
      <c r="K466" s="207" t="inlineStr">
        <is>
          <t>YOU DO IT ALONE — record specific moments, verbatim where possible, where your supervisor's practice differed from what you would have done, and name what you will adopt.
PASS TEST — Specific, not general admiration
EVIDENCE TO FILE — your section of the Appendix 7 form, completed on the day (yours to write; prompts only here). Log against 7. Supervision.
WHAT FAILURE LOOKS LIKE — an Appendix 7 section left blank until June, or completed with 'very informative, excellent rapport'.</t>
        </is>
      </c>
      <c r="L466" s="165" t="inlineStr">
        <is>
          <t>YOU CAN TEACH IT — you can explain the difference between admiration and analysis, why verbatim phrases are useful, and how to turn an observation into a technique you then use.
WHEN IT GOES WRONG — you can say what to do when you disagree with something you observed: note it, raise it respectfully in the debrief, and treat the answer as learning either way.</t>
        </is>
      </c>
      <c r="M466" s="224" t="inlineStr">
        <is>
          <t>Recording general admiration instead of specific moments you would have handled differently.</t>
        </is>
      </c>
      <c r="N466" s="165" t="inlineStr">
        <is>
          <t>→ Feeds into 'Ask afterwards why they did it that way', Appendix 7, and the reflective essay (hers to write).</t>
        </is>
      </c>
      <c r="O466" s="225" t="inlineStr">
        <is>
          <t>Not started</t>
        </is>
      </c>
      <c r="P466" s="165" t="inlineStr">
        <is>
          <t>WATCH FOR — the moments where your supervisor made a choice you would not have: waited instead of speaking, sat beside rather than opposite, named a feeling, changed plan, stopped a task.</t>
        </is>
      </c>
      <c r="Q466" s="139" t="inlineStr">
        <is>
          <t>Year 1</t>
        </is>
      </c>
      <c r="R466" s="226" t="inlineStr">
        <is>
          <t>26/10/2026</t>
        </is>
      </c>
      <c r="S466" s="226" t="inlineStr">
        <is>
          <t>16/11/2026</t>
        </is>
      </c>
      <c r="T466" s="226" t="inlineStr">
        <is>
          <t>14/12/2026</t>
        </is>
      </c>
      <c r="U466" s="139" t="inlineStr">
        <is>
          <t>Appendix 7 · Log sheet tagged 7. Supervision</t>
        </is>
      </c>
    </row>
    <row r="467" outlineLevel="2" ht="120" customHeight="1" s="128">
      <c r="A467" s="139" t="inlineStr">
        <is>
          <t>MICRO-SKILL</t>
        </is>
      </c>
      <c r="B467" s="139" t="inlineStr">
        <is>
          <t>7. Supervision</t>
        </is>
      </c>
      <c r="C467" s="139" t="inlineStr">
        <is>
          <t>Observe your supervisor with a client</t>
        </is>
      </c>
      <c r="D467" s="139" t="inlineStr">
        <is>
          <t>Block 2 · Watching usefully</t>
        </is>
      </c>
      <c r="E467" s="223" t="inlineStr">
        <is>
          <t>Ask afterwards why they did it that way</t>
        </is>
      </c>
      <c r="F467" s="139" t="inlineStr">
        <is>
          <t>CORU SoP 4.5</t>
        </is>
      </c>
      <c r="G467" s="227" t="inlineStr">
        <is>
          <t>The Reference sheet: experienced practitioners make moves automatically and often have not put them into words until asked. Polanyi (1966, The Tacit Dimension) — 'we can know more than we can tell' — and Schön (1983, The Reflective Practitioner) on reflection-in-action describe the same gap. CORU SoP 4.5 is mapped here. If you do not ask, you copy the surface of what they did without the reasoning that makes it transferable.</t>
        </is>
      </c>
      <c r="H467" s="165" t="inlineStr">
        <is>
          <t>WATCH FOR — the decision points: a change of tack, a pause before speaking, a question not asked, a task abandoned. These are the moments with reasoning behind them.
WRITE DOWN — two or three decision points, each as a question you want to ask ('you changed tack when she mentioned the older brother — what were you thinking?').
ASK AFTERWARDS — the questions you wrote down, starting with the one you are least sure about.</t>
        </is>
      </c>
      <c r="I467" s="165" t="inlineStr">
        <is>
          <t>YOU TAKE — preparing the questions, booking ten minutes for the debrief the same day, and writing up the answers.
THEY HOLD — deciding how much of their reasoning about the case can be shared, particularly where it involves confidential family information.
WHY THAT SPLIT — the curiosity is yours. Some reasoning rests on information you are not party to, and the supervisor decides what can be said.</t>
        </is>
      </c>
      <c r="J467" s="165" t="inlineStr">
        <is>
          <t>YOU RUN IT — lead the debrief with your questions, listen, and ask follow-ups, with your supervisor explaining.
WHAT THEY ARE WATCHING FOR — questions about content ('what score did he get?') instead of decisions, questions framed as criticism, and debriefs postponed until the detail has faded.
STEPPING IN LOOKS LIKE — 'good question — and what would you have done if I'd kept going?'</t>
        </is>
      </c>
      <c r="K467" s="207" t="inlineStr">
        <is>
          <t>YOU DO IT ALONE — debrief every observation on the same day with specific questions about decisions, and record the reasoning you were given.
PASS TEST — You asked
EVIDENCE TO FILE — the debrief notes on the Appendix 7 form; a supervision record if the debrief used supervision time. Log against 7. Supervision.
WHAT FAILURE LOOKS LIKE — an observation with no debrief, so you can describe what they did but not why.</t>
        </is>
      </c>
      <c r="L467" s="165" t="inlineStr">
        <is>
          <t>YOU CAN TEACH IT — you can explain why the question is where the learning is (Polanyi, 1966; Schön, 1983), how to phrase it so it invites reasoning rather than defence, and how to use the answer.
WHEN IT GOES WRONG — you can say what to do when your supervisor cannot articulate why: ask what they noticed first, or what would have made them do it differently.</t>
        </is>
      </c>
      <c r="M467" s="224" t="inlineStr">
        <is>
          <t>Not asking about the decisions you noticed, so you learn the what and not the why.</t>
        </is>
      </c>
      <c r="N467" s="165" t="inlineStr">
        <is>
          <t>→ Feeds into 'Record what they did that you would not have', 7. Supervision, and your own practice in 5. Working with Others.</t>
        </is>
      </c>
      <c r="O467" s="225" t="inlineStr">
        <is>
          <t>Not started</t>
        </is>
      </c>
      <c r="P467" s="165" t="inlineStr">
        <is>
          <t>WATCH FOR — the decision points: a change of tack, a pause before speaking, a question not asked, a task abandoned. These are the moments with reasoning behind them.</t>
        </is>
      </c>
      <c r="Q467" s="139" t="inlineStr">
        <is>
          <t>Year 1</t>
        </is>
      </c>
      <c r="R467" s="226" t="inlineStr">
        <is>
          <t>26/10/2026</t>
        </is>
      </c>
      <c r="S467" s="226" t="inlineStr">
        <is>
          <t>16/11/2026</t>
        </is>
      </c>
      <c r="T467" s="226" t="inlineStr">
        <is>
          <t>14/12/2026</t>
        </is>
      </c>
      <c r="U467" s="139" t="inlineStr">
        <is>
          <t>Appendix 7 debrief notes · supervision records (Appendix 8) · Log sheet tagged 7. Supervision</t>
        </is>
      </c>
    </row>
    <row r="468" outlineLevel="2" ht="19.5" customHeight="1" s="128">
      <c r="A468" s="219" t="inlineStr">
        <is>
          <t>MACRO SKILL</t>
        </is>
      </c>
      <c r="B468" s="219" t="inlineStr">
        <is>
          <t>7. Supervision</t>
        </is>
      </c>
      <c r="C468" s="219" t="inlineStr">
        <is>
          <t>Be observed with a client</t>
        </is>
      </c>
      <c r="D468" s="219" t="n"/>
      <c r="E468" s="219" t="inlineStr">
        <is>
          <t>3 blocks · 4 micro-skills</t>
        </is>
      </c>
      <c r="F468" s="219" t="inlineStr">
        <is>
          <t>Handbook §6.2 · CORU 4.5 · 4.3</t>
        </is>
      </c>
      <c r="G468" s="219" t="n"/>
      <c r="H468" s="219" t="n"/>
      <c r="I468" s="219" t="n"/>
      <c r="J468" s="219" t="n"/>
      <c r="K468" s="219" t="n"/>
      <c r="L468" s="219" t="n"/>
      <c r="M468" s="219" t="n"/>
      <c r="N468" s="219" t="n"/>
      <c r="O468" s="219" t="n"/>
      <c r="P468" s="219" t="n"/>
      <c r="Q468" s="219" t="inlineStr">
        <is>
          <t>Year 1</t>
        </is>
      </c>
      <c r="R468" s="219" t="n"/>
      <c r="S468" s="219" t="n"/>
      <c r="T468" s="219" t="n"/>
      <c r="U468" s="219" t="n"/>
    </row>
    <row r="469" outlineLevel="2" ht="43.5" customHeight="1" s="128">
      <c r="A469" s="220" t="inlineStr">
        <is>
          <t>BLOCK</t>
        </is>
      </c>
      <c r="B469" s="220" t="inlineStr">
        <is>
          <t>7. Supervision</t>
        </is>
      </c>
      <c r="C469" s="220" t="inlineStr">
        <is>
          <t>Be observed with a client</t>
        </is>
      </c>
      <c r="D469" s="221" t="inlineStr">
        <is>
          <t>Block 1 · Arranging it</t>
        </is>
      </c>
      <c r="E469" s="222" t="inlineStr">
        <is>
          <t>Booking both early rather than scrambling in the final fortnight.</t>
        </is>
      </c>
      <c r="F469" s="220" t="inlineStr">
        <is>
          <t>Ask once · Weeks 1–2</t>
        </is>
      </c>
      <c r="G469" s="220" t="n"/>
      <c r="H469" s="220" t="n"/>
      <c r="I469" s="220" t="n"/>
      <c r="J469" s="220" t="n"/>
      <c r="K469" s="220" t="n"/>
      <c r="L469" s="220" t="n"/>
      <c r="M469" s="222" t="n"/>
      <c r="N469" s="220" t="n"/>
      <c r="O469" s="220" t="n"/>
      <c r="P469" s="220" t="inlineStr">
        <is>
          <t>How you build it: Book both in the first month. Diary them.</t>
        </is>
      </c>
      <c r="Q469" s="220" t="n"/>
      <c r="R469" s="220" t="n"/>
      <c r="S469" s="220" t="n"/>
      <c r="T469" s="220" t="n"/>
      <c r="U469" s="220" t="n"/>
    </row>
    <row r="470" outlineLevel="2" ht="120" customHeight="1" s="128">
      <c r="A470" s="139" t="inlineStr">
        <is>
          <t>MICRO-SKILL</t>
        </is>
      </c>
      <c r="B470" s="139" t="inlineStr">
        <is>
          <t>7. Supervision</t>
        </is>
      </c>
      <c r="C470" s="139" t="inlineStr">
        <is>
          <t>Be observed with a client</t>
        </is>
      </c>
      <c r="D470" s="139" t="inlineStr">
        <is>
          <t>Block 1 · Arranging it</t>
        </is>
      </c>
      <c r="E470" s="223" t="inlineStr">
        <is>
          <t>Arrange both observations early</t>
        </is>
      </c>
      <c r="F470" s="139" t="inlineStr">
        <is>
          <t>Handbook §6.2</t>
        </is>
      </c>
      <c r="G470" s="227" t="inlineStr">
        <is>
          <t>Observation is the only point at which your supervisor sees what you actually do rather than your account of it; every other supervision conversation passes through your own report. The UCD Handbook §6.2 is the reference mapped here — read it for the exact number and timing the programme sets rather than relying on this row. An observation in the last fortnight produces feedback you have no time left to act on, and the Appendix 7 form then records a comment with no follow-through.</t>
        </is>
      </c>
      <c r="H470" s="165" t="inlineStr">
        <is>
          <t>WATCH FOR — how your supervisor slots observations into the diary: which kinds of visit they think suit it (a consultation, a parent meeting, part of an assessment), and how much notice the school and family need so that consent for a second adult in the room is sought properly.
WRITE DOWN — the dates proposed, the activity, who has to agree to the observer being present, and where the Appendix 7 form will be kept.
ASK AFTERWARDS — 'when in a placement have you found observation most useful to a trainee, and why then?'</t>
        </is>
      </c>
      <c r="I470" s="165" t="inlineStr">
        <is>
          <t>YOU TAKE — raising observation at the first supervision session, proposing two or more dates in the first month, and choosing an ordinary piece of work rather than a showcase.
THEY HOLD — the final choice of session, checking that consent for their presence is in place, and completing their half of Appendix 7.
WHY THAT SPLIT — the timing is your responsibility because an early observation serves your learning. Whether a given family or school can accommodate an observer is a service judgement.</t>
        </is>
      </c>
      <c r="J470" s="165" t="inlineStr">
        <is>
          <t>YOU RUN IT — book the first observation in the opening weeks of the Cavan placement (05/10/2026 onwards) and the second with enough weeks left to act on what comes out of it; put both in the supervision record.
WHAT THEY ARE WATCHING FOR — dates that keep sliding because 'the right case' has not come up, or an over-prepared session chosen to look polished.
STEPPING IN LOOKS LIKE — 'the parent meeting on Tuesday is ordinary enough — shall I just come to that one?'</t>
        </is>
      </c>
      <c r="K470" s="207" t="inlineStr">
        <is>
          <t>YOU DO IT ALONE — within the first month the first observation is booked and dated, the second is scheduled with time to act on it, and consent for the observer is arranged through the usual service route.
PASS TEST — Booked in the first month
EVIDENCE TO FILE — the dated booking in the supervision record, then the completed Appendix 7 forms. Log against 7. Supervision.
WHAT FAILURE LOOKS LIKE — both observations crammed into the last fortnight in December, with no time to show any change in practice before the placement ends on 18/12/2026.</t>
        </is>
      </c>
      <c r="L470" s="165" t="inlineStr">
        <is>
          <t>YOU CAN TEACH IT — you can explain to a newer trainee why the minimum is not a target, why early observation is worth more than polished observation, and how to ask for it in week one without it sounding like a request for approval.
WHEN IT GOES WRONG — an observation is cancelled (child absent, school closure). Rebook at the same session, not 'when things settle'. Record the cancellation and new date in the supervision record so the gap is explained.</t>
        </is>
      </c>
      <c r="M470" s="224" t="inlineStr">
        <is>
          <t>Waiting for the ideal case, so that both observations fall at the end of placement.</t>
        </is>
      </c>
      <c r="N470" s="165" t="inlineStr">
        <is>
          <t>→ Feeds into 'Request a focus you find hard', 'Act on the feedback and say so next time', and the Appendix 7 trainee section.</t>
        </is>
      </c>
      <c r="O470" s="225" t="inlineStr">
        <is>
          <t>Not started</t>
        </is>
      </c>
      <c r="P470" s="165" t="inlineStr">
        <is>
          <t>WATCH FOR — how your supervisor slots observations into the diary: which kinds of visit they think suit it (a consultation, a parent meeting, part of an assessment), and how much notice the school and family need so that consent for a second adult in the room is sought properly.</t>
        </is>
      </c>
      <c r="Q470" s="139" t="inlineStr">
        <is>
          <t>Year 1</t>
        </is>
      </c>
      <c r="R470" s="226" t="inlineStr">
        <is>
          <t>26/10/2026</t>
        </is>
      </c>
      <c r="S470" s="226" t="inlineStr">
        <is>
          <t>16/11/2026</t>
        </is>
      </c>
      <c r="T470" s="226" t="inlineStr">
        <is>
          <t>14/12/2026</t>
        </is>
      </c>
      <c r="U470" s="139" t="inlineStr">
        <is>
          <t>Supervision record — observation dates · Appendix 7 · Log sheet tagged 7. Supervision</t>
        </is>
      </c>
    </row>
    <row r="471" outlineLevel="2" ht="43.5" customHeight="1" s="128">
      <c r="A471" s="220" t="inlineStr">
        <is>
          <t>BLOCK</t>
        </is>
      </c>
      <c r="B471" s="220" t="inlineStr">
        <is>
          <t>7. Supervision</t>
        </is>
      </c>
      <c r="C471" s="220" t="inlineStr">
        <is>
          <t>Be observed with a client</t>
        </is>
      </c>
      <c r="D471" s="221" t="inlineStr">
        <is>
          <t>Block 2 · Choosing the focus</t>
        </is>
      </c>
      <c r="E471" s="222" t="inlineStr">
        <is>
          <t>Asking to be watched on the thing you find hard.</t>
        </is>
      </c>
      <c r="F471" s="220" t="inlineStr">
        <is>
          <t>Habit · Weeks 3–6</t>
        </is>
      </c>
      <c r="G471" s="220" t="n"/>
      <c r="H471" s="220" t="n"/>
      <c r="I471" s="220" t="n"/>
      <c r="J471" s="220" t="n"/>
      <c r="K471" s="220" t="n"/>
      <c r="L471" s="220" t="n"/>
      <c r="M471" s="222" t="n"/>
      <c r="N471" s="220" t="n"/>
      <c r="O471" s="220" t="n"/>
      <c r="P471" s="220" t="inlineStr">
        <is>
          <t>How you build it: Name it explicitly when you ask. Rapport, feedback, a difficult consultation.</t>
        </is>
      </c>
      <c r="Q471" s="220" t="n"/>
      <c r="R471" s="220" t="n"/>
      <c r="S471" s="220" t="n"/>
      <c r="T471" s="220" t="n"/>
      <c r="U471" s="220" t="n"/>
    </row>
    <row r="472" outlineLevel="2" ht="120" customHeight="1" s="128">
      <c r="A472" s="139" t="inlineStr">
        <is>
          <t>MICRO-SKILL</t>
        </is>
      </c>
      <c r="B472" s="139" t="inlineStr">
        <is>
          <t>7. Supervision</t>
        </is>
      </c>
      <c r="C472" s="139" t="inlineStr">
        <is>
          <t>Be observed with a client</t>
        </is>
      </c>
      <c r="D472" s="139" t="inlineStr">
        <is>
          <t>Block 2 · Choosing the focus</t>
        </is>
      </c>
      <c r="E472" s="223" t="inlineStr">
        <is>
          <t>Request a focus you find hard</t>
        </is>
      </c>
      <c r="F472" s="139" t="inlineStr">
        <is>
          <t>CORU SoP 4.5</t>
        </is>
      </c>
      <c r="G472" s="227" t="inlineStr">
        <is>
          <t>Feedback is only as useful as the question it answers: 'any feedback welcome' tends to produce reassurance, while 'watch how I handle a parent who disagrees' produces something you can use. CORU SoP 4.5 is the standard mapped here — read its full text on the Reference sheet. Choosing a focus you find hard is also evidence that you are directing your own development. Being observed only on administration, where you are already fluent, wastes the one chance to have someone see your weak spot.</t>
        </is>
      </c>
      <c r="H472" s="165" t="inlineStr">
        <is>
          <t>WATCH FOR — which parts of practice your supervisor finds hardest to teach by telling: managing a disagreement, pacing a feedback meeting, engaging a reluctant adolescent, handling silence. These are the areas where observation adds most.
WRITE DOWN — a short list of your own candidate focuses, ranked by how uncomfortable they make you, with one concrete behaviour for each that an observer could watch.
ASK AFTERWARDS — 'which part of my work do you think you'd learn most from seeing?'</t>
        </is>
      </c>
      <c r="I472" s="165" t="inlineStr">
        <is>
          <t>YOU TAKE — naming the focus in writing before the session, as a behaviour an observer can see (for example 'how I respond when a parent rejects a recommendation').
THEY HOLD — agreeing whether the chosen session will actually show that behaviour, and adding a second focus if they have noticed something you have not.
WHY THAT SPLIT — the focus is yours because self-direction is what is being assessed. Your supervisor may see a blind spot you cannot name, and their addition is part of the learning.</t>
        </is>
      </c>
      <c r="J472" s="165" t="inlineStr">
        <is>
          <t>YOU RUN IT — pick the session that exposes the hard skill, send the focus to your supervisor a few days before, and resist the urge to swap to an easier activity nearer the date.
WHAT THEY ARE WATCHING FOR — a focus so broad it cannot be observed ('my rapport'), or a quiet switch back to standardised administration because it feels safer.
STEPPING IN LOOKS LIKE — '"rapport" is too wide for me to watch. Which moment in the meeting do you actually dread?'</t>
        </is>
      </c>
      <c r="K472" s="207" t="inlineStr">
        <is>
          <t>YOU DO IT ALONE — each observation has a written focus, chosen by you, on something you find hard and that the observer can see happen.
PASS TEST — Not administration, which is easiest
EVIDENCE TO FILE — the stated focus written at the top of your Appendix 7 section and in the supervision record. Log against 7. Supervision.
WHAT FAILURE LOOKS LIKE — two observations of a cognitive assessment you have given many times, and feedback that says 'well administered, good rapport' and nothing you can change.</t>
        </is>
      </c>
      <c r="L472" s="165" t="inlineStr">
        <is>
          <t>YOU CAN TEACH IT — you can explain the difference between a focus and a topic, and show a peer how to turn 'my feedback meetings' into 'how I explain a low score to a parent without softening it into meaninglessness'.
WHEN IT GOES WRONG — the hard moment does not arise (the parent agrees with everything). Say so in your section of the form, take what feedback there is, and ask to keep the same focus for the next observation.</t>
        </is>
      </c>
      <c r="M472" s="224" t="inlineStr">
        <is>
          <t>Asking to be observed on the activity you are best at and inviting general feedback.</t>
        </is>
      </c>
      <c r="N472" s="165" t="inlineStr">
        <is>
          <t>→ Feeds into 'Receive critical feedback without defending' and into the targets you set in Appendix 6.</t>
        </is>
      </c>
      <c r="O472" s="225" t="inlineStr">
        <is>
          <t>Not started</t>
        </is>
      </c>
      <c r="P472" s="165" t="inlineStr">
        <is>
          <t>WATCH FOR — which parts of practice your supervisor finds hardest to teach by telling: managing a disagreement, pacing a feedback meeting, engaging a reluctant adolescent, handling silence. These are the areas where observation adds most.</t>
        </is>
      </c>
      <c r="Q472" s="139" t="inlineStr">
        <is>
          <t>Year 1</t>
        </is>
      </c>
      <c r="R472" s="226" t="inlineStr">
        <is>
          <t>26/10/2026</t>
        </is>
      </c>
      <c r="S472" s="226" t="inlineStr">
        <is>
          <t>16/11/2026</t>
        </is>
      </c>
      <c r="T472" s="226" t="inlineStr">
        <is>
          <t>14/12/2026</t>
        </is>
      </c>
      <c r="U472" s="139" t="inlineStr">
        <is>
          <t>Appendix 7 — stated focus · Supervision record · Log sheet tagged 7. Supervision</t>
        </is>
      </c>
    </row>
    <row r="473" outlineLevel="2" ht="43.5" customHeight="1" s="128">
      <c r="A473" s="220" t="inlineStr">
        <is>
          <t>BLOCK</t>
        </is>
      </c>
      <c r="B473" s="220" t="inlineStr">
        <is>
          <t>7. Supervision</t>
        </is>
      </c>
      <c r="C473" s="220" t="inlineStr">
        <is>
          <t>Be observed with a client</t>
        </is>
      </c>
      <c r="D473" s="221" t="inlineStr">
        <is>
          <t>Block 3 · Receiving it</t>
        </is>
      </c>
      <c r="E473" s="222" t="inlineStr">
        <is>
          <t>Taking critical feedback without defending, then acting on it.</t>
        </is>
      </c>
      <c r="F473" s="220" t="inlineStr">
        <is>
          <t>Ongoing · Weeks 7–12</t>
        </is>
      </c>
      <c r="G473" s="220" t="n"/>
      <c r="H473" s="220" t="n"/>
      <c r="I473" s="220" t="n"/>
      <c r="J473" s="220" t="n"/>
      <c r="K473" s="220" t="n"/>
      <c r="L473" s="220" t="n"/>
      <c r="M473" s="222" t="n"/>
      <c r="N473" s="220" t="n"/>
      <c r="O473" s="220" t="n"/>
      <c r="P473" s="220" t="inlineStr">
        <is>
          <t>How you build it: Write it down verbatim before responding. Respond next session.</t>
        </is>
      </c>
      <c r="Q473" s="220" t="n"/>
      <c r="R473" s="220" t="n"/>
      <c r="S473" s="220" t="n"/>
      <c r="T473" s="220" t="n"/>
      <c r="U473" s="220" t="n"/>
    </row>
    <row r="474" outlineLevel="2" ht="120" customHeight="1" s="128">
      <c r="A474" s="139" t="inlineStr">
        <is>
          <t>MICRO-SKILL</t>
        </is>
      </c>
      <c r="B474" s="139" t="inlineStr">
        <is>
          <t>7. Supervision</t>
        </is>
      </c>
      <c r="C474" s="139" t="inlineStr">
        <is>
          <t>Be observed with a client</t>
        </is>
      </c>
      <c r="D474" s="139" t="inlineStr">
        <is>
          <t>Block 3 · Receiving it</t>
        </is>
      </c>
      <c r="E474" s="223" t="inlineStr">
        <is>
          <t>Receive critical feedback without defending</t>
        </is>
      </c>
      <c r="F474" s="139" t="inlineStr">
        <is>
          <t>CORU SoP 4.3 · PSI Code 3.5.2</t>
        </is>
      </c>
      <c r="G474" s="227" t="inlineStr">
        <is>
          <t>Defending and collapsing cost you the same thing: the information. Stone and Heen (Thanks for the Feedback, 2014) describe how people reject feedback by arguing with the giver or the accuracy rather than hearing what is being said. CORU SoP 4.3 and PSI Code 3.5.2 are mapped here — read both in full. A trainee who argues each point in the room teaches their supervisor to give less feedback, and supervisors are likely to read defensiveness as a problem with using supervision.</t>
        </is>
      </c>
      <c r="H474" s="165" t="inlineStr">
        <is>
          <t>WATCH FOR — how your supervisor gives difficult feedback: whether they lead with the observation, the effect on the child or parent, or a question. Notice your own body and the first sentence that forms in your head.
WRITE DOWN — the feedback word for word as it is said, before you interpret it. Mark anything you disagree with privately, for later, not now.
ASK AFTERWARDS — 'is there anything you held back today because you weren't sure how I'd take it?'</t>
        </is>
      </c>
      <c r="I474" s="165" t="inlineStr">
        <is>
          <t>YOU TAKE — listening, writing it down, and asking only clarifying questions ('what did you see that made you think that?'). No explanation of why you did it.
THEY HOLD — the content and framing of the feedback, and the pace at which it is given.
WHY THAT SPLIT — your job in the room is to receive, not to respond on substance. The response comes the following week, once you have had time to think, which is when you can disagree properly if you still do.</t>
        </is>
      </c>
      <c r="J474" s="165" t="inlineStr">
        <is>
          <t>YOU RUN IT — after an observation, take the feedback, summarise it back in one or two sentences, and say when you will return to it. Stop there.
WHAT THEY ARE WATCHING FOR — 'yes, but the child was tired', a justification after every point, or the opposite: agreeing with everything, apologising, and taking nothing specific away.
STEPPING IN LOOKS LIKE — 'you don't need to explain it now. Write down what I said and tell me next week what you make of it.'</t>
        </is>
      </c>
      <c r="K474" s="207" t="inlineStr">
        <is>
          <t>YOU DO IT ALONE — take critical feedback without arguing or apologising, record it accurately, ask one clarifying question, and return to it at the next session.
PASS TEST — You listened
EVIDENCE TO FILE — your verbatim note of the feedback in your Appendix 7 section and the supervision record. Log against 7. Supervision.
WHAT FAILURE LOOKS LIKE — the supervision record shows a discussion of why the feedback was unfair, and nothing about what you will try.</t>
        </is>
      </c>
      <c r="L474" s="165" t="inlineStr">
        <is>
          <t>YOU CAN TEACH IT — you can explain why 'receive now, respond later' protects the information, name the common ways feedback gets deflected (Stone &amp; Heen, 2014), and model a clarifying question that is not a defence in disguise.
WHEN IT GOES WRONG — you catch yourself defending mid-sentence. Stop, say 'sorry, I'll take that away', and write it down. If you still disagree a week later, bring your reasoning to supervision calmly, with evidence.</t>
        </is>
      </c>
      <c r="M474" s="224" t="inlineStr">
        <is>
          <t>Explaining why you did it before you have finished hearing what was seen.</t>
        </is>
      </c>
      <c r="N474" s="165" t="inlineStr">
        <is>
          <t>→ Feeds into 'Act on the feedback and say so next time' and into CORU SoP 4.3 evidence in Appendix 6.</t>
        </is>
      </c>
      <c r="O474" s="225" t="inlineStr">
        <is>
          <t>Not started</t>
        </is>
      </c>
      <c r="P474" s="165" t="inlineStr">
        <is>
          <t>WATCH FOR — how your supervisor gives difficult feedback: whether they lead with the observation, the effect on the child or parent, or a question. Notice your own body and the first sentence that forms in your head.</t>
        </is>
      </c>
      <c r="Q474" s="139" t="inlineStr">
        <is>
          <t>Year 1</t>
        </is>
      </c>
      <c r="R474" s="226" t="inlineStr">
        <is>
          <t>26/10/2026</t>
        </is>
      </c>
      <c r="S474" s="226" t="inlineStr">
        <is>
          <t>16/11/2026</t>
        </is>
      </c>
      <c r="T474" s="226" t="inlineStr">
        <is>
          <t>14/12/2026</t>
        </is>
      </c>
      <c r="U474" s="139" t="inlineStr">
        <is>
          <t>Appendix 7 — trainee section · Supervision record · Log sheet tagged 7. Supervision</t>
        </is>
      </c>
    </row>
    <row r="475" outlineLevel="2" ht="120" customHeight="1" s="128">
      <c r="A475" s="139" t="inlineStr">
        <is>
          <t>MICRO-SKILL</t>
        </is>
      </c>
      <c r="B475" s="139" t="inlineStr">
        <is>
          <t>7. Supervision</t>
        </is>
      </c>
      <c r="C475" s="139" t="inlineStr">
        <is>
          <t>Be observed with a client</t>
        </is>
      </c>
      <c r="D475" s="139" t="inlineStr">
        <is>
          <t>Block 3 · Receiving it</t>
        </is>
      </c>
      <c r="E475" s="223" t="inlineStr">
        <is>
          <t>Act on the feedback and say so next time</t>
        </is>
      </c>
      <c r="F475" s="139" t="inlineStr">
        <is>
          <t>CORU SoP 4.3</t>
        </is>
      </c>
      <c r="G475" s="227" t="inlineStr">
        <is>
          <t>The return is what gets noticed: coming back the following week with what you tried is the difference between receiving feedback and using it. CORU SoP 4.3 is mapped here. The Reference sheet sets the top grade as a specific change in practice that followed an observation. A trainee who nods, fills in the form and changes nothing leaves no trace of learning in the record, and the next observation finds the same thing.</t>
        </is>
      </c>
      <c r="H475" s="165" t="inlineStr">
        <is>
          <t>WATCH FOR — how your supervisor follows up on feedback they have given earlier: do they ask, or wait for you to raise it? Notice which changes they consider meaningful and which they treat as cosmetic.
WRITE DOWN — one change you will try, where you will try it (the next similar session), and how you will know whether it made a difference.
ASK AFTERWARDS — 'what would you need to see next time to know I've taken this on?'</t>
        </is>
      </c>
      <c r="I475" s="165" t="inlineStr">
        <is>
          <t>YOU TAKE — choosing the change, trying it in the next comparable session, and opening the following supervision with what happened.
THEY HOLD — judging whether the change addresses what they saw, and deciding whether to observe the same skill again.
WHY THAT SPLIT — acting on feedback is the trainee's half of the contract. Only the observer can say whether the change reached what they were pointing at.</t>
        </is>
      </c>
      <c r="J475" s="165" t="inlineStr">
        <is>
          <t>YOU RUN IT — put the observation feedback as the first item on the next supervision agenda, report what you did differently and what you noticed, and record it.
WHAT THEY ARE WATCHING FOR — a change that is a restatement of the feedback ('I'll be more aware of pace') rather than something done; or the feedback silently dropped.
STEPPING IN LOOKS LIKE — 'you said you'd pause after giving the scores. Did you, in the Thursday meeting? What happened?'</t>
        </is>
      </c>
      <c r="K475" s="207" t="inlineStr">
        <is>
          <t>YOU DO IT ALONE — within a week or two of each observation, you try a specific change, tell your supervisor unprompted, and the record shows the before and after.
PASS TEST — Something changed
EVIDENCE TO FILE — the supervision record entry reporting the change, cross-referenced to the Appendix 7 form. This is also raw material for the reflective essay. Log against 7. Supervision.
WHAT FAILURE LOOKS LIKE — the second observation's feedback repeats the first almost word for word.</t>
        </is>
      </c>
      <c r="L475" s="165" t="inlineStr">
        <is>
          <t>YOU CAN TEACH IT — you can show a peer how to turn a feedback comment into one behaviour, one setting and one sign of success, and explain why reporting back unprompted matters more than getting it right first time.
WHEN IT GOES WRONG — the change did not work, or made things worse. Report that too: it is still acting on feedback. Ask in supervision what else to try, and record both attempts.</t>
        </is>
      </c>
      <c r="M475" s="224" t="inlineStr">
        <is>
          <t>Completing the form and never mentioning the feedback again.</t>
        </is>
      </c>
      <c r="N475" s="165" t="inlineStr">
        <is>
          <t>→ Feeds into 'Trace a change in practice to a specific reflection' in the reflective essay and 'Rate again at the end and compare' in Appendix 6.</t>
        </is>
      </c>
      <c r="O475" s="225" t="inlineStr">
        <is>
          <t>Not started</t>
        </is>
      </c>
      <c r="P475" s="165" t="inlineStr">
        <is>
          <t>WATCH FOR — how your supervisor follows up on feedback they have given earlier: do they ask, or wait for you to raise it? Notice which changes they consider meaningful and which they treat as cosmetic.</t>
        </is>
      </c>
      <c r="Q475" s="139" t="inlineStr">
        <is>
          <t>Year 1</t>
        </is>
      </c>
      <c r="R475" s="226" t="inlineStr">
        <is>
          <t>26/10/2026</t>
        </is>
      </c>
      <c r="S475" s="226" t="inlineStr">
        <is>
          <t>16/11/2026</t>
        </is>
      </c>
      <c r="T475" s="226" t="inlineStr">
        <is>
          <t>14/12/2026</t>
        </is>
      </c>
      <c r="U475" s="139" t="inlineStr">
        <is>
          <t>Supervision record — follow-up · Appendix 7 · Log sheet tagged 7. Supervision</t>
        </is>
      </c>
    </row>
    <row r="476" outlineLevel="2" ht="19.5" customHeight="1" s="128">
      <c r="A476" s="219" t="inlineStr">
        <is>
          <t>MACRO SKILL</t>
        </is>
      </c>
      <c r="B476" s="219" t="inlineStr">
        <is>
          <t>7. Supervision</t>
        </is>
      </c>
      <c r="C476" s="219" t="inlineStr">
        <is>
          <t>Raise immediate concerns out of session</t>
        </is>
      </c>
      <c r="D476" s="219" t="n"/>
      <c r="E476" s="219" t="inlineStr">
        <is>
          <t>2 blocks · 4 micro-skills</t>
        </is>
      </c>
      <c r="F476" s="219" t="inlineStr">
        <is>
          <t>Handbook §6.2 · Children First</t>
        </is>
      </c>
      <c r="G476" s="219" t="n"/>
      <c r="H476" s="219" t="n"/>
      <c r="I476" s="219" t="n"/>
      <c r="J476" s="219" t="n"/>
      <c r="K476" s="219" t="n"/>
      <c r="L476" s="219" t="n"/>
      <c r="M476" s="219" t="n"/>
      <c r="N476" s="219" t="n"/>
      <c r="O476" s="219" t="n"/>
      <c r="P476" s="219" t="n"/>
      <c r="Q476" s="219" t="inlineStr">
        <is>
          <t>Year 1</t>
        </is>
      </c>
      <c r="R476" s="219" t="n"/>
      <c r="S476" s="219" t="n"/>
      <c r="T476" s="219" t="n"/>
      <c r="U476" s="219" t="n"/>
    </row>
    <row r="477" outlineLevel="2" ht="43.5" customHeight="1" s="128">
      <c r="A477" s="220" t="inlineStr">
        <is>
          <t>BLOCK</t>
        </is>
      </c>
      <c r="B477" s="220" t="inlineStr">
        <is>
          <t>7. Supervision</t>
        </is>
      </c>
      <c r="C477" s="220" t="inlineStr">
        <is>
          <t>Raise immediate concerns out of session</t>
        </is>
      </c>
      <c r="D477" s="221" t="inlineStr">
        <is>
          <t>Block 1 · Knowing what counts</t>
        </is>
      </c>
      <c r="E477" s="222" t="inlineStr">
        <is>
          <t>Crisis, client welfare concern, ethical dilemma — the handbook names all three.</t>
        </is>
      </c>
      <c r="F477" s="220" t="inlineStr">
        <is>
          <t>1 hour, week one · Weeks 1–2</t>
        </is>
      </c>
      <c r="G477" s="220" t="n"/>
      <c r="H477" s="220" t="n"/>
      <c r="I477" s="220" t="n"/>
      <c r="J477" s="220" t="n"/>
      <c r="K477" s="220" t="n"/>
      <c r="L477" s="220" t="n"/>
      <c r="M477" s="222" t="n"/>
      <c r="N477" s="220" t="n"/>
      <c r="O477" s="220" t="n"/>
      <c r="P477" s="220" t="inlineStr">
        <is>
          <t>How you build it: Read §6.2. Ask your supervisor what else counts here.</t>
        </is>
      </c>
      <c r="Q477" s="220" t="n"/>
      <c r="R477" s="220" t="n"/>
      <c r="S477" s="220" t="n"/>
      <c r="T477" s="220" t="n"/>
      <c r="U477" s="220" t="n"/>
    </row>
    <row r="478" outlineLevel="2" ht="120" customHeight="1" s="128">
      <c r="A478" s="139" t="inlineStr">
        <is>
          <t>MICRO-SKILL</t>
        </is>
      </c>
      <c r="B478" s="139" t="inlineStr">
        <is>
          <t>7. Supervision</t>
        </is>
      </c>
      <c r="C478" s="139" t="inlineStr">
        <is>
          <t>Raise immediate concerns out of session</t>
        </is>
      </c>
      <c r="D478" s="139" t="inlineStr">
        <is>
          <t>Block 1 · Knowing what counts</t>
        </is>
      </c>
      <c r="E478" s="223" t="inlineStr">
        <is>
          <t>Know what counts as immediate here</t>
        </is>
      </c>
      <c r="F478" s="139" t="inlineStr">
        <is>
          <t>Handbook §6.2</t>
        </is>
      </c>
      <c r="G478" s="227" t="inlineStr">
        <is>
          <t>Trainees rarely fail to raise a crisis because they missed it; more often they did not want to interrupt or were unsure it was serious enough. The UCD Handbook §6.2 is the reference mapped here — read its wording for the programme's requirement. The Reference sheet's test is deliberately low: if you are asking whether it is serious enough to interrupt someone, it is. The cost of an unnecessary call is minutes; the cost of waiting can be a child's safety.</t>
        </is>
      </c>
      <c r="H478" s="165" t="inlineStr">
        <is>
          <t>WATCH FOR — which situations your supervisor treats as needing a same-day call: a child protection or welfare concern, a disclosure, a child indicating intent to harm self or others, an escalating parent or school conflict, an error you have made with consequences.
WRITE DOWN — the service's own list, if it has one, and any categories it adds for this area (for example contact with CAMHS or Tusla already open on a case).
ASK AFTERWARDS — 'what's something a trainee sat on that you wish they'd rung you about?'</t>
        </is>
      </c>
      <c r="I478" s="165" t="inlineStr">
        <is>
          <t>YOU TAKE — learning the categories (crisis, welfare concern, ethical dilemma) and, when in doubt, making the call rather than deciding alone that it can wait.
THEY HOLD — the judgement on anything borderline once you have raised it, and the decision about further escalation within the service.
WHY THAT SPLIT — your part is not to under-call. Grading severity is where experience matters, and you only get that experience by bringing borderline cases forward.</t>
        </is>
      </c>
      <c r="J478" s="165" t="inlineStr">
        <is>
          <t>YOU RUN IT — for the first weeks in Cavan, raise any borderline concern with your supervisor the same day and say which category you think it falls into and why.
WHAT THEY ARE WATCHING FOR — concerns held to the weekly session because they 'weren't really child protection', and ethical dilemmas (a school asking you to alter a report, a consent problem) not recognised as urgent.
STEPPING IN LOOKS LIKE — 'you were right to ring. Next time something like this, don't wait until Friday.'</t>
        </is>
      </c>
      <c r="K478" s="207" t="inlineStr">
        <is>
          <t>YOU DO IT ALONE — you can name the three kinds of concern that cannot wait, recognise them in the moment, and raise them the same day without talking yourself out of it.
PASS TEST — Crisis, welfare concern, ethical dilemma
EVIDENCE TO FILE — a supervision record note that the categories and service protocol were reviewed at induction. Log against 7. Supervision and 6. Ethical Practice.
WHAT FAILURE LOOKS LIKE — an unexplained injury noted during an observation and first mentioned at supervision four days later.</t>
        </is>
      </c>
      <c r="L478" s="165" t="inlineStr">
        <is>
          <t>YOU CAN TEACH IT — you can explain the low threshold for interrupting, why trainees under-call, and the difference between 'immediate' (same day) and 'important' (next session).
WHEN IT GOES WRONG — you realise you held something that should have been raised. Raise it now, act on any duty that still applies, and record honestly when you became aware and when you raised it.</t>
        </is>
      </c>
      <c r="M478" s="224" t="inlineStr">
        <is>
          <t>Deciding alone that a concern was not serious enough to interrupt your supervisor.</t>
        </is>
      </c>
      <c r="N478" s="165" t="inlineStr">
        <is>
          <t>→ Feeds into 'Know how to reach your supervisor out of session', 'Act first where the duty is yours', and 6. Ethical Practice.</t>
        </is>
      </c>
      <c r="O478" s="225" t="inlineStr">
        <is>
          <t>Not started</t>
        </is>
      </c>
      <c r="P478" s="165" t="inlineStr">
        <is>
          <t>WATCH FOR — which situations your supervisor treats as needing a same-day call: a child protection or welfare concern, a disclosure, a child indicating intent to harm self or others, an escalating parent or school conflict, an error you have made with consequences.</t>
        </is>
      </c>
      <c r="Q478" s="139" t="inlineStr">
        <is>
          <t>Year 1</t>
        </is>
      </c>
      <c r="R478" s="226" t="inlineStr">
        <is>
          <t>26/10/2026</t>
        </is>
      </c>
      <c r="S478" s="226" t="inlineStr">
        <is>
          <t>16/11/2026</t>
        </is>
      </c>
      <c r="T478" s="226" t="inlineStr">
        <is>
          <t>14/12/2026</t>
        </is>
      </c>
      <c r="U478" s="139" t="inlineStr">
        <is>
          <t>Supervision record — induction review · Log sheet tagged 7. Supervision and 6. Ethical Practice</t>
        </is>
      </c>
    </row>
    <row r="479" outlineLevel="2" ht="120" customHeight="1" s="128">
      <c r="A479" s="139" t="inlineStr">
        <is>
          <t>MICRO-SKILL</t>
        </is>
      </c>
      <c r="B479" s="139" t="inlineStr">
        <is>
          <t>7. Supervision</t>
        </is>
      </c>
      <c r="C479" s="139" t="inlineStr">
        <is>
          <t>Raise immediate concerns out of session</t>
        </is>
      </c>
      <c r="D479" s="139" t="inlineStr">
        <is>
          <t>Block 1 · Knowing what counts</t>
        </is>
      </c>
      <c r="E479" s="223" t="inlineStr">
        <is>
          <t>Know how to reach your supervisor out of session</t>
        </is>
      </c>
      <c r="F479" s="139" t="inlineStr">
        <is>
          <t>Handbook §6.2</t>
        </is>
      </c>
      <c r="G479" s="227" t="inlineStr">
        <is>
          <t>A concern that has to be raised the same day needs a route that works when your supervisor is in another school, on leave or in a meeting. The UCD Handbook §6.2 is mapped here. The Reference sheet notes that the supervision contract should say who covers; if it does not, find out before you need it. Discovering on the day that you only have an office email address wastes time a child may not have.</t>
        </is>
      </c>
      <c r="H479" s="165" t="inlineStr">
        <is>
          <t>WATCH FOR — how your supervisor is reached when out of the office, who covers when they are on leave, and whether the service has a senior psychologist or duty line for urgent queries.
WRITE DOWN — mobile number, a named deputy and their number, the DLP for each school you visit, and the Tusla contact route for the area, kept on paper and on your service phone.
ASK AFTERWARDS — 'if I can't get you and it can't wait, who exactly do I ring next?'</t>
        </is>
      </c>
      <c r="I479" s="165" t="inlineStr">
        <is>
          <t>YOU TAKE — collecting the numbers in week one, keeping them with you in every school, and checking them against your diary so you know who covers on any given day.
THEY HOLD — writing the cover arrangement into the supervision contract and telling you when it changes (leave, courses).
WHY THAT SPLIT — carrying the route is yours because you are the one who will need it. Cover depends on service rotas that only your supervisor can arrange.</t>
        </is>
      </c>
      <c r="J479" s="165" t="inlineStr">
        <is>
          <t>YOU RUN IT — at the start of each week, check who covers on each day you are in a school and confirm the DLP name for each visit.
WHAT THEY ARE WATCHING FOR — a contact list that lives only in an email, a deputy never named, and no DLP name for a school you are visiting for the first time.
STEPPING IN LOOKS LIKE — 'I'm at a course on Wednesday. Who are you ringing if something comes up at the school that afternoon?'</t>
        </is>
      </c>
      <c r="K479" s="207" t="inlineStr">
        <is>
          <t>YOU DO IT ALONE — before every school day you have your supervisor's number, the named cover, the school DLP's name and the Tusla route, and you know which to use first.
PASS TEST — You have the number
EVIDENCE TO FILE — the supervision contract clause on out-of-session contact and cover. Do not log personal phone numbers in your own Log. Log against 7. Supervision.
WHAT FAILURE LOOKS LIKE — a disclosure at 2.30pm, your supervisor unreachable, and nobody else's number on you.</t>
        </is>
      </c>
      <c r="L479" s="165" t="inlineStr">
        <is>
          <t>YOU CAN TEACH IT — you can explain why the route has to be set up before the day, what goes on a contact card, and why not reaching your supervisor never suspends a Children First duty.
WHEN IT GOES WRONG — you cannot reach anyone. Act on any duty that is yours (DLP, and Tusla if at threshold; An Garda Síochána if a child is in immediate danger), record every attempt at contact with times, and tell your supervisor as soon as you reach them.</t>
        </is>
      </c>
      <c r="M479" s="224" t="inlineStr">
        <is>
          <t>Having only an office email address for your supervisor and no named cover.</t>
        </is>
      </c>
      <c r="N479" s="165" t="inlineStr">
        <is>
          <t>→ Feeds into 'Act first where the duty is yours' and 'Record the contact and what was agreed'.</t>
        </is>
      </c>
      <c r="O479" s="225" t="inlineStr">
        <is>
          <t>Not started</t>
        </is>
      </c>
      <c r="P479" s="165" t="inlineStr">
        <is>
          <t>WATCH FOR — how your supervisor is reached when out of the office, who covers when they are on leave, and whether the service has a senior psychologist or duty line for urgent queries.</t>
        </is>
      </c>
      <c r="Q479" s="139" t="inlineStr">
        <is>
          <t>Year 1</t>
        </is>
      </c>
      <c r="R479" s="226" t="inlineStr">
        <is>
          <t>26/10/2026</t>
        </is>
      </c>
      <c r="S479" s="226" t="inlineStr">
        <is>
          <t>16/11/2026</t>
        </is>
      </c>
      <c r="T479" s="226" t="inlineStr">
        <is>
          <t>14/12/2026</t>
        </is>
      </c>
      <c r="U479" s="139" t="inlineStr">
        <is>
          <t>Supervision contract — cover clause · Log sheet tagged 7. Supervision</t>
        </is>
      </c>
    </row>
    <row r="480" outlineLevel="2" ht="43.5" customHeight="1" s="128">
      <c r="A480" s="220" t="inlineStr">
        <is>
          <t>BLOCK</t>
        </is>
      </c>
      <c r="B480" s="220" t="inlineStr">
        <is>
          <t>7. Supervision</t>
        </is>
      </c>
      <c r="C480" s="220" t="inlineStr">
        <is>
          <t>Raise immediate concerns out of session</t>
        </is>
      </c>
      <c r="D480" s="221" t="inlineStr">
        <is>
          <t>Block 2 · Acting anyway</t>
        </is>
      </c>
      <c r="E480" s="222" t="inlineStr">
        <is>
          <t>Understanding that supervision informs your decision but does not replace it.</t>
        </is>
      </c>
      <c r="F480" s="220" t="inlineStr">
        <is>
          <t>Once, properly · Weeks 1–2</t>
        </is>
      </c>
      <c r="G480" s="220" t="n"/>
      <c r="H480" s="220" t="n"/>
      <c r="I480" s="220" t="n"/>
      <c r="J480" s="220" t="n"/>
      <c r="K480" s="220" t="n"/>
      <c r="L480" s="220" t="n"/>
      <c r="M480" s="222" t="n"/>
      <c r="N480" s="220" t="n"/>
      <c r="O480" s="220" t="n"/>
      <c r="P480" s="220" t="inlineStr">
        <is>
          <t>How you build it: Know that a mandated report does not wait for anyone.</t>
        </is>
      </c>
      <c r="Q480" s="220" t="n"/>
      <c r="R480" s="220" t="n"/>
      <c r="S480" s="220" t="n"/>
      <c r="T480" s="220" t="n"/>
      <c r="U480" s="220" t="n"/>
    </row>
    <row r="481" outlineLevel="2" ht="120" customHeight="1" s="128">
      <c r="A481" s="139" t="inlineStr">
        <is>
          <t>MICRO-SKILL</t>
        </is>
      </c>
      <c r="B481" s="139" t="inlineStr">
        <is>
          <t>7. Supervision</t>
        </is>
      </c>
      <c r="C481" s="139" t="inlineStr">
        <is>
          <t>Raise immediate concerns out of session</t>
        </is>
      </c>
      <c r="D481" s="139" t="inlineStr">
        <is>
          <t>Block 2 · Acting anyway</t>
        </is>
      </c>
      <c r="E481" s="223" t="inlineStr">
        <is>
          <t>Act first where the duty is yours</t>
        </is>
      </c>
      <c r="F481" s="139" t="inlineStr">
        <is>
          <t>Children First Act 2015 · CORU SoP 1.17</t>
        </is>
      </c>
      <c r="G481" s="227" t="inlineStr">
        <is>
          <t>Under the Children First Act 2015 a mandated person must report to Tusla as soon as practicable; telling the DLP does not discharge that duty, though a joint report can meet it. CORU SoP 1.17 is also mapped — read its full text. Supervision informs what you do and supports you afterwards; it does not replace the report or grant permission to make it. Waiting to consult first is the commonest way a trainee falls short of the duty.</t>
        </is>
      </c>
      <c r="H481" s="165" t="inlineStr">
        <is>
          <t>WATCH FOR — the order in which your supervisor acts on a concern: stop, record, DLP, Tusla, then supervision. Notice that the conversation with their own supervisor comes after the report, not before.
WRITE DOWN — the sequence as this service practises it, and whether you are a mandated person in this role (check with UCD and the service rather than assuming).
ASK AFTERWARDS — 'when did you last act before you could talk it through, and how did you know that was right?'</t>
        </is>
      </c>
      <c r="I481" s="165" t="inlineStr">
        <is>
          <t>YOU TAKE — the actions that are your duty: stopping the activity, not questioning further, recording, telling the DLP, and reporting to Tusla or joining a joint report.
THEY HOLD — advice on the process, escalation if the DLP does not act, and review afterwards.
WHY THAT SPLIT — the legal duty sits with the person who holds the concern. A supervisor can guide you, but cannot take the duty off you, and cannot make it wait.</t>
        </is>
      </c>
      <c r="J481" s="165" t="inlineStr">
        <is>
          <t>YOU RUN IT — in a live or role-played concern, follow the sequence to the end yourself, ringing your supervisor if reachable but not holding any step for them.
WHAT THEY ARE WATCHING FOR — 'I'll run it past you first', continuing the assessment after a disclosure, or asking the child more questions to be sure.
STEPPING IN LOOKS LIKE — 'don't wait for me. Go to the DLP now, make sure a report goes in today, and we'll talk after.'</t>
        </is>
      </c>
      <c r="K481" s="207" t="inlineStr">
        <is>
          <t>YOU DO IT ALONE — where a concern meets the threshold you act the same day (DLP and Tusla report, jointly or yourself) and inform your supervisor, whether or not they were reachable beforehand.
PASS TEST — Supervision informs, it does not replace
EVIDENCE TO FILE — the timed record on the case file and the report reference, per service policy. Log against 7. Supervision and 6. Ethical Practice.
WHAT FAILURE LOOKS LIKE — a concern held overnight because your supervisor was at a course and you wanted their view first.</t>
        </is>
      </c>
      <c r="L481" s="165" t="inlineStr">
        <is>
          <t>YOU CAN TEACH IT — you can explain 'as soon as practicable', why the DLP route does not discharge a mandated person's duty, and why supervision follows action. Point peers to Children First National Guidance (DCYA, 2017) rather than your summary.
WHEN IT GOES WRONG — you realise you waited. Act now, record the delay and the reason honestly, and bring it to supervision as a learning event rather than hiding it.</t>
        </is>
      </c>
      <c r="M481" s="224" t="inlineStr">
        <is>
          <t>Waiting to consult your supervisor before making a report that is yours to make.</t>
        </is>
      </c>
      <c r="N481" s="165" t="inlineStr">
        <is>
          <t>→ Feeds into 'Record the contact and what was agreed', 'Bring it to supervision afterwards, not instead', and 6. Ethical Practice.</t>
        </is>
      </c>
      <c r="O481" s="225" t="inlineStr">
        <is>
          <t>Not started</t>
        </is>
      </c>
      <c r="P481" s="165" t="inlineStr">
        <is>
          <t>WATCH FOR — the order in which your supervisor acts on a concern: stop, record, DLP, Tusla, then supervision. Notice that the conversation with their own supervisor comes after the report, not before.</t>
        </is>
      </c>
      <c r="Q481" s="139" t="inlineStr">
        <is>
          <t>Year 1</t>
        </is>
      </c>
      <c r="R481" s="226" t="inlineStr">
        <is>
          <t>26/10/2026</t>
        </is>
      </c>
      <c r="S481" s="226" t="inlineStr">
        <is>
          <t>16/11/2026</t>
        </is>
      </c>
      <c r="T481" s="226" t="inlineStr">
        <is>
          <t>14/12/2026</t>
        </is>
      </c>
      <c r="U481" s="139" t="inlineStr">
        <is>
          <t>Timed record on case file · report reference · Log sheet tagged 7. Supervision and 6. Ethical Practice</t>
        </is>
      </c>
    </row>
    <row r="482" outlineLevel="2" ht="120" customHeight="1" s="128">
      <c r="A482" s="139" t="inlineStr">
        <is>
          <t>MICRO-SKILL</t>
        </is>
      </c>
      <c r="B482" s="139" t="inlineStr">
        <is>
          <t>7. Supervision</t>
        </is>
      </c>
      <c r="C482" s="139" t="inlineStr">
        <is>
          <t>Raise immediate concerns out of session</t>
        </is>
      </c>
      <c r="D482" s="139" t="inlineStr">
        <is>
          <t>Block 2 · Acting anyway</t>
        </is>
      </c>
      <c r="E482" s="223" t="inlineStr">
        <is>
          <t>Record the contact and what was agreed</t>
        </is>
      </c>
      <c r="F482" s="139" t="inlineStr">
        <is>
          <t>Handbook Appendix 8</t>
        </is>
      </c>
      <c r="G482" s="227" t="inlineStr">
        <is>
          <t>The record of who you told, when and what was agreed is what shows the duty was met and the concern was handled; without it, a well-handled concern looks like an unhandled one. Handbook Appendix 8 is mapped here — check the form itself for its headings. The Reference sheet also advises writing a dilemma entry afterwards. A managed concern that exists only as a line in the day log is lost as evidence for Ethical Practice and Supervision.</t>
        </is>
      </c>
      <c r="H482" s="165" t="inlineStr">
        <is>
          <t>WATCH FOR — what your supervisor writes after an urgent contact: time of each call, who was spoken to, what was said, what each person agreed to do, and when they followed up.
WRITE DOWN — the elements of a usable record, and where each part goes: the case file (per service policy), the supervision record, and an Appendix 8 dilemma entry.
ASK AFTERWARDS — 'if this record were read in a year by someone who wasn't there, what would they need?'</t>
        </is>
      </c>
      <c r="I482" s="165" t="inlineStr">
        <is>
          <t>YOU TAKE — writing the timed record of each contact and agreement the same day, and drafting your own Appendix 8 entry.
THEY HOLD — reviewing the record for completeness, adding their own note of the out-of-session contact, and countersigning where the form requires it.
WHY THAT SPLIT — the person who made the calls holds the facts. Your supervisor checks that the record would stand up and that the agreed actions were completed.</t>
        </is>
      </c>
      <c r="J482" s="165" t="inlineStr">
        <is>
          <t>YOU RUN IT — after any out-of-session contact, record it the same day and bring it to the next formal session even though the matter is resolved.
WHAT THEY ARE WATCHING FOR — no times, 'discussed with supervisor' with no content, agreed actions with no owner, and no Appendix 8 entry.
STEPPING IN LOOKS LIKE — 'what time did you ring me, and what did we agree you'd do next? Put that in, and who was doing each part.'</t>
        </is>
      </c>
      <c r="K482" s="207" t="inlineStr">
        <is>
          <t>YOU DO IT ALONE — every urgent contact has a record with time, person, content and agreed actions, and any dilemma is written up in Appendix 8 with your own reflection.
PASS TEST — Time and content
EVIDENCE TO FILE — case file record (per service policy), supervision record, Appendix 8 dilemma entry. The Appendix 8 reflection is yours to write. Log against 7. Supervision and 6. Ethical Practice.
WHAT FAILURE LOOKS LIKE — a managed disclosure that appears only as 'CP concern — DLP informed' in the day log.</t>
        </is>
      </c>
      <c r="L482" s="165" t="inlineStr">
        <is>
          <t>YOU CAN TEACH IT — you can show a peer what a complete contact record contains and explain why a resolved concern still goes to formal supervision and Appendix 8.
WHEN IT GOES WRONG — you find a past concern was never written up properly. Write it now from your contemporaneous notes, date it as written today, and state that it was written later. Do not back-date.</t>
        </is>
      </c>
      <c r="M482" s="224" t="inlineStr">
        <is>
          <t>Recording that you raised a concern but not when, with whom, or what was agreed.</t>
        </is>
      </c>
      <c r="N482" s="165" t="inlineStr">
        <is>
          <t>→ Feeds into Appendix 8 dilemma entries, 'Work an ethical dilemma through a decision procedure', and the reflective learning essay.</t>
        </is>
      </c>
      <c r="O482" s="225" t="inlineStr">
        <is>
          <t>Not started</t>
        </is>
      </c>
      <c r="P482" s="165" t="inlineStr">
        <is>
          <t>WATCH FOR — what your supervisor writes after an urgent contact: time of each call, who was spoken to, what was said, what each person agreed to do, and when they followed up.</t>
        </is>
      </c>
      <c r="Q482" s="139" t="inlineStr">
        <is>
          <t>Year 1</t>
        </is>
      </c>
      <c r="R482" s="226" t="inlineStr">
        <is>
          <t>26/10/2026</t>
        </is>
      </c>
      <c r="S482" s="226" t="inlineStr">
        <is>
          <t>16/11/2026</t>
        </is>
      </c>
      <c r="T482" s="226" t="inlineStr">
        <is>
          <t>14/12/2026</t>
        </is>
      </c>
      <c r="U482" s="139" t="inlineStr">
        <is>
          <t>Case file record · Supervision record · Appendix 8 · Log sheet tagged 7. Supervision and 6. Ethical Practice</t>
        </is>
      </c>
    </row>
    <row r="483" outlineLevel="2" ht="19.5" customHeight="1" s="128">
      <c r="A483" s="219" t="inlineStr">
        <is>
          <t>MACRO SKILL</t>
        </is>
      </c>
      <c r="B483" s="219" t="inlineStr">
        <is>
          <t>7. Supervision</t>
        </is>
      </c>
      <c r="C483" s="219" t="inlineStr">
        <is>
          <t>Contribute to peer and group supervision</t>
        </is>
      </c>
      <c r="D483" s="219" t="n"/>
      <c r="E483" s="219" t="inlineStr">
        <is>
          <t>3 blocks · 4 micro-skills</t>
        </is>
      </c>
      <c r="F483" s="219" t="inlineStr">
        <is>
          <t>PSI Accred 3.3.9 · CORU 4.5 · 5.8</t>
        </is>
      </c>
      <c r="G483" s="219" t="n"/>
      <c r="H483" s="219" t="n"/>
      <c r="I483" s="219" t="n"/>
      <c r="J483" s="219" t="n"/>
      <c r="K483" s="219" t="n"/>
      <c r="L483" s="219" t="n"/>
      <c r="M483" s="219" t="n"/>
      <c r="N483" s="219" t="n"/>
      <c r="O483" s="219" t="n"/>
      <c r="P483" s="219" t="n"/>
      <c r="Q483" s="219" t="inlineStr">
        <is>
          <t>Year 1</t>
        </is>
      </c>
      <c r="R483" s="219" t="n"/>
      <c r="S483" s="219" t="n"/>
      <c r="T483" s="219" t="n"/>
      <c r="U483" s="219" t="n"/>
    </row>
    <row r="484" outlineLevel="2" ht="43.5" customHeight="1" s="128">
      <c r="A484" s="220" t="inlineStr">
        <is>
          <t>BLOCK</t>
        </is>
      </c>
      <c r="B484" s="220" t="inlineStr">
        <is>
          <t>7. Supervision</t>
        </is>
      </c>
      <c r="C484" s="220" t="inlineStr">
        <is>
          <t>Contribute to peer and group supervision</t>
        </is>
      </c>
      <c r="D484" s="221" t="inlineStr">
        <is>
          <t>Block 1 · Turning up</t>
        </is>
      </c>
      <c r="E484" s="222" t="inlineStr">
        <is>
          <t>Consistent attendance, recorded.</t>
        </is>
      </c>
      <c r="F484" s="220" t="inlineStr">
        <is>
          <t>Habit · Weeks 1–2</t>
        </is>
      </c>
      <c r="G484" s="220" t="n"/>
      <c r="H484" s="220" t="n"/>
      <c r="I484" s="220" t="n"/>
      <c r="J484" s="220" t="n"/>
      <c r="K484" s="220" t="n"/>
      <c r="L484" s="220" t="n"/>
      <c r="M484" s="222" t="n"/>
      <c r="N484" s="220" t="n"/>
      <c r="O484" s="220" t="n"/>
      <c r="P484" s="220" t="inlineStr">
        <is>
          <t>How you build it: Diary it as fixed.</t>
        </is>
      </c>
      <c r="Q484" s="220" t="n"/>
      <c r="R484" s="220" t="n"/>
      <c r="S484" s="220" t="n"/>
      <c r="T484" s="220" t="n"/>
      <c r="U484" s="220" t="n"/>
    </row>
    <row r="485" outlineLevel="2" ht="120" customHeight="1" s="128">
      <c r="A485" s="139" t="inlineStr">
        <is>
          <t>MICRO-SKILL</t>
        </is>
      </c>
      <c r="B485" s="139" t="inlineStr">
        <is>
          <t>7. Supervision</t>
        </is>
      </c>
      <c r="C485" s="139" t="inlineStr">
        <is>
          <t>Contribute to peer and group supervision</t>
        </is>
      </c>
      <c r="D485" s="139" t="inlineStr">
        <is>
          <t>Block 1 · Turning up</t>
        </is>
      </c>
      <c r="E485" s="223" t="inlineStr">
        <is>
          <t>Attend consistently</t>
        </is>
      </c>
      <c r="F485" s="139" t="inlineStr">
        <is>
          <t>PSI Accred 3.3.9</t>
        </is>
      </c>
      <c r="G485" s="227" t="inlineStr">
        <is>
          <t>Peer supervision is the first thing dropped when placement gets busy, usually by everyone at once, after which the group stops existing. PSI Accreditation Standards 3.3.9 is the standard mapped here — read the clause itself for what the programme must provide. Attendance is most of the contribution. It also only counts if it can be evidenced: sessions not recorded cannot be counted toward supervision requirements later.</t>
        </is>
      </c>
      <c r="H485" s="165" t="inlineStr">
        <is>
          <t>WATCH FOR — how established peer or group supervision in the service or cohort runs: who convenes, how often, how cancellations are handled, and whether practising psychologists attend their own group.
WRITE DOWN — the schedule, format (in person, online), convenor, and the ground rules agreed at the first meeting.
ASK AFTERWARDS — 'what has kept your peer group going, and what made previous ones stop?'</t>
        </is>
      </c>
      <c r="I485" s="165" t="inlineStr">
        <is>
          <t>YOU TAKE — putting every session in the diary as a fixed appointment, protecting it from school visits, and logging attendance the same day.
THEY HOLD — (your supervisor) agreeing that the time is protected within placement days, and counting it toward supervision where the programme allows.
WHY THAT SPLIT — attending is entirely in your control. Whether peer time counts toward requirements is a programme and service decision you should confirm, not assume.</t>
        </is>
      </c>
      <c r="J485" s="165" t="inlineStr">
        <is>
          <t>YOU RUN IT — attend every scheduled session across the Cavan placement, and if a clash is unavoidable, send apologies in advance and rearrange the clash, not the group.
WHAT THEY ARE WATCHING FOR — sessions quietly skipped for report writing, and a log that shows none of them.
STEPPING IN LOOKS LIKE — 'I see the peer group isn't in your diary this week. What's it been displaced by?'</t>
        </is>
      </c>
      <c r="K485" s="207" t="inlineStr">
        <is>
          <t>YOU DO IT ALONE — you attend peer supervision as a fixed commitment and each session is logged with date, format, and a brief note of what was discussed (anonymised).
PASS TEST — Attendance is recorded
EVIDENCE TO FILE — Appendix 8 entry for each session, per the Reference sheet guidance; check the form for its headings. Log against 7. Supervision.
WHAT FAILURE LOOKS LIKE — you attended six sessions but logged none, and cannot evidence peer supervision at the end-of-year review.</t>
        </is>
      </c>
      <c r="L485" s="165" t="inlineStr">
        <is>
          <t>YOU CAN TEACH IT — you can explain why groups fail by gradual attrition, why logging is part of attending, and how to rescue a group that has lapsed (propose one date, one case, one convenor).
WHEN IT GOES WRONG — the group stops meeting. Offer to convene the next session yourself, and tell your supervisor, so the gap is visible and can be addressed rather than silently lost.</t>
        </is>
      </c>
      <c r="M485" s="224" t="inlineStr">
        <is>
          <t>Attending but not logging, so the sessions cannot be evidenced.</t>
        </is>
      </c>
      <c r="N485" s="165" t="inlineStr">
        <is>
          <t>→ Feeds into 'Present a case at least once a trimester' and the supervision evidence in Appendix 8.</t>
        </is>
      </c>
      <c r="O485" s="225" t="inlineStr">
        <is>
          <t>Not started</t>
        </is>
      </c>
      <c r="P485" s="165" t="inlineStr">
        <is>
          <t>WATCH FOR — how established peer or group supervision in the service or cohort runs: who convenes, how often, how cancellations are handled, and whether practising psychologists attend their own group.</t>
        </is>
      </c>
      <c r="Q485" s="139" t="inlineStr">
        <is>
          <t>Year 1</t>
        </is>
      </c>
      <c r="R485" s="226" t="inlineStr">
        <is>
          <t>26/10/2026</t>
        </is>
      </c>
      <c r="S485" s="226" t="inlineStr">
        <is>
          <t>16/11/2026</t>
        </is>
      </c>
      <c r="T485" s="226" t="inlineStr">
        <is>
          <t>14/12/2026</t>
        </is>
      </c>
      <c r="U485" s="139" t="inlineStr">
        <is>
          <t>Appendix 8 — peer sessions · Log sheet tagged 7. Supervision</t>
        </is>
      </c>
    </row>
    <row r="486" outlineLevel="2" ht="43.5" customHeight="1" s="128">
      <c r="A486" s="220" t="inlineStr">
        <is>
          <t>BLOCK</t>
        </is>
      </c>
      <c r="B486" s="220" t="inlineStr">
        <is>
          <t>7. Supervision</t>
        </is>
      </c>
      <c r="C486" s="220" t="inlineStr">
        <is>
          <t>Contribute to peer and group supervision</t>
        </is>
      </c>
      <c r="D486" s="221" t="inlineStr">
        <is>
          <t>Block 2 · Presenting</t>
        </is>
      </c>
      <c r="E486" s="222" t="inlineStr">
        <is>
          <t>Bringing a case rather than listening.</t>
        </is>
      </c>
      <c r="F486" s="220" t="inlineStr">
        <is>
          <t>2 hours per presentation · Weeks 7–12</t>
        </is>
      </c>
      <c r="G486" s="220" t="n"/>
      <c r="H486" s="220" t="n"/>
      <c r="I486" s="220" t="n"/>
      <c r="J486" s="220" t="n"/>
      <c r="K486" s="220" t="n"/>
      <c r="L486" s="220" t="n"/>
      <c r="M486" s="222" t="n"/>
      <c r="N486" s="220" t="n"/>
      <c r="O486" s="220" t="n"/>
      <c r="P486" s="220" t="inlineStr">
        <is>
          <t>How you build it: Once a trimester minimum. Pick a case from an under-covered band.</t>
        </is>
      </c>
      <c r="Q486" s="220" t="n"/>
      <c r="R486" s="220" t="n"/>
      <c r="S486" s="220" t="n"/>
      <c r="T486" s="220" t="n"/>
      <c r="U486" s="220" t="n"/>
    </row>
    <row r="487" outlineLevel="2" ht="120" customHeight="1" s="128">
      <c r="A487" s="139" t="inlineStr">
        <is>
          <t>MICRO-SKILL</t>
        </is>
      </c>
      <c r="B487" s="139" t="inlineStr">
        <is>
          <t>7. Supervision</t>
        </is>
      </c>
      <c r="C487" s="139" t="inlineStr">
        <is>
          <t>Contribute to peer and group supervision</t>
        </is>
      </c>
      <c r="D487" s="139" t="inlineStr">
        <is>
          <t>Block 2 · Presenting</t>
        </is>
      </c>
      <c r="E487" s="223" t="inlineStr">
        <is>
          <t>Present a case at least once a trimester</t>
        </is>
      </c>
      <c r="F487" s="139" t="inlineStr">
        <is>
          <t>CORU SoP 4.5</t>
        </is>
      </c>
      <c r="G487" s="227" t="inlineStr">
        <is>
          <t>Presenting is where you practise explaining a case to people who are not obliged to be kind about it, which later becomes multidisciplinary team work. CORU SoP 4.5 (seeking peer review) is mapped here. Listening to other people's cases is useful but does not evidence that you sought review of your own work. A case you have already solved wastes the group's time and your own.</t>
        </is>
      </c>
      <c r="H487" s="165" t="inlineStr">
        <is>
          <t>WATCH FOR — how experienced presenters structure a case: referral question, what was done, formulation and the framework behind it, where they are stuck, and the specific question for the group.
WRITE DOWN — that structure as a one-page template, and how much anonymisation each presenter used (no names, no school, no identifying detail).
ASK AFTERWARDS — 'what question did you want the group to answer, and did they answer it?'</t>
        </is>
      </c>
      <c r="I487" s="165" t="inlineStr">
        <is>
          <t>YOU TAKE — choosing a case you are stuck on, preparing a structured, anonymised presentation, and ending with one clear question.
THEY HOLD — (your supervisor) a check beforehand that the case is anonymised enough and that sharing it fits service policy.
WHY THAT SPLIT — preparing and presenting is the skill. What may be shared outside the service is a governance question that your supervisor should confirm.</t>
        </is>
      </c>
      <c r="J487" s="165" t="inlineStr">
        <is>
          <t>YOU RUN IT — present at least once each trimester, allow time for preparation, bring the stuck part rather than the resolved part, and note what the group raised.
WHAT THEY ARE WATCHING FOR — a narrative of everything you did with no question at the end, identifying detail, or a case chosen because it went well.
STEPPING IN LOOKS LIKE — 'what's the one thing you want them to help you with? Start with that.'</t>
        </is>
      </c>
      <c r="K487" s="207" t="inlineStr">
        <is>
          <t>YOU DO IT ALONE — each trimester you present an anonymised case with a structured account and a specific question, and record what you took away.
PASS TEST — Listening does not evidence it
EVIDENCE TO FILE — Appendix 8 entry naming the date, that you presented, the question, and what changed in the case as a result. Log against 7. Supervision.
WHAT FAILURE LOOKS LIKE — a year of regular attendance and no record of ever presenting your own work.</t>
        </is>
      </c>
      <c r="L487" s="165" t="inlineStr">
        <is>
          <t>YOU CAN TEACH IT — you can give a newer trainee the presentation structure, explain why the stuck part is the valuable part, and show how to anonymise a case properly.
WHEN IT GOES WRONG — the group does not answer your question, or you realise mid-presentation that you have identified the school. Stop, ask the group not to record or repeat it, and tell your supervisor the same day.</t>
        </is>
      </c>
      <c r="M487" s="224" t="inlineStr">
        <is>
          <t>Presenting a case you have already resolved, so the group has nothing to work on.</t>
        </is>
      </c>
      <c r="N487" s="165" t="inlineStr">
        <is>
          <t>→ Feeds into 'Bring a case from an under-covered age band', 5. Working with Others, and multidisciplinary case discussion.</t>
        </is>
      </c>
      <c r="O487" s="225" t="inlineStr">
        <is>
          <t>Not started</t>
        </is>
      </c>
      <c r="P487" s="165" t="inlineStr">
        <is>
          <t>WATCH FOR — how experienced presenters structure a case: referral question, what was done, formulation and the framework behind it, where they are stuck, and the specific question for the group.</t>
        </is>
      </c>
      <c r="Q487" s="139" t="inlineStr">
        <is>
          <t>Year 1</t>
        </is>
      </c>
      <c r="R487" s="226" t="inlineStr">
        <is>
          <t>26/10/2026</t>
        </is>
      </c>
      <c r="S487" s="226" t="inlineStr">
        <is>
          <t>16/11/2026</t>
        </is>
      </c>
      <c r="T487" s="226" t="inlineStr">
        <is>
          <t>14/12/2026</t>
        </is>
      </c>
      <c r="U487" s="139" t="inlineStr">
        <is>
          <t>Appendix 8 — case presented · Log sheet tagged 7. Supervision</t>
        </is>
      </c>
    </row>
    <row r="488" outlineLevel="2" ht="120" customHeight="1" s="128">
      <c r="A488" s="139" t="inlineStr">
        <is>
          <t>MICRO-SKILL</t>
        </is>
      </c>
      <c r="B488" s="139" t="inlineStr">
        <is>
          <t>7. Supervision</t>
        </is>
      </c>
      <c r="C488" s="139" t="inlineStr">
        <is>
          <t>Contribute to peer and group supervision</t>
        </is>
      </c>
      <c r="D488" s="139" t="inlineStr">
        <is>
          <t>Block 2 · Presenting</t>
        </is>
      </c>
      <c r="E488" s="223" t="inlineStr">
        <is>
          <t>Bring a case from an under-covered age band</t>
        </is>
      </c>
      <c r="F488" s="139" t="inlineStr">
        <is>
          <t>Handbook Table 3</t>
        </is>
      </c>
      <c r="G488" s="227" t="inlineStr">
        <is>
          <t>UCD Table 3 age bands are the frame for breadth across the programme, and your own coverage record shows Early Years and Young Adult unevidenced so far. A case from a thin age band brought to peer supervision earns both a presentation and breadth evidence, and exposes you to reasoning you have had less practice with. Breadth cannot be added retrospectively, so this has to be planned: the case only exists if the Appendix 1 plan put you in contact with that age group.</t>
        </is>
      </c>
      <c r="H488" s="165" t="inlineStr">
        <is>
          <t>WATCH FOR — which age bands the other trainees' cases come from, and which questions come up in each (for example transition to school, or transition from post-primary). Notice whose reasoning is least familiar to you.
WRITE DOWN — your own coverage against the Table 3 bands from your Log, and which band is thinnest.
ASK AFTERWARDS — 'what do you think about differently with a case at that age that I wouldn't think of?'</t>
        </is>
      </c>
      <c r="I488" s="165" t="inlineStr">
        <is>
          <t>YOU TAKE — mapping your coverage, flagging the thinnest band at your first Cavan supervision, and choosing a case from it to present when one arises.
THEY HOLD — (your supervisor) allocating work in that band where the service can, and confirming it is planned in Appendix 1.
WHY THAT SPLIT — you know your gaps; the service controls the caseload. Coverage only happens if both sides plan for it at the start.</t>
        </is>
      </c>
      <c r="J488" s="165" t="inlineStr">
        <is>
          <t>YOU RUN IT — once you hold a case from the under-covered band, present it to the peer group with the age-specific question you are unsure about.
WHAT THEY ARE WATCHING FOR — a case chosen from a thin band but presented as though age made no difference, or an identifying detail slipping through because the setting is small.
STEPPING IN LOOKS LIKE — 'what's different about this because of the child's age? Ask the group that.'</t>
        </is>
      </c>
      <c r="K488" s="207" t="inlineStr">
        <is>
          <t>YOU DO IT ALONE — you track your age-band coverage, bring at least one case from a thin band to peer supervision, and log it as both a presentation and breadth evidence.
PASS TEST — It doubles as breadth evidence
EVIDENCE TO FILE — Appendix 8 entry for the presentation; Log row tagged with the age band and 7. Supervision.
WHAT FAILURE LOOKS LIKE — every case you present is primary-age, and the end-of-year review finds the same gaps as the start.</t>
        </is>
      </c>
      <c r="L488" s="165" t="inlineStr">
        <is>
          <t>YOU CAN TEACH IT — you can explain Table 3 breadth, why it cannot be evidenced after the fact, and how peer supervision can be used to deepen learning in a thin band once contact exists.
WHEN IT GOES WRONG — no case in the thin band arises. Record that it was planned and did not happen, raise it in supervision, and carry it forward into the next Appendix 1 rather than inventing coverage.</t>
        </is>
      </c>
      <c r="M488" s="224" t="inlineStr">
        <is>
          <t>Presenting only from the age band you already know best.</t>
        </is>
      </c>
      <c r="N488" s="165" t="inlineStr">
        <is>
          <t>→ Feeds into Table 3 breadth, 'Carry the targets into the next Placement Plan', and PSI 3.3.6 setting coverage planning.</t>
        </is>
      </c>
      <c r="O488" s="225" t="inlineStr">
        <is>
          <t>Not started</t>
        </is>
      </c>
      <c r="P488" s="165" t="inlineStr">
        <is>
          <t>WATCH FOR — which age bands the other trainees' cases come from, and which questions come up in each (for example transition to school, or transition from post-primary). Notice whose reasoning is least familiar to you.</t>
        </is>
      </c>
      <c r="Q488" s="139" t="inlineStr">
        <is>
          <t>Year 1</t>
        </is>
      </c>
      <c r="R488" s="226" t="inlineStr">
        <is>
          <t>26/10/2026</t>
        </is>
      </c>
      <c r="S488" s="226" t="inlineStr">
        <is>
          <t>16/11/2026</t>
        </is>
      </c>
      <c r="T488" s="226" t="inlineStr">
        <is>
          <t>14/12/2026</t>
        </is>
      </c>
      <c r="U488" s="139" t="inlineStr">
        <is>
          <t>Appendix 8 · Appendix 1 · Log sheet tagged 7. Supervision with age band</t>
        </is>
      </c>
    </row>
    <row r="489" outlineLevel="2" ht="43.5" customHeight="1" s="128">
      <c r="A489" s="220" t="inlineStr">
        <is>
          <t>BLOCK</t>
        </is>
      </c>
      <c r="B489" s="220" t="inlineStr">
        <is>
          <t>7. Supervision</t>
        </is>
      </c>
      <c r="C489" s="220" t="inlineStr">
        <is>
          <t>Contribute to peer and group supervision</t>
        </is>
      </c>
      <c r="D489" s="221" t="inlineStr">
        <is>
          <t>Block 3 · Contributing to others</t>
        </is>
      </c>
      <c r="E489" s="222" t="inlineStr">
        <is>
          <t>Offering something useful on someone else's case.</t>
        </is>
      </c>
      <c r="F489" s="220" t="inlineStr">
        <is>
          <t>Habit · Weeks 7–12</t>
        </is>
      </c>
      <c r="G489" s="220" t="n"/>
      <c r="H489" s="220" t="n"/>
      <c r="I489" s="220" t="n"/>
      <c r="J489" s="220" t="n"/>
      <c r="K489" s="220" t="n"/>
      <c r="L489" s="220" t="n"/>
      <c r="M489" s="222" t="n"/>
      <c r="N489" s="220" t="n"/>
      <c r="O489" s="220" t="n"/>
      <c r="P489" s="220" t="inlineStr">
        <is>
          <t>How you build it: Prepare one question before each session.</t>
        </is>
      </c>
      <c r="Q489" s="220" t="n"/>
      <c r="R489" s="220" t="n"/>
      <c r="S489" s="220" t="n"/>
      <c r="T489" s="220" t="n"/>
      <c r="U489" s="220" t="n"/>
    </row>
    <row r="490" outlineLevel="2" ht="120" customHeight="1" s="128">
      <c r="A490" s="139" t="inlineStr">
        <is>
          <t>MICRO-SKILL</t>
        </is>
      </c>
      <c r="B490" s="139" t="inlineStr">
        <is>
          <t>7. Supervision</t>
        </is>
      </c>
      <c r="C490" s="139" t="inlineStr">
        <is>
          <t>Contribute to peer and group supervision</t>
        </is>
      </c>
      <c r="D490" s="139" t="inlineStr">
        <is>
          <t>Block 3 · Contributing to others</t>
        </is>
      </c>
      <c r="E490" s="223" t="inlineStr">
        <is>
          <t>Offer something useful to someone else's case</t>
        </is>
      </c>
      <c r="F490" s="139" t="inlineStr">
        <is>
          <t>CORU SoP 5.8</t>
        </is>
      </c>
      <c r="G490" s="227" t="inlineStr">
        <is>
          <t>The useful contribution is usually a question, not a suggestion: 'what did the child say about it?' opens a case, while 'have you tried X?' tends to close it. CORU SoP 5.8 (mentoring and supervision) is mapped here. Proctor (Group supervision, 2nd ed., 2008) and Hawkins and McMahon (Supervision in the helping professions, 2020) discuss group process in supervision. A group that converges too quickly on one explanation stops thinking, and someone has to say so.</t>
        </is>
      </c>
      <c r="H490" s="165" t="inlineStr">
        <is>
          <t>WATCH FOR — which contributions change how a presenter sees their case, and which are ignored. Notice the ratio of questions to advice, and the moment a group settles on one explanation.
WRITE DOWN — two or three questions that opened a case up, word for word, to reuse. Nothing identifying about other people's cases.
ASK AFTERWARDS — (of a presenter) 'which comment was actually useful to you, and why?'</t>
        </is>
      </c>
      <c r="I490" s="165" t="inlineStr">
        <is>
          <t>YOU TAKE — listening to the whole presentation, then offering one question that tests the formulation, or naming a hypothesis the group has not considered.
THEY HOLD — (the presenter) the decision on what to take away; (the convenor) managing time and turn-taking.
WHY THAT SPLIT — your role is to widen someone else's thinking, not to take the case over. The presenter owns the case and the choice.</t>
        </is>
      </c>
      <c r="J490" s="165" t="inlineStr">
        <is>
          <t>YOU RUN IT — in each session, contribute at least once to someone else's case, and at least once in a while name the group process ('we've all agreed quite quickly — what would make us wrong?').
WHAT THEY ARE WATCHING FOR — advice given before the question has been asked, a contribution that retells your own case, or silence all session.
STEPPING IN LOOKS LIKE — 'can you turn that suggestion into a question for her?'</t>
        </is>
      </c>
      <c r="K490" s="207" t="inlineStr">
        <is>
          <t>YOU DO IT ALONE — you contribute to others' cases with questions that open them up, and you notice and name premature agreement in the group.
PASS TEST — You contributed
EVIDENCE TO FILE — a brief line in your Appendix 8 peer entry noting your contribution in general terms (no case details). Log against 7. Supervision and 5. Working with Others.
WHAT FAILURE LOOKS LIKE — you attend every session and say nothing, or say 'have you tried a reward chart?' before the presenter has finished.</t>
        </is>
      </c>
      <c r="L490" s="165" t="inlineStr">
        <is>
          <t>YOU CAN TEACH IT — you can explain why questions help more than solutions, give examples of opening questions, and describe how a group can converge too early.
WHEN IT GOES WRONG — a contribution lands badly and the presenter becomes defensive. Acknowledge it, rephrase as a question, and check with them afterwards. If group dynamics are persistently unhelpful, raise it with the convenor.</t>
        </is>
      </c>
      <c r="M490" s="224" t="inlineStr">
        <is>
          <t>Offering a solution before understanding the case, which closes the discussion down.</t>
        </is>
      </c>
      <c r="N490" s="165" t="inlineStr">
        <is>
          <t>→ Feeds into 5. Working with Others, consultation skills, and CORU SoP 5.8.</t>
        </is>
      </c>
      <c r="O490" s="225" t="inlineStr">
        <is>
          <t>Not started</t>
        </is>
      </c>
      <c r="P490" s="165" t="inlineStr">
        <is>
          <t>WATCH FOR — which contributions change how a presenter sees their case, and which are ignored. Notice the ratio of questions to advice, and the moment a group settles on one explanation.</t>
        </is>
      </c>
      <c r="Q490" s="139" t="inlineStr">
        <is>
          <t>Year 1</t>
        </is>
      </c>
      <c r="R490" s="226" t="inlineStr">
        <is>
          <t>26/10/2026</t>
        </is>
      </c>
      <c r="S490" s="226" t="inlineStr">
        <is>
          <t>16/11/2026</t>
        </is>
      </c>
      <c r="T490" s="226" t="inlineStr">
        <is>
          <t>14/12/2026</t>
        </is>
      </c>
      <c r="U490" s="139" t="inlineStr">
        <is>
          <t>Appendix 8 — peer session · Log sheet tagged 7. Supervision and 5. Working with Others</t>
        </is>
      </c>
    </row>
    <row r="491" outlineLevel="2" ht="19.5" customHeight="1" s="128">
      <c r="A491" s="219" t="inlineStr">
        <is>
          <t>MACRO SKILL</t>
        </is>
      </c>
      <c r="B491" s="219" t="inlineStr">
        <is>
          <t>7. Supervision</t>
        </is>
      </c>
      <c r="C491" s="219" t="inlineStr">
        <is>
          <t>Complete Appendix 6 before and after</t>
        </is>
      </c>
      <c r="D491" s="219" t="n"/>
      <c r="E491" s="219" t="inlineStr">
        <is>
          <t>3 blocks · 5 micro-skills</t>
        </is>
      </c>
      <c r="F491" s="219" t="inlineStr">
        <is>
          <t>Handbook §4.5a · CORU 4.3</t>
        </is>
      </c>
      <c r="G491" s="219" t="n"/>
      <c r="H491" s="219" t="n"/>
      <c r="I491" s="219" t="n"/>
      <c r="J491" s="219" t="n"/>
      <c r="K491" s="219" t="n"/>
      <c r="L491" s="219" t="n"/>
      <c r="M491" s="219" t="n"/>
      <c r="N491" s="219" t="n"/>
      <c r="O491" s="219" t="n"/>
      <c r="P491" s="219" t="n"/>
      <c r="Q491" s="219" t="inlineStr">
        <is>
          <t>Year 1</t>
        </is>
      </c>
      <c r="R491" s="219" t="n"/>
      <c r="S491" s="219" t="n"/>
      <c r="T491" s="219" t="n"/>
      <c r="U491" s="219" t="n"/>
    </row>
    <row r="492" outlineLevel="2" ht="43.5" customHeight="1" s="128">
      <c r="A492" s="220" t="inlineStr">
        <is>
          <t>BLOCK</t>
        </is>
      </c>
      <c r="B492" s="220" t="inlineStr">
        <is>
          <t>7. Supervision</t>
        </is>
      </c>
      <c r="C492" s="220" t="inlineStr">
        <is>
          <t>Complete Appendix 6 before and after</t>
        </is>
      </c>
      <c r="D492" s="221" t="inlineStr">
        <is>
          <t>Block 1 · Rating honestly</t>
        </is>
      </c>
      <c r="E492" s="222" t="inlineStr">
        <is>
          <t>Being willing to rate yourself low at the start.</t>
        </is>
      </c>
      <c r="F492" s="220" t="inlineStr">
        <is>
          <t>1 hour, twice per placement · Before placement</t>
        </is>
      </c>
      <c r="G492" s="220" t="n"/>
      <c r="H492" s="220" t="n"/>
      <c r="I492" s="220" t="n"/>
      <c r="J492" s="220" t="n"/>
      <c r="K492" s="220" t="n"/>
      <c r="L492" s="220" t="n"/>
      <c r="M492" s="222" t="n"/>
      <c r="N492" s="220" t="n"/>
      <c r="O492" s="220" t="n"/>
      <c r="P492" s="220" t="inlineStr">
        <is>
          <t>How you build it: Do it before day one and date it. Retrospective ratings measure nothing.</t>
        </is>
      </c>
      <c r="Q492" s="220" t="n"/>
      <c r="R492" s="220" t="n"/>
      <c r="S492" s="220" t="n"/>
      <c r="T492" s="220" t="n"/>
      <c r="U492" s="220" t="n"/>
    </row>
    <row r="493" outlineLevel="2" ht="120" customHeight="1" s="128">
      <c r="A493" s="139" t="inlineStr">
        <is>
          <t>MICRO-SKILL</t>
        </is>
      </c>
      <c r="B493" s="139" t="inlineStr">
        <is>
          <t>7. Supervision</t>
        </is>
      </c>
      <c r="C493" s="139" t="inlineStr">
        <is>
          <t>Complete Appendix 6 before and after</t>
        </is>
      </c>
      <c r="D493" s="139" t="inlineStr">
        <is>
          <t>Block 1 · Rating honestly</t>
        </is>
      </c>
      <c r="E493" s="223" t="inlineStr">
        <is>
          <t>Rate all eight before day one, dated</t>
        </is>
      </c>
      <c r="F493" s="139" t="inlineStr">
        <is>
          <t>Handbook §4.5a</t>
        </is>
      </c>
      <c r="G493" s="227" t="inlineStr">
        <is>
          <t>The before-and-after structure is the point of the self-evaluation: the comparison is the evidence of development, and it only works if the first rating was genuinely made first. The UCD Handbook §4.5a is mapped here — read its wording, and the form itself, for exactly what is rated. A rating written after the placement has started is visibly retrospective and forfeits the comparison. This row is a scaffold: the ratings are yours to make and write.</t>
        </is>
      </c>
      <c r="H493" s="165" t="inlineStr">
        <is>
          <t>WATCH FOR — how the form is laid out: which competencies it lists, what the rating descriptors actually say, and where the date goes. The Reference sheet cautions that the Handbook describes a range without explicitly setting out a five-point scale, so read the descriptors rather than assuming one.
WRITE DOWN — the exact descriptor wording and any questions to ask the programme about the scale.
ASK AFTERWARDS — (your supervisor) 'how do you read a before-rating when it arrives on your desk?'</t>
        </is>
      </c>
      <c r="I493" s="165" t="inlineStr">
        <is>
          <t>YOU TAKE — completing and dating the before ratings for every competency listed, yourself, before the first Cavan placement day (05/10/2026) or at the very latest in week one.
THEY HOLD — reading the ratings at the first supervision session and discussing them; not writing them for you.
WHY THAT SPLIT — self-evaluation is only evidence if it is your own judgement. Your supervisor's role is to see it and use it to plan, which also makes the date credible.</t>
        </is>
      </c>
      <c r="J493" s="165" t="inlineStr">
        <is>
          <t>YOU RUN IT — sit down with your Roscommon Log, supervision records and end-of-year feedback, rate each competency against the form's own descriptors, date the document, and share it at the first supervision.
WHAT THEY ARE WATCHING FOR — a form still blank at week three, one competency skipped because it felt hard to judge, or a date that does not match when it was actually written.
STEPPING IN LOOKS LIKE — 'can I see your before-ratings this week? We'll use them to plan the Appendix 1.'</t>
        </is>
      </c>
      <c r="K493" s="207" t="inlineStr">
        <is>
          <t>YOU DO IT ALONE — every competency on the form is rated by you, the document is dated before or in the first week of placement, and it has been seen by your supervisor.
PASS TEST — Before, genuinely
EVIDENCE TO FILE — the dated Appendix 6 (before), with the supervision record noting it was discussed. Your ratings and wording are your own. Log against 7. Supervision.
WHAT FAILURE LOOKS LIKE — the before and after versions are both written in the same week in December.</t>
        </is>
      </c>
      <c r="L493" s="165" t="inlineStr">
        <is>
          <t>YOU CAN TEACH IT — you can explain to a peer why the date matters more than the number, why the form's descriptors should be quoted rather than paraphrased, and why you ask the programme about the scale instead of assuming it.
WHEN IT GOES WRONG — you missed the start. Complete it now, date it truthfully, and say in the document that it was completed late and when. Do not back-date.</t>
        </is>
      </c>
      <c r="M493" s="224" t="inlineStr">
        <is>
          <t>Completing the 'before' rating after the placement has started and dating it as though it had not.</t>
        </is>
      </c>
      <c r="N493" s="165" t="inlineStr">
        <is>
          <t>→ Feeds into 'Rate honestly, including low', 'Name two or three priority targets', and 'Rate again at the end and compare'.</t>
        </is>
      </c>
      <c r="O493" s="225" t="inlineStr">
        <is>
          <t>Not started</t>
        </is>
      </c>
      <c r="P493" s="165" t="inlineStr">
        <is>
          <t>WATCH FOR — how the form is laid out: which competencies it lists, what the rating descriptors actually say, and where the date goes. The Reference sheet cautions that the Handbook describes a range without explicitly setting out a five-point scale, so read the descriptors rather than assuming one.</t>
        </is>
      </c>
      <c r="Q493" s="139" t="inlineStr">
        <is>
          <t>Year 1</t>
        </is>
      </c>
      <c r="R493" s="226" t="inlineStr">
        <is>
          <t>26/10/2026</t>
        </is>
      </c>
      <c r="S493" s="226" t="inlineStr">
        <is>
          <t>16/11/2026</t>
        </is>
      </c>
      <c r="T493" s="226" t="inlineStr">
        <is>
          <t>14/12/2026</t>
        </is>
      </c>
      <c r="U493" s="139" t="inlineStr">
        <is>
          <t>Appendix 6 (before, dated) · Supervision record · Log sheet tagged 7. Supervision</t>
        </is>
      </c>
    </row>
    <row r="494" outlineLevel="2" ht="120" customHeight="1" s="128">
      <c r="A494" s="139" t="inlineStr">
        <is>
          <t>MICRO-SKILL</t>
        </is>
      </c>
      <c r="B494" s="139" t="inlineStr">
        <is>
          <t>7. Supervision</t>
        </is>
      </c>
      <c r="C494" s="139" t="inlineStr">
        <is>
          <t>Complete Appendix 6 before and after</t>
        </is>
      </c>
      <c r="D494" s="139" t="inlineStr">
        <is>
          <t>Block 1 · Rating honestly</t>
        </is>
      </c>
      <c r="E494" s="223" t="inlineStr">
        <is>
          <t>Rate honestly, including low</t>
        </is>
      </c>
      <c r="F494" s="139" t="inlineStr">
        <is>
          <t>CORU SoP 4.3 · PSI Code 4.1.3</t>
        </is>
      </c>
      <c r="G494" s="227" t="inlineStr">
        <is>
          <t>A low rating at the start feels like an admission, but it is what makes development visible; a trainee who rates high at the start has nothing to show at the end. CORU SoP 4.3 and PSI Code 4.1.3 are mapped here — read both in full. The Reference sheet notes that supervisors can read an inflated first rating as poor self-awareness, which is itself assessed. Boud, Keogh and Walker (1985) treat returning honestly to experience as the start of learning from it. The judgement is yours; this row only offers prompts.</t>
        </is>
      </c>
      <c r="H494" s="165" t="inlineStr">
        <is>
          <t>WATCH FOR — the gap between what you have done and what you have done independently. Notice where you have only observed, or done a task with close support, compared with where you have done it alone.
WRITE DOWN — for each competency, one piece of evidence from your Log or supervision records that supports the rating you are considering, and one thing you have not yet done at all.
ASK AFTERWARDS — (your supervisor) 'where do you think I'm over- or under-rating myself?'</t>
        </is>
      </c>
      <c r="I494" s="165" t="inlineStr">
        <is>
          <t>YOU TAKE — rating each competency against the form's descriptors and your evidence, including low ratings where you have little or no experience.
THEY HOLD — a view on whether your ratings match what they have seen, offered for discussion rather than as a correction to your form.
WHY THAT SPLIT — the rating is a measure of your self-awareness, so it has to be yours. Their view is calibration, and the discussion itself can be recorded in supervision.</t>
        </is>
      </c>
      <c r="J494" s="165" t="inlineStr">
        <is>
          <t>YOU RUN IT — rate each competency with one evidence point beside it, then check the whole set for consistency: are the ratings where you have least evidence also the lowest?
WHAT THEY ARE WATCHING FOR — uniform middling ratings that avoid any judgement, high ratings on areas you have barely touched (for example organisational or systemic work), and ratings justified by effort rather than evidence.
STEPPING IN LOOKS LIKE — 'what have you actually done in this area on your own? Does the rating match that?'</t>
        </is>
      </c>
      <c r="K494" s="207" t="inlineStr">
        <is>
          <t>YOU DO IT ALONE — each rating reflects your evidence, low where experience is thin, and you can defend any rating with a specific example.
PASS TEST — An honest low start shows trajectory
EVIDENCE TO FILE — Appendix 6 (before), in your own words, and a supervision record note that ratings were discussed. Log against 7. Supervision.
WHAT FAILURE LOOKS LIKE — every competency rated near the top at the start of Year 1, so the end rating cannot show movement and the self-evaluation reads as unaware.</t>
        </is>
      </c>
      <c r="L494" s="165" t="inlineStr">
        <is>
          <t>YOU CAN TEACH IT — you can explain why an honest low rating is a strength in this document, how to anchor each rating to evidence, and why the descriptors must be read in the Handbook's own words.
WHEN IT GOES WRONG — your supervisor thinks a rating is inflated or too harsh. Discuss the evidence, then decide yourself whether to revise. If you keep your rating, note the discussion in the supervision record.</t>
        </is>
      </c>
      <c r="M494" s="224" t="inlineStr">
        <is>
          <t>Rating yourself high at the start because a low rating feels like failure.</t>
        </is>
      </c>
      <c r="N494" s="165" t="inlineStr">
        <is>
          <t>→ Feeds into 'Name two or three priority targets' and 'Rate again at the end and compare'.</t>
        </is>
      </c>
      <c r="O494" s="225" t="inlineStr">
        <is>
          <t>Not started</t>
        </is>
      </c>
      <c r="P494" s="165" t="inlineStr">
        <is>
          <t>WATCH FOR — the gap between what you have done and what you have done independently. Notice where you have only observed, or done a task with close support, compared with where you have done it alone.</t>
        </is>
      </c>
      <c r="Q494" s="139" t="inlineStr">
        <is>
          <t>Year 1</t>
        </is>
      </c>
      <c r="R494" s="226" t="inlineStr">
        <is>
          <t>26/10/2026</t>
        </is>
      </c>
      <c r="S494" s="226" t="inlineStr">
        <is>
          <t>16/11/2026</t>
        </is>
      </c>
      <c r="T494" s="226" t="inlineStr">
        <is>
          <t>14/12/2026</t>
        </is>
      </c>
      <c r="U494" s="139" t="inlineStr">
        <is>
          <t>Appendix 6 (before) · Supervision record · Log sheet tagged 7. Supervision</t>
        </is>
      </c>
    </row>
    <row r="495" outlineLevel="2" ht="43.5" customHeight="1" s="128">
      <c r="A495" s="220" t="inlineStr">
        <is>
          <t>BLOCK</t>
        </is>
      </c>
      <c r="B495" s="220" t="inlineStr">
        <is>
          <t>7. Supervision</t>
        </is>
      </c>
      <c r="C495" s="220" t="inlineStr">
        <is>
          <t>Complete Appendix 6 before and after</t>
        </is>
      </c>
      <c r="D495" s="221" t="inlineStr">
        <is>
          <t>Block 2 · Setting targets</t>
        </is>
      </c>
      <c r="E495" s="222" t="inlineStr">
        <is>
          <t>Naming two or three priorities that are specific enough to act on.</t>
        </is>
      </c>
      <c r="F495" s="220" t="inlineStr">
        <is>
          <t>1 hour · Weeks 1–2</t>
        </is>
      </c>
      <c r="G495" s="220" t="n"/>
      <c r="H495" s="220" t="n"/>
      <c r="I495" s="220" t="n"/>
      <c r="J495" s="220" t="n"/>
      <c r="K495" s="220" t="n"/>
      <c r="L495" s="220" t="n"/>
      <c r="M495" s="222" t="n"/>
      <c r="N495" s="220" t="n"/>
      <c r="O495" s="220" t="n"/>
      <c r="P495" s="220" t="inlineStr">
        <is>
          <t>How you build it: Write them as things you will do, not things you will be.</t>
        </is>
      </c>
      <c r="Q495" s="220" t="n"/>
      <c r="R495" s="220" t="n"/>
      <c r="S495" s="220" t="n"/>
      <c r="T495" s="220" t="n"/>
      <c r="U495" s="220" t="n"/>
    </row>
    <row r="496" outlineLevel="2" ht="120" customHeight="1" s="128">
      <c r="A496" s="139" t="inlineStr">
        <is>
          <t>MICRO-SKILL</t>
        </is>
      </c>
      <c r="B496" s="139" t="inlineStr">
        <is>
          <t>7. Supervision</t>
        </is>
      </c>
      <c r="C496" s="139" t="inlineStr">
        <is>
          <t>Complete Appendix 6 before and after</t>
        </is>
      </c>
      <c r="D496" s="139" t="inlineStr">
        <is>
          <t>Block 2 · Setting targets</t>
        </is>
      </c>
      <c r="E496" s="223" t="inlineStr">
        <is>
          <t>Name two or three priority targets</t>
        </is>
      </c>
      <c r="F496" s="139" t="inlineStr">
        <is>
          <t>CORU SoP 4.3</t>
        </is>
      </c>
      <c r="G496" s="227" t="inlineStr">
        <is>
          <t>A target is only useful if you can tell at the end whether you met it: 'improve at formulation' cannot be evidenced, whereas a target with a named framework, a number of cases and a visible product can. CORU SoP 4.3 is mapped here. The Reference sheet suggests drawing targets from the development areas identified at your end-of-year review. Too many targets dilute effort; two or three priorities give a comparison that writes itself. The targets are yours to set and word.</t>
        </is>
      </c>
      <c r="H496" s="165" t="inlineStr">
        <is>
          <t>WATCH FOR — how your supervisor frames development goals for themselves or other trainees: whether each has an action, a setting, an amount and a product you could point to.
WRITE DOWN — your development areas from the end-of-year review, the lowest before-ratings, and which of these the Cavan placement can realistically support.
ASK AFTERWARDS — 'which of these could this placement actually give me the work to meet?'</t>
        </is>
      </c>
      <c r="I496" s="165" t="inlineStr">
        <is>
          <t>YOU TAKE — choosing two or three targets and wording each so that it names what you will do, how often or in which cases, and what evidence will show it.
THEY HOLD — a judgement on whether the service can provide the opportunities each target needs, and agreement to plan for them.
WHY THAT SPLIT — the priorities come from your self-evaluation, so they are yours. Whether a target is achievable here depends on caseload and settings the service controls.</t>
        </is>
      </c>
      <c r="J496" s="165" t="inlineStr">
        <is>
          <t>YOU RUN IT — draft the targets, test each with the question 'how will I know in December?', and bring them to the first supervision session for discussion.
WHAT THEY ARE WATCHING FOR — targets that are traits ('be more confident'), targets that need work this placement cannot offer, or six targets where two would do.
STEPPING IN LOOKS LIKE — 'what would I see in your file in December that shows you met this one?'</t>
        </is>
      </c>
      <c r="K496" s="207" t="inlineStr">
        <is>
          <t>YOU DO IT ALONE — you set two or three targets, each specific, linked to a low rating or a named development area, and achievable in this placement.
PASS TEST — Specific and achievable
EVIDENCE TO FILE — targets in your own words in Appendix 6, agreed in the supervision record. Log against 7. Supervision.
WHAT FAILURE LOOKS LIKE — 'develop my formulation skills' as the only target, with nothing at the end that shows whether it happened.</t>
        </is>
      </c>
      <c r="L496" s="165" t="inlineStr">
        <is>
          <t>YOU CAN TEACH IT — you can show a peer how to turn a vague aim into an evidenceable target, and why fewer targets make a better comparison.
WHEN IT GOES WRONG — mid-placement, a target becomes impossible (no cases of that kind arrive). Record why in supervision, adjust the target with your supervisor, and explain the change in the end comparison rather than dropping it silently.</t>
        </is>
      </c>
      <c r="M496" s="224" t="inlineStr">
        <is>
          <t>Writing targets that cannot be evidenced, such as 'improve at formulation'.</t>
        </is>
      </c>
      <c r="N496" s="165" t="inlineStr">
        <is>
          <t>→ Feeds into 'Carry the targets into the next Placement Plan' and 'Rate again at the end and compare'.</t>
        </is>
      </c>
      <c r="O496" s="225" t="inlineStr">
        <is>
          <t>Not started</t>
        </is>
      </c>
      <c r="P496" s="165" t="inlineStr">
        <is>
          <t>WATCH FOR — how your supervisor frames development goals for themselves or other trainees: whether each has an action, a setting, an amount and a product you could point to.</t>
        </is>
      </c>
      <c r="Q496" s="139" t="inlineStr">
        <is>
          <t>Year 1</t>
        </is>
      </c>
      <c r="R496" s="226" t="inlineStr">
        <is>
          <t>26/10/2026</t>
        </is>
      </c>
      <c r="S496" s="226" t="inlineStr">
        <is>
          <t>16/11/2026</t>
        </is>
      </c>
      <c r="T496" s="226" t="inlineStr">
        <is>
          <t>14/12/2026</t>
        </is>
      </c>
      <c r="U496" s="139" t="inlineStr">
        <is>
          <t>Appendix 6 — targets · Supervision record · Log sheet tagged 7. Supervision</t>
        </is>
      </c>
    </row>
    <row r="497" outlineLevel="2" ht="120" customHeight="1" s="128">
      <c r="A497" s="139" t="inlineStr">
        <is>
          <t>MICRO-SKILL</t>
        </is>
      </c>
      <c r="B497" s="139" t="inlineStr">
        <is>
          <t>7. Supervision</t>
        </is>
      </c>
      <c r="C497" s="139" t="inlineStr">
        <is>
          <t>Complete Appendix 6 before and after</t>
        </is>
      </c>
      <c r="D497" s="139" t="inlineStr">
        <is>
          <t>Block 2 · Setting targets</t>
        </is>
      </c>
      <c r="E497" s="223" t="inlineStr">
        <is>
          <t>Carry the targets into the next Placement Plan</t>
        </is>
      </c>
      <c r="F497" s="139" t="inlineStr">
        <is>
          <t>Handbook Appendix 1</t>
        </is>
      </c>
      <c r="G497" s="227" t="inlineStr">
        <is>
          <t>Targets that live only in Appendix 6 do not shape what work you are given; targets in the Placement Plan do. Handbook Appendix 1 is mapped here — read the form for where targets and settings go. This matters especially for PSI 3.3.6, which is not yet met: it requires mainstream primary, post-primary and special education, and special-setting visits must be written into the Appendix 1 before the placement starts, not added afterwards.</t>
        </is>
      </c>
      <c r="H497" s="165" t="inlineStr">
        <is>
          <t>WATCH FOR — how your supervisor turns a trainee's development needs into caseload decisions: which schools, which referrals, which settings (including special schools or special classes) are allocated and why.
WRITE DOWN — each Appendix 6 target alongside the specific opportunity in Cavan that could meet it, and the outstanding breadth needs (special education setting, further post-primary contact, thin age bands).
ASK AFTERWARDS — 'which of these can we write into the plan now, and which depend on referrals we don't have yet?'</t>
        </is>
      </c>
      <c r="I497" s="165" t="inlineStr">
        <is>
          <t>YOU TAKE — bringing your Appendix 6 targets and outstanding breadth needs to the planning meeting, and drafting how each appears in Appendix 1.
THEY HOLD — deciding what the service can commit to, arranging access to settings such as special schools, and signing the plan.
WHY THAT SPLIT — you know your gaps and targets. The service controls allocation and access, so the plan has to be a joint document signed before work begins.</t>
        </is>
      </c>
      <c r="J497" s="165" t="inlineStr">
        <is>
          <t>YOU RUN IT — before the placement begins, check that every priority target and the special-setting visits needed for PSI 3.3.6 appear in Appendix 1 with a named opportunity.
WHAT THEY ARE WATCHING FOR — an Appendix 1 that repeats generic programme aims, no special education setting named, and targets that appear nowhere in the plan.
STEPPING IN LOOKS LIKE — 'your target on consultation isn't in here. Which school could that happen in?'</t>
        </is>
      </c>
      <c r="K497" s="207" t="inlineStr">
        <is>
          <t>YOU DO IT ALONE — each Appendix 6 target has a matching line in Appendix 1, and required settings (including special education for PSI 3.3.6) are planned in before day one.
PASS TEST — They appear in Appendix 1
EVIDENCE TO FILE — the signed Appendix 1, cross-referenced to Appendix 6. Log against 7. Supervision.
WHAT FAILURE LOOKS LIKE — December arrives with the targets met in name only, and no special education contact because it was never in the plan.</t>
        </is>
      </c>
      <c r="L497" s="165" t="inlineStr">
        <is>
          <t>YOU CAN TEACH IT — you can explain why the Placement Plan, not the self-evaluation, is what drives allocation, and why breadth and setting requirements cannot be evidenced retrospectively.
WHEN IT GOES WRONG — a planned opportunity falls through. Record it in supervision, agree an alternative, and amend the plan in writing with your supervisor rather than letting the target lapse.</t>
        </is>
      </c>
      <c r="M497" s="224" t="inlineStr">
        <is>
          <t>Setting targets in Appendix 6 that never appear in the Appendix 1 Placement Plan.</t>
        </is>
      </c>
      <c r="N497" s="165" t="inlineStr">
        <is>
          <t>→ Feeds into PSI 3.3.6 setting coverage, Table 3 breadth, and 'Rate again at the end and compare'.</t>
        </is>
      </c>
      <c r="O497" s="225" t="inlineStr">
        <is>
          <t>Not started</t>
        </is>
      </c>
      <c r="P497" s="165" t="inlineStr">
        <is>
          <t>WATCH FOR — how your supervisor turns a trainee's development needs into caseload decisions: which schools, which referrals, which settings (including special schools or special classes) are allocated and why.</t>
        </is>
      </c>
      <c r="Q497" s="139" t="inlineStr">
        <is>
          <t>Year 1</t>
        </is>
      </c>
      <c r="R497" s="226" t="inlineStr">
        <is>
          <t>26/10/2026</t>
        </is>
      </c>
      <c r="S497" s="226" t="inlineStr">
        <is>
          <t>16/11/2026</t>
        </is>
      </c>
      <c r="T497" s="226" t="inlineStr">
        <is>
          <t>14/12/2026</t>
        </is>
      </c>
      <c r="U497" s="139" t="inlineStr">
        <is>
          <t>Appendix 1 (signed) · Appendix 6 · Log sheet tagged 7. Supervision</t>
        </is>
      </c>
    </row>
    <row r="498" outlineLevel="2" ht="43.5" customHeight="1" s="128">
      <c r="A498" s="220" t="inlineStr">
        <is>
          <t>BLOCK</t>
        </is>
      </c>
      <c r="B498" s="220" t="inlineStr">
        <is>
          <t>7. Supervision</t>
        </is>
      </c>
      <c r="C498" s="220" t="inlineStr">
        <is>
          <t>Complete Appendix 6 before and after</t>
        </is>
      </c>
      <c r="D498" s="221" t="inlineStr">
        <is>
          <t>Block 3 · Comparing</t>
        </is>
      </c>
      <c r="E498" s="222" t="inlineStr">
        <is>
          <t>Rating again and looking at what moved.</t>
        </is>
      </c>
      <c r="F498" s="220" t="inlineStr">
        <is>
          <t>1 hour · Ongoing all year</t>
        </is>
      </c>
      <c r="G498" s="220" t="n"/>
      <c r="H498" s="220" t="n"/>
      <c r="I498" s="220" t="n"/>
      <c r="J498" s="220" t="n"/>
      <c r="K498" s="220" t="n"/>
      <c r="L498" s="220" t="n"/>
      <c r="M498" s="222" t="n"/>
      <c r="N498" s="220" t="n"/>
      <c r="O498" s="220" t="n"/>
      <c r="P498" s="220" t="inlineStr">
        <is>
          <t>How you build it: Do the After without looking at the Before first. Then compare.</t>
        </is>
      </c>
      <c r="Q498" s="220" t="n"/>
      <c r="R498" s="220" t="n"/>
      <c r="S498" s="220" t="n"/>
      <c r="T498" s="220" t="n"/>
      <c r="U498" s="220" t="n"/>
    </row>
    <row r="499" outlineLevel="2" ht="120" customHeight="1" s="128">
      <c r="A499" s="139" t="inlineStr">
        <is>
          <t>MICRO-SKILL</t>
        </is>
      </c>
      <c r="B499" s="139" t="inlineStr">
        <is>
          <t>7. Supervision</t>
        </is>
      </c>
      <c r="C499" s="139" t="inlineStr">
        <is>
          <t>Complete Appendix 6 before and after</t>
        </is>
      </c>
      <c r="D499" s="139" t="inlineStr">
        <is>
          <t>Block 3 · Comparing</t>
        </is>
      </c>
      <c r="E499" s="223" t="inlineStr">
        <is>
          <t>Rate again at the end and compare</t>
        </is>
      </c>
      <c r="F499" s="139" t="inlineStr">
        <is>
          <t>Handbook §4.5a</t>
        </is>
      </c>
      <c r="G499" s="227" t="inlineStr">
        <is>
          <t>The end comparison is where development is either shown or merely claimed. The UCD Handbook §4.5a is mapped here. The Reference sheet advises accounting for every change, including ratings that did not move: an unchanged rating explained by lack of opportunity, with a forward plan, is strong; an unexplained identical rating looks like disengagement. This row is a scaffold for structuring the comparison; the ratings and explanations are yours to write.</t>
        </is>
      </c>
      <c r="H499" s="165" t="inlineStr">
        <is>
          <t>WATCH FOR — how your supervisor reads change: what they count as evidence of movement (a dated product, observed practice, feedback) and what they discount (confidence, effort).
WRITE DOWN — a two-column comparison: before rating and after rating for each competency, with a space for the evidence and reason beside each, and a separate list of competencies that did not move.
ASK AFTERWARDS — 'where have you seen me change this term, and where haven't you?'</t>
        </is>
      </c>
      <c r="I499" s="165" t="inlineStr">
        <is>
          <t>YOU TAKE — re-rating each competency in the final weeks, before reading your before-ratings again, then comparing and writing the explanation for each change or non-change.
THEY HOLD — their own view of your progress, given in the end-of-placement review, and discussion of any large disagreement.
WHY THAT SPLIT — the comparison is your self-evaluation. Their perspective checks it but does not replace it.</t>
        </is>
      </c>
      <c r="J499" s="165" t="inlineStr">
        <is>
          <t>YOU RUN IT — for each competency, prompt yourself: what moved, what shows it (dated Log entry, report, observation feedback), what did not move and why, and what that means for the next placement.
WHAT THEY ARE WATCHING FOR — every rating raised by one point with no evidence, unchanged ratings left unexplained, and a claim of change contradicted by the supervision record.
STEPPING IN LOOKS LIKE — 'this one hasn't moved. Why not, and what would move it next time?'</t>
        </is>
      </c>
      <c r="K499" s="207" t="inlineStr">
        <is>
          <t>YOU DO IT ALONE — you complete the after-ratings, place them beside the before-ratings, and account for each change and non-change with evidence and a forward plan.
PASS TEST — Movement is visible
EVIDENCE TO FILE — Appendix 6 (after), in your own words, and the supervision record of the end-of-placement review. Log against 7. Supervision.
WHAT FAILURE LOOKS LIKE — before and after forms that differ by a point here and there, with no explanation of why anything changed or stayed the same.</t>
        </is>
      </c>
      <c r="L499" s="165" t="inlineStr">
        <is>
          <t>YOU CAN TEACH IT — you can explain why unchanged ratings need a reason, how to anchor change to dated evidence, and how the comparison feeds the next Placement Plan.
WHEN IT GOES WRONG — you find a rating went down. That can be honest: you now understand the competency better. Say so plainly, give the evidence, and set it as a target for the next placement.</t>
        </is>
      </c>
      <c r="M499" s="224" t="inlineStr">
        <is>
          <t>Leaving unchanged ratings unexplained, so the comparison reads as disengagement.</t>
        </is>
      </c>
      <c r="N499" s="165" t="inlineStr">
        <is>
          <t>→ Feeds into the reflective learning essay, the next Appendix 1, and CORU SoP 4.3.</t>
        </is>
      </c>
      <c r="O499" s="225" t="inlineStr">
        <is>
          <t>Not started</t>
        </is>
      </c>
      <c r="P499" s="165" t="inlineStr">
        <is>
          <t>WATCH FOR — how your supervisor reads change: what they count as evidence of movement (a dated product, observed practice, feedback) and what they discount (confidence, effort).</t>
        </is>
      </c>
      <c r="Q499" s="139" t="inlineStr">
        <is>
          <t>Year 1</t>
        </is>
      </c>
      <c r="R499" s="226" t="inlineStr">
        <is>
          <t>26/10/2026</t>
        </is>
      </c>
      <c r="S499" s="226" t="inlineStr">
        <is>
          <t>16/11/2026</t>
        </is>
      </c>
      <c r="T499" s="226" t="inlineStr">
        <is>
          <t>14/12/2026</t>
        </is>
      </c>
      <c r="U499" s="139" t="inlineStr">
        <is>
          <t>Appendix 6 (before and after) · Supervision record · Log sheet tagged 7. Supervision</t>
        </is>
      </c>
    </row>
    <row r="500" outlineLevel="2" ht="19.5" customHeight="1" s="128">
      <c r="A500" s="219" t="inlineStr">
        <is>
          <t>MACRO SKILL</t>
        </is>
      </c>
      <c r="B500" s="219" t="inlineStr">
        <is>
          <t>7. Supervision</t>
        </is>
      </c>
      <c r="C500" s="219" t="inlineStr">
        <is>
          <t>Write the reflective learning essay</t>
        </is>
      </c>
      <c r="D500" s="219" t="n"/>
      <c r="E500" s="219" t="inlineStr">
        <is>
          <t>3 blocks · 5 micro-skills</t>
        </is>
      </c>
      <c r="F500" s="219" t="inlineStr">
        <is>
          <t>Handbook §4.5b · CORU 5.44 · 5.45</t>
        </is>
      </c>
      <c r="G500" s="219" t="n"/>
      <c r="H500" s="219" t="n"/>
      <c r="I500" s="219" t="n"/>
      <c r="J500" s="219" t="n"/>
      <c r="K500" s="219" t="n"/>
      <c r="L500" s="219" t="n"/>
      <c r="M500" s="219" t="n"/>
      <c r="N500" s="219" t="n"/>
      <c r="O500" s="219" t="n"/>
      <c r="P500" s="219" t="n"/>
      <c r="Q500" s="219" t="inlineStr">
        <is>
          <t>Year 1</t>
        </is>
      </c>
      <c r="R500" s="219" t="n"/>
      <c r="S500" s="219" t="n"/>
      <c r="T500" s="219" t="n"/>
      <c r="U500" s="219" t="n"/>
    </row>
    <row r="501" outlineLevel="2" ht="43.5" customHeight="1" s="128">
      <c r="A501" s="220" t="inlineStr">
        <is>
          <t>BLOCK</t>
        </is>
      </c>
      <c r="B501" s="220" t="inlineStr">
        <is>
          <t>7. Supervision</t>
        </is>
      </c>
      <c r="C501" s="220" t="inlineStr">
        <is>
          <t>Write the reflective learning essay</t>
        </is>
      </c>
      <c r="D501" s="221" t="inlineStr">
        <is>
          <t>Block 1 · Knowing what it must cover</t>
        </is>
      </c>
      <c r="E501" s="222" t="inlineStr">
        <is>
          <t>Placement, college sessions and independent study — all three strands, plus challenges.</t>
        </is>
      </c>
      <c r="F501" s="220" t="inlineStr">
        <is>
          <t>1 hour, once · Weeks 7–12</t>
        </is>
      </c>
      <c r="G501" s="220" t="n"/>
      <c r="H501" s="220" t="n"/>
      <c r="I501" s="220" t="n"/>
      <c r="J501" s="220" t="n"/>
      <c r="K501" s="220" t="n"/>
      <c r="L501" s="220" t="n"/>
      <c r="M501" s="222" t="n"/>
      <c r="N501" s="220" t="n"/>
      <c r="O501" s="220" t="n"/>
      <c r="P501" s="220" t="inlineStr">
        <is>
          <t>How you build it: Read §4.5b. It says challenges explicitly.</t>
        </is>
      </c>
      <c r="Q501" s="220" t="n"/>
      <c r="R501" s="220" t="n"/>
      <c r="S501" s="220" t="n"/>
      <c r="T501" s="220" t="n"/>
      <c r="U501" s="220" t="n"/>
    </row>
    <row r="502" outlineLevel="2" ht="120" customHeight="1" s="128">
      <c r="A502" s="139" t="inlineStr">
        <is>
          <t>MICRO-SKILL</t>
        </is>
      </c>
      <c r="B502" s="139" t="inlineStr">
        <is>
          <t>7. Supervision</t>
        </is>
      </c>
      <c r="C502" s="139" t="inlineStr">
        <is>
          <t>Write the reflective learning essay</t>
        </is>
      </c>
      <c r="D502" s="139" t="inlineStr">
        <is>
          <t>Block 1 · Knowing what it must cover</t>
        </is>
      </c>
      <c r="E502" s="223" t="inlineStr">
        <is>
          <t>Cover placement, college sessions and independent study</t>
        </is>
      </c>
      <c r="F502" s="139" t="inlineStr">
        <is>
          <t>Handbook §4.5b</t>
        </is>
      </c>
      <c r="G502" s="227" t="inlineStr">
        <is>
          <t>The essay is where the portfolio either becomes a coherent account of the year or stays a pile of forms. The UCD Handbook §4.5b is mapped here; read it yourself and list its requirements before writing, because the Reference sheet notes that Appendix 6 does two jobs and you need to check whether you are writing one document or two. Writing only about placement and omitting college sessions and independent study means writing the wrong thing well. The essay is yours to write; this row gives structure only.</t>
        </is>
      </c>
      <c r="H502" s="165" t="inlineStr">
        <is>
          <t>WATCH FOR — in §4.5b and any marking guidance the programme provides, the exact strands required, the word limit, and whether it is submitted within Appendix 6 or separately.
WRITE DOWN — a planning table with a row per strand (placement, college sessions, independent study) and columns for a dated example, what it changed in your practice, and the source record you will draw on.
ASK AFTERWARDS — (programme tutor) 'is this one document with the self-evaluation, or two?'</t>
        </is>
      </c>
      <c r="I502" s="165" t="inlineStr">
        <is>
          <t>YOU TAKE — reading the requirements yourself, building the planning table, and drafting the essay in your own words.
THEY HOLD — (your supervisor or tutor) clarification of what the programme requires; they do not read drafts for content unless the programme allows it.
WHY THAT SPLIT — the essay is assessed as your own reflection. Clarifying requirements is fair; shaping the content for you is not.</t>
        </is>
      </c>
      <c r="J502" s="165" t="inlineStr">
        <is>
          <t>YOU RUN IT — for each strand, find at least one dated example and ask: what did I learn, where did I use it, what changed? Link college teaching to a placement moment where you applied (or failed to apply) it.
WHAT THEY ARE WATCHING FOR — an essay that is all placement, reading lists named without saying what they changed, and college sessions described as a timetable.
STEPPING IN LOOKS LIKE — 'where did something from a lecture actually turn up in your practice?'</t>
        </is>
      </c>
      <c r="K502" s="207" t="inlineStr">
        <is>
          <t>YOU DO IT ALONE — your essay addresses each required strand with dated examples, linked to changes in practice, in your own words.
PASS TEST — All three strands
EVIDENCE TO FILE — the essay (yours to write) in Appendix 6 or as the programme directs, with the planning table kept privately. Log against 7. Supervision.
WHAT FAILURE LOOKS LIKE — a strong placement narrative that never mentions college teaching or independent reading, so a required strand is missing.</t>
        </is>
      </c>
      <c r="L502" s="165" t="inlineStr">
        <is>
          <t>YOU CAN TEACH IT — you can explain how to read §4.5b into a checklist, how a planning table stops a strand being forgotten, and why reading only counts when you can say what it changed.
WHEN IT GOES WRONG — you realise late that a strand is thin. Go back to your Log and supervision records for dated material, and write honestly about what that strand contributed, even if it was less than the others.</t>
        </is>
      </c>
      <c r="M502" s="224" t="inlineStr">
        <is>
          <t>Writing only about placement and leaving out college sessions and independent study.</t>
        </is>
      </c>
      <c r="N502" s="165" t="inlineStr">
        <is>
          <t>→ Feeds into 'Trace a change in practice to a specific reflection' and the completed Appendix 6.</t>
        </is>
      </c>
      <c r="O502" s="225" t="inlineStr">
        <is>
          <t>Not started</t>
        </is>
      </c>
      <c r="P502" s="165" t="inlineStr">
        <is>
          <t>WATCH FOR — in §4.5b and any marking guidance the programme provides, the exact strands required, the word limit, and whether it is submitted within Appendix 6 or separately.</t>
        </is>
      </c>
      <c r="Q502" s="139" t="inlineStr">
        <is>
          <t>Year 1</t>
        </is>
      </c>
      <c r="R502" s="226" t="inlineStr">
        <is>
          <t>26/10/2026</t>
        </is>
      </c>
      <c r="S502" s="226" t="inlineStr">
        <is>
          <t>16/11/2026</t>
        </is>
      </c>
      <c r="T502" s="226" t="inlineStr">
        <is>
          <t>14/12/2026</t>
        </is>
      </c>
      <c r="U502" s="139" t="inlineStr">
        <is>
          <t>Reflective essay (trainee's own) · Appendix 6 · Log sheet tagged 7. Supervision</t>
        </is>
      </c>
    </row>
    <row r="503" outlineLevel="2" ht="43.5" customHeight="1" s="128">
      <c r="A503" s="220" t="inlineStr">
        <is>
          <t>BLOCK</t>
        </is>
      </c>
      <c r="B503" s="220" t="inlineStr">
        <is>
          <t>7. Supervision</t>
        </is>
      </c>
      <c r="C503" s="220" t="inlineStr">
        <is>
          <t>Write the reflective learning essay</t>
        </is>
      </c>
      <c r="D503" s="221" t="inlineStr">
        <is>
          <t>Block 2 · Writing about difficulty</t>
        </is>
      </c>
      <c r="E503" s="222" t="inlineStr">
        <is>
          <t>Naming what was hard and what it cost, without performing distress.</t>
        </is>
      </c>
      <c r="F503" s="220" t="inlineStr">
        <is>
          <t>Ongoing · Ongoing all year</t>
        </is>
      </c>
      <c r="G503" s="220" t="n"/>
      <c r="H503" s="220" t="n"/>
      <c r="I503" s="220" t="n"/>
      <c r="J503" s="220" t="n"/>
      <c r="K503" s="220" t="n"/>
      <c r="L503" s="220" t="n"/>
      <c r="M503" s="222" t="n"/>
      <c r="N503" s="220" t="n"/>
      <c r="O503" s="220" t="n"/>
      <c r="P503" s="220" t="inlineStr">
        <is>
          <t>How you build it: Write the difficult paragraph first, before the rest. It is easier that way round.</t>
        </is>
      </c>
      <c r="Q503" s="220" t="n"/>
      <c r="R503" s="220" t="n"/>
      <c r="S503" s="220" t="n"/>
      <c r="T503" s="220" t="n"/>
      <c r="U503" s="220" t="n"/>
    </row>
    <row r="504" outlineLevel="2" ht="120" customHeight="1" s="128">
      <c r="A504" s="139" t="inlineStr">
        <is>
          <t>MICRO-SKILL</t>
        </is>
      </c>
      <c r="B504" s="139" t="inlineStr">
        <is>
          <t>7. Supervision</t>
        </is>
      </c>
      <c r="C504" s="139" t="inlineStr">
        <is>
          <t>Write the reflective learning essay</t>
        </is>
      </c>
      <c r="D504" s="139" t="inlineStr">
        <is>
          <t>Block 2 · Writing about difficulty</t>
        </is>
      </c>
      <c r="E504" s="223" t="inlineStr">
        <is>
          <t>Name what was hard and what it cost</t>
        </is>
      </c>
      <c r="F504" s="139" t="inlineStr">
        <is>
          <t>Handbook §4.5b · CORU SoP 5.45</t>
        </is>
      </c>
      <c r="G504" s="227" t="inlineStr">
        <is>
          <t>An account with no difficulty in it is not credible, and markers tend to read it as performance. The UCD Handbook §4.5b and CORU SoP 5.45 (recognising personal emotional responses and developing self-care) are mapped here. The unit of analysis is your practice, not your private life: you are not required to disclose anything personal you do not wish to. This row offers structure and prompts; the reflection is yours to write.</t>
        </is>
      </c>
      <c r="H504" s="165" t="inlineStr">
        <is>
          <t>WATCH FOR — in your own supervision records and Log, the moments you found hard: a feedback meeting that went badly, a disclosure, a case you felt out of your depth on, a workload peak. Notice which ones changed how you practise.
WRITE DOWN — for two or three moments: what happened (briefly), what you noticed in yourself, what it cost (time, sleep, confidence, a relationship with a school), and what you did about it.
ASK AFTERWARDS — (yourself) 'which difficulty do I most want to leave out, and why?'</t>
        </is>
      </c>
      <c r="I504" s="165" t="inlineStr">
        <is>
          <t>YOU TAKE — choosing which difficulties to write about, and how much of your personal response to include.
THEY HOLD — (your supervisor) nothing in the essay itself; they may have discussed the same moments in supervision, which you can draw on.
WHY THAT SPLIT — disclosure is your choice. The essay needs honesty about practice, not about your private life, and you set that boundary.</t>
        </is>
      </c>
      <c r="J504" s="165" t="inlineStr">
        <is>
          <t>YOU RUN IT — use a structure to move from event to learning: for example Gibbs's (1988) reflective cycle (description, feelings, evaluation, analysis, conclusion, action plan) as a scaffold, not a set of headings to copy into the essay.
WHAT THEY ARE WATCHING FOR — difficulty written as a confession with no link to practice, or difficulty minimised so it reads as a success story.
STEPPING IN LOOKS LIKE — (your own check) 'have I said what it cost and what I did about it, or only that it was hard?'</t>
        </is>
      </c>
      <c r="K504" s="207" t="inlineStr">
        <is>
          <t>YOU DO IT ALONE — the essay names real challenges, what they cost, and how you responded, in your own words, while keeping the focus on practice.
PASS TEST — Challenges are expected
EVIDENCE TO FILE — the essay (yours to write); supporting supervision records stay on file. Log against 7. Supervision.
WHAT FAILURE LOOKS LIKE — an essay in which everything went well, or one that discloses personal material at length without any link to practice.</t>
        </is>
      </c>
      <c r="L504" s="165" t="inlineStr">
        <is>
          <t>YOU CAN TEACH IT — you can explain the difference between reflection and confession, how a model like Gibbs (1988) can scaffold thinking, and why honest difficulty strengthens the essay.
WHEN IT GOES WRONG — writing about a hard moment stirs up more than expected. Stop, take it to supervision or the university counselling service, and choose a different example if that one is not ready to be written about.</t>
        </is>
      </c>
      <c r="M504" s="224" t="inlineStr">
        <is>
          <t>Leaving out every difficulty, so the essay reads as a performance.</t>
        </is>
      </c>
      <c r="N504" s="165" t="inlineStr">
        <is>
          <t>→ Feeds into 'Reflect on your own culture, values and biases' and 'Name a self-care strategy and evidence it works'.</t>
        </is>
      </c>
      <c r="O504" s="225" t="inlineStr">
        <is>
          <t>Not started</t>
        </is>
      </c>
      <c r="P504" s="165" t="inlineStr">
        <is>
          <t>WATCH FOR — in your own supervision records and Log, the moments you found hard: a feedback meeting that went badly, a disclosure, a case you felt out of your depth on, a workload peak. Notice which ones changed how you practise.</t>
        </is>
      </c>
      <c r="Q504" s="139" t="inlineStr">
        <is>
          <t>Year 1</t>
        </is>
      </c>
      <c r="R504" s="226" t="inlineStr">
        <is>
          <t>26/10/2026</t>
        </is>
      </c>
      <c r="S504" s="226" t="inlineStr">
        <is>
          <t>16/11/2026</t>
        </is>
      </c>
      <c r="T504" s="226" t="inlineStr">
        <is>
          <t>14/12/2026</t>
        </is>
      </c>
      <c r="U504" s="139" t="inlineStr">
        <is>
          <t>Reflective essay (trainee's own) · Supervision record · Log sheet tagged 7. Supervision</t>
        </is>
      </c>
    </row>
    <row r="505" outlineLevel="2" ht="120" customHeight="1" s="128">
      <c r="A505" s="139" t="inlineStr">
        <is>
          <t>MICRO-SKILL</t>
        </is>
      </c>
      <c r="B505" s="139" t="inlineStr">
        <is>
          <t>7. Supervision</t>
        </is>
      </c>
      <c r="C505" s="139" t="inlineStr">
        <is>
          <t>Write the reflective learning essay</t>
        </is>
      </c>
      <c r="D505" s="139" t="inlineStr">
        <is>
          <t>Block 2 · Writing about difficulty</t>
        </is>
      </c>
      <c r="E505" s="223" t="inlineStr">
        <is>
          <t>Reflect on your own culture, values and biases</t>
        </is>
      </c>
      <c r="F505" s="139" t="inlineStr">
        <is>
          <t>CORU SoP 5.44</t>
        </is>
      </c>
      <c r="G505" s="227" t="inlineStr">
        <is>
          <t>CORU SoP 5.44 asks you to reflect critically on the 'self' and the impact of your own culture, values, experiences, beliefs and biases, using supervision to assist the process. The Reference sheet treats this and 5.45 as the essay's real brief. Schön (1983) distinguishes reflection-in-action from reflection-on-action; the essay is largely the latter, but noting moments you adjusted in the room shows both. The reflection is yours to write; this row gives prompts only.</t>
        </is>
      </c>
      <c r="H505" s="165" t="inlineStr">
        <is>
          <t>WATCH FOR — moments when your own assumptions shaped a judgement: what you expected of a family, a school, a child's language or background, and where that expectation was wrong or had to be checked.
WRITE DOWN — two or three such moments (anonymised), what you assumed, where the assumption came from, and what happened when it was tested.
ASK AFTERWARDS — (in supervision) 'where do you think my own background has shaped how I've read a case?'</t>
        </is>
      </c>
      <c r="I505" s="165" t="inlineStr">
        <is>
          <t>YOU TAKE — identifying your own values and assumptions, and choosing which examples to write about and how.
THEY HOLD — (your supervisor) questions in supervision that help you see what you might have missed; the supervision record of those discussions is source material.
WHY THAT SPLIT — CORU 5.44 names supervision as an aid to this reflection, but the insight and the writing must be yours.</t>
        </is>
      </c>
      <c r="J505" s="165" t="inlineStr">
        <is>
          <t>YOU RUN IT — for each example, prompt yourself: what did I assume, what did it lead me to do, how did I find out, what do I do differently now? Quote your supervision record where a question changed your view.
WHAT THEY ARE WATCHING FOR — a general statement ('I am aware of my biases') with no example, or a list of identity characteristics with no link to a decision you made.
STEPPING IN LOOKS LIKE — (your own check) 'can I point to a specific moment where this assumption changed something I did?'</t>
        </is>
      </c>
      <c r="K505" s="207" t="inlineStr">
        <is>
          <t>YOU DO IT ALONE — the essay names at least one specific way your culture, values or assumptions affected your practice, how you noticed, and what changed, in your own words.
PASS TEST — This is where CORU 5.44 lands
EVIDENCE TO FILE — the essay (yours to write), with the supervision record entries you drew on. Log against 7. Supervision and 6. Ethical Practice.
WHAT FAILURE LOOKS LIKE — a paragraph asserting awareness of bias without a single example from practice.</t>
        </is>
      </c>
      <c r="L505" s="165" t="inlineStr">
        <is>
          <t>YOU CAN TEACH IT — you can explain CORU 5.44, Schön's (1983) distinction as a way into it, and how supervision records provide evidence that the reflection is real rather than reconstructed.
WHEN IT GOES WRONG — you cannot find an example. Look at cases where you and a parent or teacher disagreed, or where your first hypothesis was wrong, and take that question to supervision.</t>
        </is>
      </c>
      <c r="M505" s="224" t="inlineStr">
        <is>
          <t>Stating awareness of bias without a specific example of it affecting practice.</t>
        </is>
      </c>
      <c r="N505" s="165" t="inlineStr">
        <is>
          <t>→ Feeds into 6. Ethical Practice, culturally responsive assessment, and CORU SoP 5.44.</t>
        </is>
      </c>
      <c r="O505" s="225" t="inlineStr">
        <is>
          <t>Not started</t>
        </is>
      </c>
      <c r="P505" s="165" t="inlineStr">
        <is>
          <t>WATCH FOR — moments when your own assumptions shaped a judgement: what you expected of a family, a school, a child's language or background, and where that expectation was wrong or had to be checked.</t>
        </is>
      </c>
      <c r="Q505" s="139" t="inlineStr">
        <is>
          <t>Year 1</t>
        </is>
      </c>
      <c r="R505" s="226" t="inlineStr">
        <is>
          <t>26/10/2026</t>
        </is>
      </c>
      <c r="S505" s="226" t="inlineStr">
        <is>
          <t>16/11/2026</t>
        </is>
      </c>
      <c r="T505" s="226" t="inlineStr">
        <is>
          <t>14/12/2026</t>
        </is>
      </c>
      <c r="U505" s="139" t="inlineStr">
        <is>
          <t>Reflective essay (trainee's own) · Supervision record · Log sheet tagged 7. Supervision and 6. Ethical Practice</t>
        </is>
      </c>
    </row>
    <row r="506" outlineLevel="2" ht="43.5" customHeight="1" s="128">
      <c r="A506" s="220" t="inlineStr">
        <is>
          <t>BLOCK</t>
        </is>
      </c>
      <c r="B506" s="220" t="inlineStr">
        <is>
          <t>7. Supervision</t>
        </is>
      </c>
      <c r="C506" s="220" t="inlineStr">
        <is>
          <t>Write the reflective learning essay</t>
        </is>
      </c>
      <c r="D506" s="221" t="inlineStr">
        <is>
          <t>Block 3 · Showing change</t>
        </is>
      </c>
      <c r="E506" s="222" t="inlineStr">
        <is>
          <t>Tracing a change in practice back to a specific reflection.</t>
        </is>
      </c>
      <c r="F506" s="220" t="inlineStr">
        <is>
          <t>10 minutes weekly · Ongoing all year</t>
        </is>
      </c>
      <c r="G506" s="220" t="n"/>
      <c r="H506" s="220" t="n"/>
      <c r="I506" s="220" t="n"/>
      <c r="J506" s="220" t="n"/>
      <c r="K506" s="220" t="n"/>
      <c r="L506" s="220" t="n"/>
      <c r="M506" s="222" t="n"/>
      <c r="N506" s="220" t="n"/>
      <c r="O506" s="220" t="n"/>
      <c r="P506" s="220" t="inlineStr">
        <is>
          <t>How you build it: Keep a running note across the year of things you changed and why.</t>
        </is>
      </c>
      <c r="Q506" s="220" t="n"/>
      <c r="R506" s="220" t="n"/>
      <c r="S506" s="220" t="n"/>
      <c r="T506" s="220" t="n"/>
      <c r="U506" s="220" t="n"/>
    </row>
    <row r="507" outlineLevel="2" ht="120" customHeight="1" s="128">
      <c r="A507" s="139" t="inlineStr">
        <is>
          <t>MICRO-SKILL</t>
        </is>
      </c>
      <c r="B507" s="139" t="inlineStr">
        <is>
          <t>7. Supervision</t>
        </is>
      </c>
      <c r="C507" s="139" t="inlineStr">
        <is>
          <t>Write the reflective learning essay</t>
        </is>
      </c>
      <c r="D507" s="139" t="inlineStr">
        <is>
          <t>Block 3 · Showing change</t>
        </is>
      </c>
      <c r="E507" s="223" t="inlineStr">
        <is>
          <t>Trace a change in practice to a specific reflection</t>
        </is>
      </c>
      <c r="F507" s="139" t="inlineStr">
        <is>
          <t>CORU SoP 4.3</t>
        </is>
      </c>
      <c r="G507" s="227" t="inlineStr">
        <is>
          <t>'I have developed in confidence' is an assertion; a dated sequence showing what you did before, what you reflected on, and what you did afterwards is evidence. CORU SoP 4.3 is mapped here. The Reference sheet suggests a ten-minute weekly habit — one dated paragraph about what you noticed — so the essay becomes an editing task rather than writing from memory. The essay is yours to write; this row suggests how to find and structure the evidence.</t>
        </is>
      </c>
      <c r="H507" s="165" t="inlineStr">
        <is>
          <t>WATCH FOR — in your Log's development column, supervision records and Appendix 7 feedback, a chain: a moment you noticed something, a reflection or piece of feedback, and a later dated occasion where you did it differently.
WRITE DOWN — two or three such chains, each with dates (DD/MM/YYYY), the source record, and what specifically changed.
ASK AFTERWARDS — (yourself) 'what would someone reading my file see that shows this change, without my telling them?'</t>
        </is>
      </c>
      <c r="I507" s="165" t="inlineStr">
        <is>
          <t>YOU TAKE — finding the chains in your own records and writing them up in your own words, with dates and sources.
THEY HOLD — (your supervisor) the supervision records and observation feedback that corroborate the change.
WHY THAT SPLIT — the change and its account are yours. Records held jointly show the reflection was real, which is why quoting them strengthens the essay.</t>
        </is>
      </c>
      <c r="J507" s="165" t="inlineStr">
        <is>
          <t>YOU RUN IT — keep a weekly dated paragraph through the Cavan placement; when drafting, pick the chains with the clearest before and after, and quote the supervision record at the turning point.
WHAT THEY ARE WATCHING FOR — change asserted without dates, a before and after with no reflection between them, or examples that are all descriptions of what happened.
STEPPING IN LOOKS LIKE — (your own check) 'where exactly is the reflection in this example, and when did the practice change?'</t>
        </is>
      </c>
      <c r="K507" s="207" t="inlineStr">
        <is>
          <t>YOU DO IT ALONE — the essay traces at least one change in practice back to a specific, dated reflection or piece of feedback, in your own words.
PASS TEST — Reflection that changed something
EVIDENCE TO FILE — the essay (yours to write), cross-referenced to the Log, supervision record and Appendix 7. Log against 7. Supervision.
WHAT FAILURE LOOKS LIKE — 'I grew in confidence over the year' with no example, no date and no source.</t>
        </is>
      </c>
      <c r="L507" s="165" t="inlineStr">
        <is>
          <t>YOU CAN TEACH IT — you can explain the difference between asserting and evidencing change, how a weekly dated habit produces material, and how to use supervision records as source material.
WHEN IT GOES WRONG — you reach the essay with no weekly notes. Reconstruct from dated records you already hold (Log, supervision notes, Appendix 7), say plainly where memory is filling gaps, and start the weekly habit now.</t>
        </is>
      </c>
      <c r="M507" s="224" t="inlineStr">
        <is>
          <t>Asserting development instead of evidencing it with dated examples.</t>
        </is>
      </c>
      <c r="N507" s="165" t="inlineStr">
        <is>
          <t>→ Feeds into 'Rate again at the end and compare' and the completed portfolio.</t>
        </is>
      </c>
      <c r="O507" s="225" t="inlineStr">
        <is>
          <t>Not started</t>
        </is>
      </c>
      <c r="P507" s="165" t="inlineStr">
        <is>
          <t>WATCH FOR — in your Log's development column, supervision records and Appendix 7 feedback, a chain: a moment you noticed something, a reflection or piece of feedback, and a later dated occasion where you did it differently.</t>
        </is>
      </c>
      <c r="Q507" s="139" t="inlineStr">
        <is>
          <t>Year 1</t>
        </is>
      </c>
      <c r="R507" s="226" t="inlineStr">
        <is>
          <t>26/10/2026</t>
        </is>
      </c>
      <c r="S507" s="226" t="inlineStr">
        <is>
          <t>16/11/2026</t>
        </is>
      </c>
      <c r="T507" s="226" t="inlineStr">
        <is>
          <t>14/12/2026</t>
        </is>
      </c>
      <c r="U507" s="139" t="inlineStr">
        <is>
          <t>Reflective essay (trainee's own) · Log · Supervision record · Appendix 7 · Log sheet tagged 7. Supervision</t>
        </is>
      </c>
    </row>
    <row r="508" outlineLevel="2" ht="120" customHeight="1" s="128">
      <c r="A508" s="139" t="inlineStr">
        <is>
          <t>MICRO-SKILL</t>
        </is>
      </c>
      <c r="B508" s="139" t="inlineStr">
        <is>
          <t>7. Supervision</t>
        </is>
      </c>
      <c r="C508" s="139" t="inlineStr">
        <is>
          <t>Write the reflective learning essay</t>
        </is>
      </c>
      <c r="D508" s="139" t="inlineStr">
        <is>
          <t>Block 3 · Showing change</t>
        </is>
      </c>
      <c r="E508" s="223" t="inlineStr">
        <is>
          <t>Name a self-care strategy and evidence it works</t>
        </is>
      </c>
      <c r="F508" s="139" t="inlineStr">
        <is>
          <t>CORU SoP 5.45 · PSI Code 4.1.1</t>
        </is>
      </c>
      <c r="G508" s="227" t="inlineStr">
        <is>
          <t>CORU SoP 5.45 asks you to recognise personal emotional responses and develop effective self-care; PSI Code 4.1.1 is also mapped — read both in full. Burnout builds slowly (Maslach &amp; Jackson, 1981), and an intention ('I will look after myself') is not a strategy. The essay needs a specific activity you actually did, and some evidence that it helped. What you disclose is your choice; this row gives prompts, and the text is yours to write.</t>
        </is>
      </c>
      <c r="H508" s="165" t="inlineStr">
        <is>
          <t>WATCH FOR — what you actually did when the work was heavy: a boundary on evening emails, a walk between schools, raising workload in supervision, using the employee assistance or university counselling service.
WRITE DOWN — one or two strategies, when you used them (dated), what prompted them, and what you noticed afterwards (sleep, backlog, mood, quality of records).
ASK AFTERWARDS — (in supervision) 'have you noticed any difference in how I've been working since I started doing this?'</t>
        </is>
      </c>
      <c r="I508" s="165" t="inlineStr">
        <is>
          <t>YOU TAKE — choosing and using a strategy, noting its effect, and deciding how much to say about it in the essay.
THEY HOLD — (your supervisor) noticing and naming signs of strain, and space in supervision to talk about wellbeing; nothing private needs to go on file.
WHY THAT SPLIT — self-care is yours. Supervision is one place it can be supported, and a brief record that wellbeing was discussed is enough evidence.</t>
        </is>
      </c>
      <c r="J508" s="165" t="inlineStr">
        <is>
          <t>YOU RUN IT — use the strategy consistently for several weeks, note briefly when you did and what changed, and raise it in supervision at least once.
WHAT THEY ARE WATCHING FOR — a strategy that exists only in the essay, a general list ('exercise, sleep, friends') with no evidence of use, or over-disclosure that moves the essay away from practice.
STEPPING IN LOOKS LIKE — (your own check) 'can I show when I did this and what difference it made?'</t>
        </is>
      </c>
      <c r="K508" s="207" t="inlineStr">
        <is>
          <t>YOU DO IT ALONE — the essay names a specific self-care activity you carried out, when, and what evidence shows it helped, in your own words.
PASS TEST — An activity, not an intention
EVIDENCE TO FILE — the essay (yours to write); a supervision record line that wellbeing was discussed. Log against 7. Supervision and 6. Ethical Practice.
WHAT FAILURE LOOKS LIKE — 'I will prioritise self-care next year' as the only statement on the subject.</t>
        </is>
      </c>
      <c r="L508" s="165" t="inlineStr">
        <is>
          <t>YOU CAN TEACH IT — you can explain CORU 5.45, why an intention is not evidence, and how to record a strategy's effect without over-disclosing.
WHEN IT GOES WRONG — the strategy stops working, or strain continues. Raise it in supervision, use the employee assistance or university counselling service, see your GP, and write honestly about what you learned from it not working.</t>
        </is>
      </c>
      <c r="M508" s="224" t="inlineStr">
        <is>
          <t>Writing a self-care intention with no evidence it was ever carried out.</t>
        </is>
      </c>
      <c r="N508" s="165" t="inlineStr">
        <is>
          <t>→ Feeds into 'Manage workload and your own wellbeing' in 6. Ethical Practice and CORU SoP 5.45.</t>
        </is>
      </c>
      <c r="O508" s="225" t="inlineStr">
        <is>
          <t>Not started</t>
        </is>
      </c>
      <c r="P508" s="165" t="inlineStr">
        <is>
          <t>WATCH FOR — what you actually did when the work was heavy: a boundary on evening emails, a walk between schools, raising workload in supervision, using the employee assistance or university counselling service.</t>
        </is>
      </c>
      <c r="Q508" s="139" t="inlineStr">
        <is>
          <t>Year 1</t>
        </is>
      </c>
      <c r="R508" s="226" t="inlineStr">
        <is>
          <t>26/10/2026</t>
        </is>
      </c>
      <c r="S508" s="226" t="inlineStr">
        <is>
          <t>16/11/2026</t>
        </is>
      </c>
      <c r="T508" s="226" t="inlineStr">
        <is>
          <t>14/12/2026</t>
        </is>
      </c>
      <c r="U508" s="139" t="inlineStr">
        <is>
          <t>Reflective essay (trainee's own) · Supervision record · Log sheet tagged 7. Supervision and 6. Ethical Practice</t>
        </is>
      </c>
    </row>
    <row r="509" ht="21.75" customHeight="1" s="128">
      <c r="A509" s="173" t="inlineStr">
        <is>
          <t>COMPETENCY</t>
        </is>
      </c>
      <c r="B509" s="173" t="inlineStr">
        <is>
          <t>8. Research</t>
        </is>
      </c>
      <c r="C509" s="173" t="n"/>
      <c r="D509" s="173" t="n"/>
      <c r="E509" s="173" t="inlineStr">
        <is>
          <t>3 macro skills · 9 blocks · 15 micro-skills</t>
        </is>
      </c>
      <c r="F509" s="173" t="n"/>
      <c r="G509" s="173" t="n"/>
      <c r="H509" s="173" t="n"/>
      <c r="I509" s="173" t="n"/>
      <c r="J509" s="173" t="n"/>
      <c r="K509" s="173" t="n"/>
      <c r="L509" s="173" t="n"/>
      <c r="M509" s="173" t="n"/>
      <c r="N509" s="173" t="n"/>
      <c r="O509" s="173" t="n"/>
      <c r="P509" s="173" t="n"/>
      <c r="Q509" s="173" t="n"/>
      <c r="R509" s="173" t="n"/>
      <c r="S509" s="173" t="n"/>
      <c r="T509" s="173" t="n"/>
      <c r="U509" s="173" t="n"/>
    </row>
    <row r="510" ht="19.5" customHeight="1" s="128">
      <c r="A510" s="219" t="inlineStr">
        <is>
          <t>MACRO SKILL</t>
        </is>
      </c>
      <c r="B510" s="219" t="inlineStr">
        <is>
          <t>8. Research</t>
        </is>
      </c>
      <c r="C510" s="219" t="inlineStr">
        <is>
          <t>Search and critically appraise evidence</t>
        </is>
      </c>
      <c r="D510" s="219" t="n"/>
      <c r="E510" s="219" t="inlineStr">
        <is>
          <t>3 blocks · 6 micro-skills</t>
        </is>
      </c>
      <c r="F510" s="219" t="inlineStr">
        <is>
          <t>CORU 5.41 · 5.3 · 5.43</t>
        </is>
      </c>
      <c r="G510" s="219" t="n"/>
      <c r="H510" s="219" t="n"/>
      <c r="I510" s="219" t="n"/>
      <c r="J510" s="219" t="n"/>
      <c r="K510" s="219" t="n"/>
      <c r="L510" s="219" t="n"/>
      <c r="M510" s="219" t="n"/>
      <c r="N510" s="219" t="n"/>
      <c r="O510" s="219" t="n"/>
      <c r="P510" s="219" t="n"/>
      <c r="Q510" s="219" t="inlineStr">
        <is>
          <t>Year 1</t>
        </is>
      </c>
      <c r="R510" s="219" t="n"/>
      <c r="S510" s="219" t="n"/>
      <c r="T510" s="219" t="n"/>
      <c r="U510" s="219" t="n"/>
    </row>
    <row r="511" outlineLevel="2" ht="43.5" customHeight="1" s="128">
      <c r="A511" s="220" t="inlineStr">
        <is>
          <t>BLOCK</t>
        </is>
      </c>
      <c r="B511" s="220" t="inlineStr">
        <is>
          <t>8. Research</t>
        </is>
      </c>
      <c r="C511" s="220" t="inlineStr">
        <is>
          <t>Search and critically appraise evidence</t>
        </is>
      </c>
      <c r="D511" s="221" t="inlineStr">
        <is>
          <t>Block 1 · Searching properly</t>
        </is>
      </c>
      <c r="E511" s="222" t="inlineStr">
        <is>
          <t>Using a database, building a search string, recording what you did.</t>
        </is>
      </c>
      <c r="F511" s="220" t="inlineStr">
        <is>
          <t>2 hours, once · Weeks 1–2</t>
        </is>
      </c>
      <c r="G511" s="220" t="n"/>
      <c r="H511" s="220" t="n"/>
      <c r="I511" s="220" t="n"/>
      <c r="J511" s="220" t="n"/>
      <c r="K511" s="220" t="n"/>
      <c r="L511" s="220" t="n"/>
      <c r="M511" s="222" t="n"/>
      <c r="N511" s="220" t="n"/>
      <c r="O511" s="220" t="n"/>
      <c r="P511" s="220" t="inlineStr">
        <is>
          <t>How you build it: One PsycINFO session with the UCD library. One hour, permanently useful.</t>
        </is>
      </c>
      <c r="Q511" s="220" t="n"/>
      <c r="R511" s="220" t="n"/>
      <c r="S511" s="220" t="n"/>
      <c r="T511" s="220" t="n"/>
      <c r="U511" s="220" t="n"/>
    </row>
    <row r="512" outlineLevel="2" ht="120" customHeight="1" s="128">
      <c r="A512" s="139" t="inlineStr">
        <is>
          <t>MICRO-SKILL</t>
        </is>
      </c>
      <c r="B512" s="139" t="inlineStr">
        <is>
          <t>8. Research</t>
        </is>
      </c>
      <c r="C512" s="139" t="inlineStr">
        <is>
          <t>Search and critically appraise evidence</t>
        </is>
      </c>
      <c r="D512" s="139" t="inlineStr">
        <is>
          <t>Block 1 · Searching properly</t>
        </is>
      </c>
      <c r="E512" s="223" t="inlineStr">
        <is>
          <t>Frame an answerable question from a real referral</t>
        </is>
      </c>
      <c r="F512" s="139" t="inlineStr">
        <is>
          <t>CORU SoP 5.42</t>
        </is>
      </c>
      <c r="G512" s="227" t="inlineStr">
        <is>
          <t>A referral arrives as a worry ('he can't read', 'she won't come in'), not as a question you can search. The Reference sheet maps CORU SoP 5.42 here. Evidence-based medicine made the structured question its first step (Richardson, Wilson, Nishikawa &amp; Hayward, 1995, the 'well-built clinical question'; Sackett et al., 1996, BMJ), and the Reference sheet uses the same population–intervention–comparison–outcome shape. Search on the worry and you get thousands of hits and no answer; search on a framed question and twenty minutes is enough.</t>
        </is>
      </c>
      <c r="H512" s="165" t="inlineStr">
        <is>
          <t>WATCH FOR — the moment in a planning conversation where your supervisor turns 'what can we do about his reading?' into something narrower: which age, which difficulty (decoding, fluency or comprehension), which kind of help, delivered by whom, measured how.
WRITE DOWN — the referral worry in the school's own words, then the question your supervisor would actually look up, set out as population, intervention, comparison, outcome.
ASK AFTERWARDS — 'what did you already know about this child that made you narrow the question that way?'</t>
        </is>
      </c>
      <c r="I512" s="165" t="inlineStr">
        <is>
          <t>YOU TAKE — drafting the structured question from an anonymised referral form before the planning meeting, in one sentence, with each of the four parts named.
THEY HOLD — whether the question is the right one. Often the referral question is not the real question, and that is a formulation judgement.
WHY THAT SPLIT — writing the four parts is a technical skill you can practise at once. Deciding that the school asked about behaviour but the real issue is language is case judgement, and that stays with your supervisor until your formulations are trusted.</t>
        </is>
      </c>
      <c r="J512" s="165" t="inlineStr">
        <is>
          <t>YOU RUN IT — for each new Cavan referral, write the answerable question in the case note before you search anything, and bring it to supervision.
WHAT THEY ARE WATCHING FOR — a question too broad to search ('interventions for anxiety'), a question that assumes the answer ('does a weighted blanket help'), or one with no outcome anyone could measure.
STEPPING IN LOOKS LIKE — 'if you found the perfect paper, what age would the children be, what would they be compared with, and what would have changed?'</t>
        </is>
      </c>
      <c r="K512" s="207" t="inlineStr">
        <is>
          <t>YOU DO IT ALONE — every case where you intend to recommend something has a written question naming the population (age band and difficulty), the intervention, the comparison and a measurable outcome.
PASS TEST — Specific enough to search
EVIDENCE TO FILE — the question as the first line of your search note, and the same question at the head of the Appendix 5 research entry. Log against 8. Research.
WHAT FAILURE LOOKS LIKE — you type 'dyslexia interventions' into a database, get several thousand records, read the first three abstracts and stop.</t>
        </is>
      </c>
      <c r="L512" s="165" t="inlineStr">
        <is>
          <t>YOU CAN TEACH IT — you can take a peer's vague referral and, out loud, turn it into a four-part question, explaining why each part narrows the search and why the outcome must be something a school could observe. You can show why 'what works for autism?' has no answer and 'what helps a nine-year-old autistic child tolerate transitions between lessons?' might.
WHEN IT GOES WRONG — the search returns nothing. Widen one part at a time, usually the population first (age band, then diagnosis), and note each change so you know what the evidence is actually about.</t>
        </is>
      </c>
      <c r="M512" s="224" t="inlineStr">
        <is>
          <t>Searching on the referral worry instead of a framed question, so the search is unbounded and the answer is whatever came up first.</t>
        </is>
      </c>
      <c r="N512" s="165" t="inlineStr">
        <is>
          <t>→ Feeds into 'Search a database rather than a search engine', 'Judge applicability to this child in this context', and 2. Formulation.</t>
        </is>
      </c>
      <c r="O512" s="225" t="inlineStr">
        <is>
          <t>Not started</t>
        </is>
      </c>
      <c r="P512" s="165" t="inlineStr">
        <is>
          <t>WATCH FOR — the moment in a planning conversation where your supervisor turns 'what can we do about his reading?' into something narrower: which age, which difficulty (decoding, fluency or comprehension), which kind of help, delivered by whom, measured how.</t>
        </is>
      </c>
      <c r="Q512" s="139" t="inlineStr">
        <is>
          <t>Year 1</t>
        </is>
      </c>
      <c r="R512" s="226" t="inlineStr">
        <is>
          <t>26/10/2026</t>
        </is>
      </c>
      <c r="S512" s="226" t="inlineStr">
        <is>
          <t>16/11/2026</t>
        </is>
      </c>
      <c r="T512" s="226" t="inlineStr">
        <is>
          <t>14/12/2026</t>
        </is>
      </c>
      <c r="U512" s="139" t="inlineStr">
        <is>
          <t>Search note on case file · Appendix 5 research entry · Log sheet tagged 8. Research</t>
        </is>
      </c>
    </row>
    <row r="513" outlineLevel="2" ht="120" customHeight="1" s="128">
      <c r="A513" s="139" t="inlineStr">
        <is>
          <t>MICRO-SKILL</t>
        </is>
      </c>
      <c r="B513" s="139" t="inlineStr">
        <is>
          <t>8. Research</t>
        </is>
      </c>
      <c r="C513" s="139" t="inlineStr">
        <is>
          <t>Search and critically appraise evidence</t>
        </is>
      </c>
      <c r="D513" s="139" t="inlineStr">
        <is>
          <t>Block 1 · Searching properly</t>
        </is>
      </c>
      <c r="E513" s="223" t="inlineStr">
        <is>
          <t>Search a database rather than a search engine</t>
        </is>
      </c>
      <c r="F513" s="139" t="inlineStr">
        <is>
          <t>CORU SoP 5.41</t>
        </is>
      </c>
      <c r="G513" s="227" t="inlineStr">
        <is>
          <t>The Reference sheet's order is syntheses first (Cochrane, Campbell Collaboration, the EEF Teaching and Learning Toolkit, What Works Clearinghouse), then PsycINFO or ERIC with a structured question, with Google Scholar kept for chasing a known paper. CORU SoP 5.41 is mapped here. A general search engine ranks by popularity and advertising, not by study quality, so the first page is full of commercial programme sites and testimonials — exactly the weak evidence the Reference sheet warns is sold to schools.</t>
        </is>
      </c>
      <c r="H513" s="165" t="inlineStr">
        <is>
          <t>WATCH FOR — where your supervisor goes first when a school asks 'is this programme any good?': a synthesis, a database, a NEPS good practice guide, or a colleague. Notice whether they check the EEF Toolkit or a Cochrane or Campbell review before looking at single studies.
WRITE DOWN — the databases the service or UCD gives you access to, how to reach them through the UCD library proxy, and any NEPS or Department guidance your supervisor treats as the starting point.
ASK AFTERWARDS — 'when you have only twenty minutes, what is your search order?'</t>
        </is>
      </c>
      <c r="I513" s="165" t="inlineStr">
        <is>
          <t>YOU TAKE — running the search: synthesis sources first, then PsycINFO and ERIC with your four-part question turned into search terms, with limits set for age and date.
THEY HOLD — which synthesis or guidance the service treats as authoritative, and what counts as good enough to put in front of a school.
WHY THAT SPLIT — the mechanics of database searching are yours from your UCD training. What a service is prepared to recommend on the strength of a search is a professional standard your supervisor sets.</t>
        </is>
      </c>
      <c r="J513" s="165" t="inlineStr">
        <is>
          <t>YOU RUN IT — for each case, search at least one synthesis source and one bibliographic database before recommending anything, and bring a one-page summary to supervision.
WHAT THEY ARE WATCHING FOR — a search that began and ended in Google or Google Scholar, a programme's own website cited as evidence, or a single hit treated as the literature.
STEPPING IN LOOKS LIKE — 'is there a systematic review on this? Did you check the Toolkit or Campbell before you went to single studies?'</t>
        </is>
      </c>
      <c r="K513" s="207" t="inlineStr">
        <is>
          <t>YOU DO IT ALONE — you search syntheses first, then at least one of PsycINFO or ERIC, using subject headings as well as free text, and you use Google Scholar only to find the full text of a paper you already know about.
PASS TEST — PsycINFO, ERIC, not Google
EVIDENCE TO FILE — the search note (databases, date searched, terms, number of hits) attached to the Appendix 5 research entry. Log against 8. Research.
WHAT FAILURE LOOKS LIKE — a school report recommends a programme on the strength of its publisher's website and a blog post.</t>
        </is>
      </c>
      <c r="L513" s="165" t="inlineStr">
        <is>
          <t>YOU CAN TEACH IT — you can explain why a database indexes peer-reviewed work by subject and a search engine does not, why a synthesis beats a single study, and how to use thesaurus terms (PsycINFO's index terms, ERIC descriptors) as well as keywords. You can demonstrate a twenty-minute search on a peer's question.
WHEN IT GOES WRONG — the proxy fails or you are in a school with no access. Note the question, search later, and do not recommend from memory in the meantime; tell the school the recommendation will follow once you have checked the evidence.</t>
        </is>
      </c>
      <c r="M513" s="224" t="inlineStr">
        <is>
          <t>Treating the first page of a general search engine as the literature, and ending up citing a publisher's own website.</t>
        </is>
      </c>
      <c r="N513" s="165" t="inlineStr">
        <is>
          <t>→ Feeds into 'Record the search terms and databases used', 'Appraise quality rather than accepting the first result', and 'Cite evidence for recommendations'.</t>
        </is>
      </c>
      <c r="O513" s="225" t="inlineStr">
        <is>
          <t>Not started</t>
        </is>
      </c>
      <c r="P513" s="165" t="inlineStr">
        <is>
          <t>WATCH FOR — where your supervisor goes first when a school asks 'is this programme any good?': a synthesis, a database, a NEPS good practice guide, or a colleague. Notice whether they check the EEF Toolkit or a Cochrane or Campbell review before looking at single studies.</t>
        </is>
      </c>
      <c r="Q513" s="139" t="inlineStr">
        <is>
          <t>Year 1</t>
        </is>
      </c>
      <c r="R513" s="226" t="inlineStr">
        <is>
          <t>26/10/2026</t>
        </is>
      </c>
      <c r="S513" s="226" t="inlineStr">
        <is>
          <t>16/11/2026</t>
        </is>
      </c>
      <c r="T513" s="226" t="inlineStr">
        <is>
          <t>14/12/2026</t>
        </is>
      </c>
      <c r="U513" s="139" t="inlineStr">
        <is>
          <t>Search note on case file · Appendix 5 research entry · Log sheet tagged 8. Research</t>
        </is>
      </c>
    </row>
    <row r="514" outlineLevel="2" ht="120" customHeight="1" s="128">
      <c r="A514" s="139" t="inlineStr">
        <is>
          <t>MICRO-SKILL</t>
        </is>
      </c>
      <c r="B514" s="139" t="inlineStr">
        <is>
          <t>8. Research</t>
        </is>
      </c>
      <c r="C514" s="139" t="inlineStr">
        <is>
          <t>Search and critically appraise evidence</t>
        </is>
      </c>
      <c r="D514" s="139" t="inlineStr">
        <is>
          <t>Block 1 · Searching properly</t>
        </is>
      </c>
      <c r="E514" s="223" t="inlineStr">
        <is>
          <t>Record the search terms and databases used</t>
        </is>
      </c>
      <c r="F514" s="139" t="inlineStr">
        <is>
          <t>CORU SoP 5.43</t>
        </is>
      </c>
      <c r="G514" s="227" t="inlineStr">
        <is>
          <t>A search you cannot repeat is a search nobody can check, including you in six months. CORU SoP 5.43 is mapped here. Systematic review reporting standards (PRISMA 2020, Page et al., 2021, BMJ) ask for the full search to be reported so others can reproduce it; a placement search does not need that rigour, but it needs the same principle. The Reference sheet's advice is a note per topic — question, what you searched, what you found, what you concluded — because you will be asked the same questions across a career.</t>
        </is>
      </c>
      <c r="H514" s="165" t="inlineStr">
        <is>
          <t>WATCH FOR — whether your supervisor keeps any record of past searches or reading on common referral topics (a folder, a shared drive, a reading list), and how they decide a previous search is still current.
WRITE DOWN — a template for your own search note: question, date, databases, exact search string, limits applied, number of hits, number read in full, what you concluded.
ASK AFTERWARDS — 'which questions do you get asked so often that you wish you'd kept a note the first time?'</t>
        </is>
      </c>
      <c r="I514" s="165" t="inlineStr">
        <is>
          <t>YOU TAKE — keeping the search note for every search you run on a case, completed on the day you search.
THEY HOLD — any shared resource the service keeps, and whether your note is good enough to add to it.
WHY THAT SPLIT — the record of your own search is plainly your job. Adding to a service's shared reading is a decision about what the whole team will rely on, which is not yours to make alone on placement.</t>
        </is>
      </c>
      <c r="J514" s="165" t="inlineStr">
        <is>
          <t>YOU RUN IT — keep a search log across the Cavan placement, one entry per search, and bring it to supervision when a recommendation depends on it.
WHAT THEY ARE WATCHING FOR — notes that say 'searched PsycINFO for social skills' with no terms, date or limits, so the search cannot be rerun and the gaps cannot be seen.
STEPPING IN LOOKS LIKE — 'if I ran your search tomorrow, would I get the same papers? Which terms, which years, which age limit?'</t>
        </is>
      </c>
      <c r="K514" s="207" t="inlineStr">
        <is>
          <t>YOU DO IT ALONE — every search behind a recommendation has a note someone else could rerun: databases, date, exact string with Boolean operators, limits, hits, and which papers you read in full.
PASS TEST — Reproducible
EVIDENCE TO FILE — the search note, kept with no child identifiers, attached to or summarised in the Appendix 5 research entry. Log against 8. Research.
WHAT FAILURE LOOKS LIKE — a supervisor asks why you did not find a well-known review, and you cannot say what you searched, so nobody can tell whether the gap was in the literature or in your search.</t>
        </is>
      </c>
      <c r="L514" s="165" t="inlineStr">
        <is>
          <t>YOU CAN TEACH IT — you can explain why the exact string matters (a missing synonym or truncation symbol changes the results), why the date matters (the literature moves), and why a search note with no identifiers can be reused across cases and shared.
WHEN IT GOES WRONG — you realise a past recommendation rested on a search you did not record. Rerun it now, record it properly, and check whether the answer still holds; if it does not, raise it in supervision.</t>
        </is>
      </c>
      <c r="M514" s="224" t="inlineStr">
        <is>
          <t>Keeping no record of what was searched, so the search cannot be checked, repeated or reused.</t>
        </is>
      </c>
      <c r="N514" s="165" t="inlineStr">
        <is>
          <t>→ Feeds into 'Log the search as an Appendix 5 research entry', 'Cite current sources rather than the familiar ones', and 8. Research.</t>
        </is>
      </c>
      <c r="O514" s="225" t="inlineStr">
        <is>
          <t>Not started</t>
        </is>
      </c>
      <c r="P514" s="165" t="inlineStr">
        <is>
          <t>WATCH FOR — whether your supervisor keeps any record of past searches or reading on common referral topics (a folder, a shared drive, a reading list), and how they decide a previous search is still current.</t>
        </is>
      </c>
      <c r="Q514" s="139" t="inlineStr">
        <is>
          <t>Year 1</t>
        </is>
      </c>
      <c r="R514" s="226" t="inlineStr">
        <is>
          <t>26/10/2026</t>
        </is>
      </c>
      <c r="S514" s="226" t="inlineStr">
        <is>
          <t>16/11/2026</t>
        </is>
      </c>
      <c r="T514" s="226" t="inlineStr">
        <is>
          <t>14/12/2026</t>
        </is>
      </c>
      <c r="U514" s="139" t="inlineStr">
        <is>
          <t>Search log (no identifiers) · Appendix 5 research entry · Log sheet tagged 8. Research</t>
        </is>
      </c>
    </row>
    <row r="515" outlineLevel="2" ht="43.5" customHeight="1" s="128">
      <c r="A515" s="220" t="inlineStr">
        <is>
          <t>BLOCK</t>
        </is>
      </c>
      <c r="B515" s="220" t="inlineStr">
        <is>
          <t>8. Research</t>
        </is>
      </c>
      <c r="C515" s="220" t="inlineStr">
        <is>
          <t>Search and critically appraise evidence</t>
        </is>
      </c>
      <c r="D515" s="221" t="inlineStr">
        <is>
          <t>Block 2 · Appraising</t>
        </is>
      </c>
      <c r="E515" s="222" t="inlineStr">
        <is>
          <t>Judging a study's quality rather than accepting its abstract.</t>
        </is>
      </c>
      <c r="F515" s="220" t="inlineStr">
        <is>
          <t>4–5 hours to learn · Weeks 3–6</t>
        </is>
      </c>
      <c r="G515" s="220" t="n"/>
      <c r="H515" s="220" t="n"/>
      <c r="I515" s="220" t="n"/>
      <c r="J515" s="220" t="n"/>
      <c r="K515" s="220" t="n"/>
      <c r="L515" s="220" t="n"/>
      <c r="M515" s="222" t="n"/>
      <c r="N515" s="220" t="n"/>
      <c r="O515" s="220" t="n"/>
      <c r="P515" s="220" t="inlineStr">
        <is>
          <t>How you build it: Use the CASP checklist on five papers. It is free.</t>
        </is>
      </c>
      <c r="Q515" s="220" t="n"/>
      <c r="R515" s="220" t="n"/>
      <c r="S515" s="220" t="n"/>
      <c r="T515" s="220" t="n"/>
      <c r="U515" s="220" t="n"/>
    </row>
    <row r="516" outlineLevel="2" ht="120" customHeight="1" s="128">
      <c r="A516" s="139" t="inlineStr">
        <is>
          <t>MICRO-SKILL</t>
        </is>
      </c>
      <c r="B516" s="139" t="inlineStr">
        <is>
          <t>8. Research</t>
        </is>
      </c>
      <c r="C516" s="139" t="inlineStr">
        <is>
          <t>Search and critically appraise evidence</t>
        </is>
      </c>
      <c r="D516" s="139" t="inlineStr">
        <is>
          <t>Block 2 · Appraising</t>
        </is>
      </c>
      <c r="E516" s="223" t="inlineStr">
        <is>
          <t>Appraise quality rather than accepting the first result</t>
        </is>
      </c>
      <c r="F516" s="139" t="inlineStr">
        <is>
          <t>CORU SoP 5.41 · 5.3</t>
        </is>
      </c>
      <c r="G516" s="227" t="inlineStr">
        <is>
          <t>Most of what a search returns will not stand up. The Reference sheet gives five questions: design, sample, comparison, effect size, and who funded it and who developed the programme. CORU SoP 5.41 and 5.3 are mapped here. The CASP checklists give a free, design-specific version of the same discipline. Evaluations run or commissioned by a programme's developer have been reported to show larger effects than independent ones (for education, see Wolf, Morrison, Inns, Slavin &amp; Risman, 2020 — read the paper before quoting a figure). Accept the first result and you may recommend something that technically works and practically does not.</t>
        </is>
      </c>
      <c r="H516" s="165" t="inlineStr">
        <is>
          <t>WATCH FOR — how your supervisor reacts to a programme a school is already using or has been sold: what they ask first, whether they look at who ran the evaluation, and whether they ask about effect size or only 'is there research on it'.
WRITE DOWN — the five Reference sheet questions, and the CASP checklist that fits each design you meet (randomised trial, systematic review, qualitative study, cohort).
ASK AFTERWARDS — 'what's the most common weak evidence schools show you, and how do you tell them without offending anyone?'</t>
        </is>
      </c>
      <c r="I516" s="165" t="inlineStr">
        <is>
          <t>YOU TAKE — reading the full paper, not the abstract, and completing the relevant CASP checklist or the five questions for each study a recommendation rests on.
THEY HOLD — the overall judgement about how confident the evidence lets the service be, and how that is said to a school.
WHY THAT SPLIT — appraising a single paper is a skill your UCD training has given you. Weighing a body of evidence and putting it in words a principal will accept is judgement built over years of practice.</t>
        </is>
      </c>
      <c r="J516" s="165" t="inlineStr">
        <is>
          <t>YOU RUN IT — for each recommendation, appraise the two or three key studies behind it and give your supervisor a short note: design, sample, comparison, effect size, funder or developer, and your verdict.
WHAT THEY ARE WATCHING FOR — statistical significance treated as practical importance; a pre-post design with no control accepted as proof; outcome measures built by the programme's own developer; a small sample making large claims.
STEPPING IN LOOKS LIKE — 'compared with what? And who wrote the evaluation?'</t>
        </is>
      </c>
      <c r="K516" s="207" t="inlineStr">
        <is>
          <t>YOU DO IT ALONE — you read the method section, name the design, check sample and comparison, look for an effect size, check who developed and funded the work, and reject what does not stand up. For effect-size benchmarks, Cohen's (1988) small, medium and large are a rough guide only; check the current EEF Toolkit entry rather than quoting a figure from memory.
PASS TEST — You judged the study, not the abstract
EVIDENCE TO FILE — the completed appraisal note with the Appendix 5 research entry. Log against 8. Research.
WHAT FAILURE LOOKS LIKE — you recommend a programme because an abstract said 'significant improvement', and the study turns out to be twelve children with no control group, evaluated by the author.</t>
        </is>
      </c>
      <c r="L516" s="165" t="inlineStr">
        <is>
          <t>YOU CAN TEACH IT — you can explain to a teacher, without jargon, why 'significant' does not mean 'big', why a comparison group matters, and why a developer's own evaluation is a starting point and not a verdict. You can walk a peer through one CASP checklist on a real paper.
WHEN IT GOES WRONG — you find the evidence for something already in a report is weaker than you said. Raise it in supervision, agree how to correct it with the school, and adjust the evaluation line so the school can see whether it is working for this child.</t>
        </is>
      </c>
      <c r="M516" s="224" t="inlineStr">
        <is>
          <t>Reading the abstract, seeing 'significant', and never checking design, comparison, effect size or who ran the evaluation.</t>
        </is>
      </c>
      <c r="N516" s="165" t="inlineStr">
        <is>
          <t>→ Feeds into 'Judge applicability to this child in this context', 'Say where the evidence is thin', and 'Cite evidence for recommendations'.</t>
        </is>
      </c>
      <c r="O516" s="225" t="inlineStr">
        <is>
          <t>Not started</t>
        </is>
      </c>
      <c r="P516" s="165" t="inlineStr">
        <is>
          <t>WATCH FOR — how your supervisor reacts to a programme a school is already using or has been sold: what they ask first, whether they look at who ran the evaluation, and whether they ask about effect size or only 'is there research on it'.</t>
        </is>
      </c>
      <c r="Q516" s="139" t="inlineStr">
        <is>
          <t>Year 1</t>
        </is>
      </c>
      <c r="R516" s="226" t="inlineStr">
        <is>
          <t>26/10/2026</t>
        </is>
      </c>
      <c r="S516" s="226" t="inlineStr">
        <is>
          <t>16/11/2026</t>
        </is>
      </c>
      <c r="T516" s="226" t="inlineStr">
        <is>
          <t>14/12/2026</t>
        </is>
      </c>
      <c r="U516" s="139" t="inlineStr">
        <is>
          <t>Appraisal note (CASP or five questions) · Appendix 5 research entry · Log sheet tagged 8. Research</t>
        </is>
      </c>
    </row>
    <row r="517" outlineLevel="2" ht="43.5" customHeight="1" s="128">
      <c r="A517" s="220" t="inlineStr">
        <is>
          <t>BLOCK</t>
        </is>
      </c>
      <c r="B517" s="220" t="inlineStr">
        <is>
          <t>8. Research</t>
        </is>
      </c>
      <c r="C517" s="220" t="inlineStr">
        <is>
          <t>Search and critically appraise evidence</t>
        </is>
      </c>
      <c r="D517" s="221" t="inlineStr">
        <is>
          <t>Block 3 · Judging transfer</t>
        </is>
      </c>
      <c r="E517" s="222" t="inlineStr">
        <is>
          <t>Asking whether this evidence applies to this child in this context.</t>
        </is>
      </c>
      <c r="F517" s="220" t="inlineStr">
        <is>
          <t>Habit · Weeks 7–12</t>
        </is>
      </c>
      <c r="G517" s="220" t="n"/>
      <c r="H517" s="220" t="n"/>
      <c r="I517" s="220" t="n"/>
      <c r="J517" s="220" t="n"/>
      <c r="K517" s="220" t="n"/>
      <c r="L517" s="220" t="n"/>
      <c r="M517" s="222" t="n"/>
      <c r="N517" s="220" t="n"/>
      <c r="O517" s="220" t="n"/>
      <c r="P517" s="220" t="inlineStr">
        <is>
          <t>How you build it: One sentence per recommendation: why this applies here.</t>
        </is>
      </c>
      <c r="Q517" s="220" t="n"/>
      <c r="R517" s="220" t="n"/>
      <c r="S517" s="220" t="n"/>
      <c r="T517" s="220" t="n"/>
      <c r="U517" s="220" t="n"/>
    </row>
    <row r="518" outlineLevel="2" ht="120" customHeight="1" s="128">
      <c r="A518" s="139" t="inlineStr">
        <is>
          <t>MICRO-SKILL</t>
        </is>
      </c>
      <c r="B518" s="139" t="inlineStr">
        <is>
          <t>8. Research</t>
        </is>
      </c>
      <c r="C518" s="139" t="inlineStr">
        <is>
          <t>Search and critically appraise evidence</t>
        </is>
      </c>
      <c r="D518" s="139" t="inlineStr">
        <is>
          <t>Block 3 · Judging transfer</t>
        </is>
      </c>
      <c r="E518" s="223" t="inlineStr">
        <is>
          <t>Judge applicability to this child in this context</t>
        </is>
      </c>
      <c r="F518" s="139" t="inlineStr">
        <is>
          <t>CORU SoP 5.4</t>
        </is>
      </c>
      <c r="G518" s="227" t="inlineStr">
        <is>
          <t>A well-run trial tells you what worked on average, for those participants, delivered by those staff. It does not tell you it will work for this child in this school. Cartwright and Hardie (2012, Evidence-based policy, Oxford University Press) set out this gap between 'it worked there' and 'it will work here'. CORU SoP 5.4 (translating theory and evidence into practice) is mapped here. Ignore applicability and you recommend a programme built for groups of eight with a trained tutor to a two-teacher rural school with one SET and no one to run it.</t>
        </is>
      </c>
      <c r="H518" s="165" t="inlineStr">
        <is>
          <t>WATCH FOR — the questions your supervisor asks about a school before recommending anything: who would deliver it, how often, with what training, in what room, alongside what else the child already gets under the Continuum of Support.
WRITE DOWN — the gap between the study and this case: the sample's age, language, difficulty and setting, set against the child's; and the delivery the study used, set against what this school can realistically provide.
ASK AFTERWARDS — 'when do you recommend something with good evidence that the school can only half deliver, and when do you choose something weaker that they'll actually do?'</t>
        </is>
      </c>
      <c r="I518" s="165" t="inlineStr">
        <is>
          <t>YOU TAKE — writing the comparison between the study conditions and this child's situation: age band, needs, co-occurring difficulties, school size, staffing, and the level of the Continuum the child is at.
THEY HOLD — the trade-off between strength of evidence and feasibility, and the conversation with the principal about capacity.
WHY THAT SPLIT — setting out the differences is careful reading you can do now. Deciding what a school can carry depends on knowing the school, its history with the service, and what has been tried before.</t>
        </is>
      </c>
      <c r="J518" s="165" t="inlineStr">
        <is>
          <t>YOU RUN IT — for each evidence-based recommendation, add two or three lines to your working notes: how this child and school differ from the study, and what adaptation, if any, is needed.
WHAT THEY ARE WATCHING FOR — a programme recommended at a dose or group size the school cannot provide; evidence from a different age band or population applied without comment; adaptations that remove the part that made it work.
STEPPING IN LOOKS LIKE — 'the trial ran three sessions a week with trained staff. Who is going to do that here?'</t>
        </is>
      </c>
      <c r="K518" s="207" t="inlineStr">
        <is>
          <t>YOU DO IT ALONE — you check the study sample against the child (age, needs, language, setting) and the delivery against the school's capacity, and your recommendation says what has been adapted and why.
PASS TEST — Transferability considered
EVIDENCE TO FILE — the transferability lines in your working notes, and a sentence in the report recommendation where adaptation matters. Log against 8. Research and 3. Intervention.
WHAT FAILURE LOOKS LIKE — the report recommends a well-evidenced programme, the school cannot resource it, it is delivered at a fraction of the dose, and at review everyone concludes the child 'did not respond'.</t>
        </is>
      </c>
      <c r="L518" s="165" t="inlineStr">
        <is>
          <t>YOU CAN TEACH IT — you can explain the difference between whether something works (efficacy in a trial) and whether it will work here (fit, fidelity and capacity), and why fidelity to the active ingredients matters more than fidelity to every detail. Fixsen et al. (2005, implementation research synthesis) is a useful starting point for the implementation side.
WHEN IT GOES WRONG — the school has adapted a programme beyond recognition. Find out what they kept, agree which parts are essential, and build the review so you can tell whether the reduced version is doing anything.</t>
        </is>
      </c>
      <c r="M518" s="224" t="inlineStr">
        <is>
          <t>Recommending the best-evidenced option without asking whether this school, with this staffing, can deliver it as it was tested.</t>
        </is>
      </c>
      <c r="N518" s="165" t="inlineStr">
        <is>
          <t>→ Feeds into 'Say where the evidence is thin', 'State how a recommendation would be evaluated', and 3. Intervention.</t>
        </is>
      </c>
      <c r="O518" s="225" t="inlineStr">
        <is>
          <t>Not started</t>
        </is>
      </c>
      <c r="P518" s="165" t="inlineStr">
        <is>
          <t>WATCH FOR — the questions your supervisor asks about a school before recommending anything: who would deliver it, how often, with what training, in what room, alongside what else the child already gets under the Continuum of Support.</t>
        </is>
      </c>
      <c r="Q518" s="139" t="inlineStr">
        <is>
          <t>Year 1</t>
        </is>
      </c>
      <c r="R518" s="226" t="inlineStr">
        <is>
          <t>26/10/2026</t>
        </is>
      </c>
      <c r="S518" s="226" t="inlineStr">
        <is>
          <t>16/11/2026</t>
        </is>
      </c>
      <c r="T518" s="226" t="inlineStr">
        <is>
          <t>14/12/2026</t>
        </is>
      </c>
      <c r="U518" s="139" t="inlineStr">
        <is>
          <t>Working notes — transferability · Report — recommendations · Log sheet tagged 8. Research and 3. Intervention</t>
        </is>
      </c>
    </row>
    <row r="519" outlineLevel="2" ht="120" customHeight="1" s="128">
      <c r="A519" s="139" t="inlineStr">
        <is>
          <t>MICRO-SKILL</t>
        </is>
      </c>
      <c r="B519" s="139" t="inlineStr">
        <is>
          <t>8. Research</t>
        </is>
      </c>
      <c r="C519" s="139" t="inlineStr">
        <is>
          <t>Search and critically appraise evidence</t>
        </is>
      </c>
      <c r="D519" s="139" t="inlineStr">
        <is>
          <t>Block 3 · Judging transfer</t>
        </is>
      </c>
      <c r="E519" s="223" t="inlineStr">
        <is>
          <t>Log the search as an Appendix 5 research entry</t>
        </is>
      </c>
      <c r="F519" s="139" t="inlineStr">
        <is>
          <t>Handbook Appendix 5</t>
        </is>
      </c>
      <c r="G519" s="227" t="inlineStr">
        <is>
          <t>A search that is done but not recorded does not count towards the Research competency, and on placement the Research competency is mostly evidenced through this kind of practice-based work rather than a separate project. The Reference sheet maps 'Handbook Appendix 5' here — check the current UCD Placement Handbook for the exact headings and expectations of an Appendix 5 entry before writing one; do not rely on memory or on this row. The entry is yours to write: this row gives structure and prompts, not text to submit.</t>
        </is>
      </c>
      <c r="H519" s="165" t="inlineStr">
        <is>
          <t>WATCH FOR — how your supervisor links a piece of reading to a case decision when they talk it through, and what they think a good research entry shows: the question, the search, the appraisal, and what changed as a result.
WRITE DOWN — the Appendix 5 headings from the current Handbook, and one example (from your Roscommon entries or a peer's, anonymised, with permission) of an entry your supervisor thought was strong.
ASK AFTERWARDS — 'when you read a trainee's research entry, what tells you they actually used the evidence and didn't just find it?'</t>
        </is>
      </c>
      <c r="I519" s="165" t="inlineStr">
        <is>
          <t>YOU TAKE — writing the entry: the question, how you searched, what you found, how you appraised it, what you concluded, and how it shaped what you recommended. The wording is yours.
THEY HOLD — feedback on whether the entry shows applied research competence, and the countersignature where the Handbook requires it.
WHY THAT SPLIT — the entry is your own evidence of learning and must be in your own words. Your supervisor judges it; they do not write it, and neither does this workbook.</t>
        </is>
      </c>
      <c r="J519" s="165" t="inlineStr">
        <is>
          <t>YOU RUN IT — aim for at least one research entry tied to a real Cavan case in the first half of the placement, completed within a week of the search while it is fresh, and bring it to supervision.
WHAT THEY ARE WATCHING FOR — an entry that is a literature summary with no case link; child identifiers; a search with no record; a conclusion that never says what you then did differently.
STEPPING IN LOOKS LIKE — 'what did you recommend because of this reading that you wouldn't have otherwise?'</t>
        </is>
      </c>
      <c r="K519" s="207" t="inlineStr">
        <is>
          <t>YOU DO IT ALONE — each entry names the question, the search (reproducibly), the appraisal, the conclusion and the effect on your practice, with no child or school identifiers, in your own words, under the Handbook headings.
PASS TEST — It is recorded
EVIDENCE TO FILE — the Appendix 5 entry itself, with the search note behind it kept on your own file. Log against 8. Research.
WHAT FAILURE LOOKS LIKE — at the end of Cavan you have run several good searches and none of them is in Appendix 5, so the Research competency looks unevidenced.</t>
        </is>
      </c>
      <c r="L519" s="165" t="inlineStr">
        <is>
          <t>YOU CAN TEACH IT — you can explain to a new trainee why a research entry is about using evidence rather than listing it, and show the chain from question to search to appraisal to recommendation to review, using an anonymised example of your own.
WHEN IT GOES WRONG — you reach the end of a block with no entries. Go back through your search log, choose the search that most changed a recommendation, and write it up now while you can still reconstruct it. Do not write up a search you cannot evidence, and do not use generated text for the entry.</t>
        </is>
      </c>
      <c r="M519" s="224" t="inlineStr">
        <is>
          <t>Doing the searching but never writing it up, so the Research competency has no evidence at the end of the placement.</t>
        </is>
      </c>
      <c r="N519" s="165" t="inlineStr">
        <is>
          <t>→ Feeds into 8. Research, 'Cite evidence for recommendations', and the Research evidence reviewed at end-of-placement evaluation.</t>
        </is>
      </c>
      <c r="O519" s="225" t="inlineStr">
        <is>
          <t>Not started</t>
        </is>
      </c>
      <c r="P519" s="165" t="inlineStr">
        <is>
          <t>WATCH FOR — how your supervisor links a piece of reading to a case decision when they talk it through, and what they think a good research entry shows: the question, the search, the appraisal, and what changed as a result.</t>
        </is>
      </c>
      <c r="Q519" s="139" t="inlineStr">
        <is>
          <t>Year 1</t>
        </is>
      </c>
      <c r="R519" s="226" t="inlineStr">
        <is>
          <t>26/10/2026</t>
        </is>
      </c>
      <c r="S519" s="226" t="inlineStr">
        <is>
          <t>16/11/2026</t>
        </is>
      </c>
      <c r="T519" s="226" t="inlineStr">
        <is>
          <t>14/12/2026</t>
        </is>
      </c>
      <c r="U519" s="139" t="inlineStr">
        <is>
          <t>Appendix 5 research entry (trainee's own words) · search log · Log sheet tagged 8. Research</t>
        </is>
      </c>
    </row>
    <row r="520" outlineLevel="2" ht="19.5" customHeight="1" s="128">
      <c r="A520" s="219" t="inlineStr">
        <is>
          <t>MACRO SKILL</t>
        </is>
      </c>
      <c r="B520" s="219" t="inlineStr">
        <is>
          <t>8. Research</t>
        </is>
      </c>
      <c r="C520" s="219" t="inlineStr">
        <is>
          <t>Cite evidence for recommendations</t>
        </is>
      </c>
      <c r="D520" s="219" t="n"/>
      <c r="E520" s="219" t="inlineStr">
        <is>
          <t>3 blocks · 4 micro-skills</t>
        </is>
      </c>
      <c r="F520" s="219" t="inlineStr">
        <is>
          <t>CORU 5.4 · PSI 4.2.6</t>
        </is>
      </c>
      <c r="G520" s="219" t="n"/>
      <c r="H520" s="219" t="n"/>
      <c r="I520" s="219" t="n"/>
      <c r="J520" s="219" t="n"/>
      <c r="K520" s="219" t="n"/>
      <c r="L520" s="219" t="n"/>
      <c r="M520" s="219" t="n"/>
      <c r="N520" s="219" t="n"/>
      <c r="O520" s="219" t="n"/>
      <c r="P520" s="219" t="n"/>
      <c r="Q520" s="219" t="inlineStr">
        <is>
          <t>Year 1</t>
        </is>
      </c>
      <c r="R520" s="219" t="n"/>
      <c r="S520" s="219" t="n"/>
      <c r="T520" s="219" t="n"/>
      <c r="U520" s="219" t="n"/>
    </row>
    <row r="521" outlineLevel="2" ht="43.5" customHeight="1" s="128">
      <c r="A521" s="220" t="inlineStr">
        <is>
          <t>BLOCK</t>
        </is>
      </c>
      <c r="B521" s="220" t="inlineStr">
        <is>
          <t>8. Research</t>
        </is>
      </c>
      <c r="C521" s="220" t="inlineStr">
        <is>
          <t>Cite evidence for recommendations</t>
        </is>
      </c>
      <c r="D521" s="221" t="inlineStr">
        <is>
          <t>Block 1 · Building a reusable base</t>
        </is>
      </c>
      <c r="E521" s="222" t="inlineStr">
        <is>
          <t>A running reference list of the twenty sources you use most.</t>
        </is>
      </c>
      <c r="F521" s="220" t="inlineStr">
        <is>
          <t>4 hours, once · Weeks 3–6</t>
        </is>
      </c>
      <c r="G521" s="220" t="n"/>
      <c r="H521" s="220" t="n"/>
      <c r="I521" s="220" t="n"/>
      <c r="J521" s="220" t="n"/>
      <c r="K521" s="220" t="n"/>
      <c r="L521" s="220" t="n"/>
      <c r="M521" s="222" t="n"/>
      <c r="N521" s="220" t="n"/>
      <c r="O521" s="220" t="n"/>
      <c r="P521" s="220" t="inlineStr">
        <is>
          <t>How you build it: Build it once. Four hours. It improves every report for three years.</t>
        </is>
      </c>
      <c r="Q521" s="220" t="n"/>
      <c r="R521" s="220" t="n"/>
      <c r="S521" s="220" t="n"/>
      <c r="T521" s="220" t="n"/>
      <c r="U521" s="220" t="n"/>
    </row>
    <row r="522" outlineLevel="2" ht="120" customHeight="1" s="128">
      <c r="A522" s="139" t="inlineStr">
        <is>
          <t>MICRO-SKILL</t>
        </is>
      </c>
      <c r="B522" s="139" t="inlineStr">
        <is>
          <t>8. Research</t>
        </is>
      </c>
      <c r="C522" s="139" t="inlineStr">
        <is>
          <t>Cite evidence for recommendations</t>
        </is>
      </c>
      <c r="D522" s="139" t="inlineStr">
        <is>
          <t>Block 1 · Building a reusable base</t>
        </is>
      </c>
      <c r="E522" s="223" t="inlineStr">
        <is>
          <t>Attach a source to every substantial recommendation</t>
        </is>
      </c>
      <c r="F522" s="139" t="inlineStr">
        <is>
          <t>CORU SoP 5.4</t>
        </is>
      </c>
      <c r="G522" s="227" t="inlineStr">
        <is>
          <t>A cited recommendation tells the reader the claim is not only your opinion and lets them check it; the Reference sheet names this as one of the features that moves a report from a 3 to a 5. CORU SoP 5.4 is mapped here. The Reference sheet's rule is to cite the intervention, the framework and any claim about what typically works, at synthesis level, and not to pad: two or three well-chosen citations in a school report, not fifteen. An uncited recommendation invites the question 'says who?', and you may not be in the room when it is asked.</t>
        </is>
      </c>
      <c r="H522" s="165" t="inlineStr">
        <is>
          <t>WATCH FOR — which recommendations in your supervisor's reports carry a citation and which do not. Usually the intervention and the framework do; routine classroom strategies and test scores do not.
WRITE DOWN — where the citation sits (in the sentence, in a footnote, in a short reference list at the end), how many a typical school report carries, and which sources your supervisor cites often.
ASK AFTERWARDS — 'how do you decide which recommendation is substantial enough to need a source?'</t>
        </is>
      </c>
      <c r="I522" s="165" t="inlineStr">
        <is>
          <t>YOU TAKE — adding the citation to each substantial recommendation in your draft, drawn from your own search note, and building the reference list.
THEY HOLD — whether the service's report template carries references at all, and how many are appropriate for this reader.
WHY THAT SPLIT — finding and attaching the source is your research work. Some services keep school reports reference-light for readability, and that is a house style your supervisor knows and you do not yet.</t>
        </is>
      </c>
      <c r="J522" s="165" t="inlineStr">
        <is>
          <t>YOU RUN IT — draft every Cavan report with a source attached to each intervention and framework recommendation, and a short reference list.
WHAT THEY ARE WATCHING FOR — a report with no citations, or the opposite: a reference list padded with test manuals and single trials so it looks scholarly and reads like a literature review.
STEPPING IN LOOKS LIKE — 'this recommends a structured phonics programme. Where would the teacher go to check that's well supported? And do we need the other twelve references?'</t>
        </is>
      </c>
      <c r="K522" s="207" t="inlineStr">
        <is>
          <t>YOU DO IT ALONE — each intervention, framework and 'what typically works' claim carries a synthesis-level source; routine strategies do not; the reference list is short and complete.
PASS TEST — There is a reference list
EVIDENCE TO FILE — the report recommendations and reference list, named in the Appendix 5 entry. Log against 8. Research and 3. Intervention.
WHAT FAILURE LOOKS LIKE — a principal asks why the report recommends a particular approach over the one the school already uses, and the report gives no basis beyond your say-so.</t>
        </is>
      </c>
      <c r="L522" s="165" t="inlineStr">
        <is>
          <t>YOU CAN TEACH IT — you can explain the difference between citing to support a claim and citing to impress, why the synthesis is usually the right level for a school reader (for example, citing a review such as Snowling &amp; Hulme, 2011, rather than one trial), and why test manuals are not cited for every score.
WHEN IT GOES WRONG — you realise a report has gone out with a key recommendation unsupported. Note the source in the case file and add it at the next review or addendum; if the recommendation cannot be supported, raise it in supervision.</t>
        </is>
      </c>
      <c r="M522" s="224" t="inlineStr">
        <is>
          <t>Leaving the main intervention recommendation uncited, or padding the report with references that do no work.</t>
        </is>
      </c>
      <c r="N522" s="165" t="inlineStr">
        <is>
          <t>→ Feeds into 'Cite current sources rather than the familiar ones', 'Use APA 7th consistently', and 'Say where the evidence is thin'.</t>
        </is>
      </c>
      <c r="O522" s="225" t="inlineStr">
        <is>
          <t>Not started</t>
        </is>
      </c>
      <c r="P522" s="165" t="inlineStr">
        <is>
          <t>WATCH FOR — which recommendations in your supervisor's reports carry a citation and which do not. Usually the intervention and the framework do; routine classroom strategies and test scores do not.</t>
        </is>
      </c>
      <c r="Q522" s="139" t="inlineStr">
        <is>
          <t>Year 1</t>
        </is>
      </c>
      <c r="R522" s="226" t="inlineStr">
        <is>
          <t>26/10/2026</t>
        </is>
      </c>
      <c r="S522" s="226" t="inlineStr">
        <is>
          <t>16/11/2026</t>
        </is>
      </c>
      <c r="T522" s="226" t="inlineStr">
        <is>
          <t>14/12/2026</t>
        </is>
      </c>
      <c r="U522" s="139" t="inlineStr">
        <is>
          <t>Report — recommendations and reference list · Appendix 5 · Log sheet tagged 8. Research and 3. Intervention</t>
        </is>
      </c>
    </row>
    <row r="523" outlineLevel="2" ht="120" customHeight="1" s="128">
      <c r="A523" s="139" t="inlineStr">
        <is>
          <t>MICRO-SKILL</t>
        </is>
      </c>
      <c r="B523" s="139" t="inlineStr">
        <is>
          <t>8. Research</t>
        </is>
      </c>
      <c r="C523" s="139" t="inlineStr">
        <is>
          <t>Cite evidence for recommendations</t>
        </is>
      </c>
      <c r="D523" s="139" t="inlineStr">
        <is>
          <t>Block 1 · Building a reusable base</t>
        </is>
      </c>
      <c r="E523" s="223" t="inlineStr">
        <is>
          <t>Cite current sources rather than the familiar ones</t>
        </is>
      </c>
      <c r="F523" s="139" t="inlineStr">
        <is>
          <t>PSI Code 2.4.1</t>
        </is>
      </c>
      <c r="G523" s="227" t="inlineStr">
        <is>
          <t>Everyone has sources they learned in first year and have cited ever since. Evidence moves: syntheses are updated, recommendations change and programmes are re-evaluated. The EEF Toolkit, for instance, is revised over time, so any rating you quote may have changed — check the current toolkit entry. PSI Code 2.4.1 is the clause mapped here; read it in the Code itself. Citing an outdated source can mean recommending something the evidence has since moved away from, and an examiner notices a reference list with nothing from the last decade.</t>
        </is>
      </c>
      <c r="H523" s="165" t="inlineStr">
        <is>
          <t>WATCH FOR — how your supervisor keeps up to date: journals they read, NEPS or Department guidance updates, PSI Division of Educational, Child and Adolescent Psychology events, and how they check whether a source they have used for years is still current.
WRITE DOWN — the date of each synthesis you rely on, whether a newer version or update exists, and any guidance document the service treats as current.
ASK AFTERWARDS — 'what's something you used to recommend that you've stopped recommending because the evidence changed?'</t>
        </is>
      </c>
      <c r="I523" s="165" t="inlineStr">
        <is>
          <t>YOU TAKE — checking the date and currency of every source you cite: looking for a newer version of a review, checking the current EEF Toolkit entry, and noting when a classic is cited for a concept rather than for current evidence.
THEY HOLD — the service's view on which guidance is current, and when an older source is still the right one.
WHY THAT SPLIT — checking dates is mechanical and yours. Knowing that a newer paper has not displaced an older one, or that a guidance document is under revision, often comes from experience in the field.</t>
        </is>
      </c>
      <c r="J523" s="165" t="inlineStr">
        <is>
          <t>YOU RUN IT — before each report goes to your supervisor, check each reference: is there a newer synthesis, update or edition? Note the check in your search log.
WHAT THEY ARE WATCHING FOR — every citation a decade old or more; a superseded edition; a Toolkit rating quoted from memory; a classic used as though it were current evidence of effectiveness.
STEPPING IN LOOKS LIKE — 'this review is quite old. Has it been updated? What does the Toolkit say now?'</t>
        </is>
      </c>
      <c r="K523" s="207" t="inlineStr">
        <is>
          <t>YOU DO IT ALONE — each source is the most recent adequate synthesis you could find, older sources are there for a reason you could state, and figures from living resources such as the EEF Toolkit are checked on the day.
PASS TEST — Recency checked
EVIDENCE TO FILE — the recency check noted in your search log, and the reference list in the report. Log against 8. Research.
WHAT FAILURE LOOKS LIKE — a report quotes a Toolkit rating that has since been revised, and a teacher who checked the website points it out at the review meeting.</t>
        </is>
      </c>
      <c r="L523" s="165" t="inlineStr">
        <is>
          <t>YOU CAN TEACH IT — you can explain the difference between a foundational source cited for an idea (Vygotsky for the zone of proximal development, for example) and a source cited as evidence that something works, which should be current. You can show a peer how to check for updates to a review.
WHEN IT GOES WRONG — you find a newer review that changes the picture after the report has gone. Raise it in supervision, decide with your supervisor whether the school needs to be told, and update your search note so it is not repeated.</t>
        </is>
      </c>
      <c r="M523" s="224" t="inlineStr">
        <is>
          <t>Citing the source you have always cited without checking whether it has been updated or superseded.</t>
        </is>
      </c>
      <c r="N523" s="165" t="inlineStr">
        <is>
          <t>→ Feeds into 'Say where the evidence is thin', 'Record the search terms and databases used', and 8. Research.</t>
        </is>
      </c>
      <c r="O523" s="225" t="inlineStr">
        <is>
          <t>Not started</t>
        </is>
      </c>
      <c r="P523" s="165" t="inlineStr">
        <is>
          <t>WATCH FOR — how your supervisor keeps up to date: journals they read, NEPS or Department guidance updates, PSI Division of Educational, Child and Adolescent Psychology events, and how they check whether a source they have used for years is still current.</t>
        </is>
      </c>
      <c r="Q523" s="139" t="inlineStr">
        <is>
          <t>Year 1</t>
        </is>
      </c>
      <c r="R523" s="226" t="inlineStr">
        <is>
          <t>26/10/2026</t>
        </is>
      </c>
      <c r="S523" s="226" t="inlineStr">
        <is>
          <t>16/11/2026</t>
        </is>
      </c>
      <c r="T523" s="226" t="inlineStr">
        <is>
          <t>14/12/2026</t>
        </is>
      </c>
      <c r="U523" s="139" t="inlineStr">
        <is>
          <t>Search log — recency check · Report — reference list · Log sheet tagged 8. Research</t>
        </is>
      </c>
    </row>
    <row r="524" outlineLevel="2" ht="43.5" customHeight="1" s="128">
      <c r="A524" s="220" t="inlineStr">
        <is>
          <t>BLOCK</t>
        </is>
      </c>
      <c r="B524" s="220" t="inlineStr">
        <is>
          <t>8. Research</t>
        </is>
      </c>
      <c r="C524" s="220" t="inlineStr">
        <is>
          <t>Cite evidence for recommendations</t>
        </is>
      </c>
      <c r="D524" s="221" t="inlineStr">
        <is>
          <t>Block 2 · Citing correctly</t>
        </is>
      </c>
      <c r="E524" s="222" t="inlineStr">
        <is>
          <t>APA 7th, consistently.</t>
        </is>
      </c>
      <c r="F524" s="220" t="inlineStr">
        <is>
          <t>2 hours, once · Weeks 1–2</t>
        </is>
      </c>
      <c r="G524" s="220" t="n"/>
      <c r="H524" s="220" t="n"/>
      <c r="I524" s="220" t="n"/>
      <c r="J524" s="220" t="n"/>
      <c r="K524" s="220" t="n"/>
      <c r="L524" s="220" t="n"/>
      <c r="M524" s="222" t="n"/>
      <c r="N524" s="220" t="n"/>
      <c r="O524" s="220" t="n"/>
      <c r="P524" s="220" t="inlineStr">
        <is>
          <t>How you build it: One reference-management tool set up once.</t>
        </is>
      </c>
      <c r="Q524" s="220" t="n"/>
      <c r="R524" s="220" t="n"/>
      <c r="S524" s="220" t="n"/>
      <c r="T524" s="220" t="n"/>
      <c r="U524" s="220" t="n"/>
    </row>
    <row r="525" outlineLevel="2" ht="120" customHeight="1" s="128">
      <c r="A525" s="139" t="inlineStr">
        <is>
          <t>MICRO-SKILL</t>
        </is>
      </c>
      <c r="B525" s="139" t="inlineStr">
        <is>
          <t>8. Research</t>
        </is>
      </c>
      <c r="C525" s="139" t="inlineStr">
        <is>
          <t>Cite evidence for recommendations</t>
        </is>
      </c>
      <c r="D525" s="139" t="inlineStr">
        <is>
          <t>Block 2 · Citing correctly</t>
        </is>
      </c>
      <c r="E525" s="223" t="inlineStr">
        <is>
          <t>Use APA 7th consistently</t>
        </is>
      </c>
      <c r="F525" s="139" t="inlineStr">
        <is>
          <t>UCD Academic Integrity Policy</t>
        </is>
      </c>
      <c r="G525" s="227" t="inlineStr">
        <is>
          <t>APA 7th (American Psychological Association, 2020, Publication manual, 7th ed.) is the convention your reports and your thesis use. The Reference sheet maps the UCD Academic Integrity Policy here: accurate referencing is part of how you show whose ideas are whose. Inconsistent or wrong referencing reads as careless thinking to an examiner, and a citation that does not match its reference list entry cannot be checked.</t>
        </is>
      </c>
      <c r="H525" s="165" t="inlineStr">
        <is>
          <t>WATCH FOR — how references appear in the service's reports: whether they follow APA 7th strictly, whether the house style changes anything, and how guidance documents from NEPS, the Department or the HSE are referenced (corporate author, year, title, URL).
WRITE DOWN — model references for the source types you cite most: journal article with DOI, book, chapter, government or agency report, webpage such as the EEF Toolkit, and test manual.
ASK AFTERWARDS — 'does the service follow APA exactly in reports to schools, or is there a house variation I should use?'</t>
        </is>
      </c>
      <c r="I525" s="165" t="inlineStr">
        <is>
          <t>YOU TAKE — every in-text citation and reference list entry in your drafts, checked against the manual or the UCD library APA guide.
THEY HOLD — the service's house style, where it differs from APA, and the final sign-off on the report.
WHY THAT SPLIT — formatting is entirely checkable and entirely yours. A service may deliberately simplify referencing for parents, and that is its decision.</t>
        </is>
      </c>
      <c r="J525" s="165" t="inlineStr">
        <is>
          <t>YOU RUN IT — format every reference in your Cavan reports and Appendix entries yourself, using a reference manager if you have one, and check the final list by hand before submission.
WHAT THEY ARE WATCHING FOR — in-text citations with no matching entry; 'et al.' used wrongly; missing DOIs; a mix of styles pasted from different sources; agency reports with no author or year.
STEPPING IN LOOKS LIKE — 'this cites Hulme 2011 in the text, but the list has Snowling and Hulme. Which is it?'</t>
        </is>
      </c>
      <c r="K525" s="207" t="inlineStr">
        <is>
          <t>YOU DO IT ALONE — every in-text citation matches a list entry and every entry is cited; format follows APA 7th throughout, including DOIs and agency authors.
PASS TEST — Formatting is correct
EVIDENCE TO FILE — the report reference list and your Appendix 5 entries. Log against 8. Research.
WHAT FAILURE LOOKS LIKE — a report reference list with three styles, a missing year and a citation to a paper that is not in the list, returned by your supervisor with the note 'please tidy before this goes out'.</t>
        </is>
      </c>
      <c r="L525" s="165" t="inlineStr">
        <is>
          <t>YOU CAN TEACH IT — you can explain the main APA 7th rules for the source types EPs use most, how to reference a living webpage (with a retrieval date only where the manual requires one — check), and how a reference manager helps and where it gets things wrong.
WHEN IT GOES WRONG — a report goes out with referencing errors. Correct the master copy on the file, fix your template, and do a final check of the list against the text before every future report.</t>
        </is>
      </c>
      <c r="M525" s="224" t="inlineStr">
        <is>
          <t>Letting in-text citations and the reference list drift apart, so a reader cannot find the source.</t>
        </is>
      </c>
      <c r="N525" s="165" t="inlineStr">
        <is>
          <t>→ Feeds into 'Attach a source to every substantial recommendation', written report quality, and the thesis.</t>
        </is>
      </c>
      <c r="O525" s="225" t="inlineStr">
        <is>
          <t>Not started</t>
        </is>
      </c>
      <c r="P525" s="165" t="inlineStr">
        <is>
          <t>WATCH FOR — how references appear in the service's reports: whether they follow APA 7th strictly, whether the house style changes anything, and how guidance documents from NEPS, the Department or the HSE are referenced (corporate author, year, title, URL).</t>
        </is>
      </c>
      <c r="Q525" s="139" t="inlineStr">
        <is>
          <t>Year 1</t>
        </is>
      </c>
      <c r="R525" s="226" t="inlineStr">
        <is>
          <t>26/10/2026</t>
        </is>
      </c>
      <c r="S525" s="226" t="inlineStr">
        <is>
          <t>16/11/2026</t>
        </is>
      </c>
      <c r="T525" s="226" t="inlineStr">
        <is>
          <t>14/12/2026</t>
        </is>
      </c>
      <c r="U525" s="139" t="inlineStr">
        <is>
          <t>Report — reference list · Appendix 5 entries · Log sheet tagged 8. Research</t>
        </is>
      </c>
    </row>
    <row r="526" outlineLevel="2" ht="43.5" customHeight="1" s="128">
      <c r="A526" s="220" t="inlineStr">
        <is>
          <t>BLOCK</t>
        </is>
      </c>
      <c r="B526" s="220" t="inlineStr">
        <is>
          <t>8. Research</t>
        </is>
      </c>
      <c r="C526" s="220" t="inlineStr">
        <is>
          <t>Cite evidence for recommendations</t>
        </is>
      </c>
      <c r="D526" s="221" t="inlineStr">
        <is>
          <t>Block 3 · Being honest about the base</t>
        </is>
      </c>
      <c r="E526" s="222" t="inlineStr">
        <is>
          <t>Saying where the evidence is thin.</t>
        </is>
      </c>
      <c r="F526" s="220" t="inlineStr">
        <is>
          <t>Habit · Weeks 7–12</t>
        </is>
      </c>
      <c r="G526" s="220" t="n"/>
      <c r="H526" s="220" t="n"/>
      <c r="I526" s="220" t="n"/>
      <c r="J526" s="220" t="n"/>
      <c r="K526" s="220" t="n"/>
      <c r="L526" s="220" t="n"/>
      <c r="M526" s="222" t="n"/>
      <c r="N526" s="220" t="n"/>
      <c r="O526" s="220" t="n"/>
      <c r="P526" s="220" t="inlineStr">
        <is>
          <t>How you build it: One sentence when it is true.</t>
        </is>
      </c>
      <c r="Q526" s="220" t="n"/>
      <c r="R526" s="220" t="n"/>
      <c r="S526" s="220" t="n"/>
      <c r="T526" s="220" t="n"/>
      <c r="U526" s="220" t="n"/>
    </row>
    <row r="527" outlineLevel="2" ht="120" customHeight="1" s="128">
      <c r="A527" s="139" t="inlineStr">
        <is>
          <t>MICRO-SKILL</t>
        </is>
      </c>
      <c r="B527" s="139" t="inlineStr">
        <is>
          <t>8. Research</t>
        </is>
      </c>
      <c r="C527" s="139" t="inlineStr">
        <is>
          <t>Cite evidence for recommendations</t>
        </is>
      </c>
      <c r="D527" s="139" t="inlineStr">
        <is>
          <t>Block 3 · Being honest about the base</t>
        </is>
      </c>
      <c r="E527" s="223" t="inlineStr">
        <is>
          <t>Say where the evidence is thin</t>
        </is>
      </c>
      <c r="F527" s="139" t="inlineStr">
        <is>
          <t>PSI Code 4.2.6</t>
        </is>
      </c>
      <c r="G527" s="227" t="inlineStr">
        <is>
          <t>PSI Code 4.2.6 is mapped here, and the Reference sheet reads it as requiring you not to suppress disconfirming evidence; it also cites 4.2.2 on not exaggerating effectiveness — read both clauses in the Code itself before quoting them. The Reference sheet's position is that 'evidence for Y is mixed, and it is recommended here because of [case-specific reason]' is more impressive than pretending certainty. Overstate the evidence and a school invests a term in something that was never likely to deliver, and trusts the next report less.</t>
        </is>
      </c>
      <c r="H527" s="165" t="inlineStr">
        <is>
          <t>WATCH FOR — the words your supervisor uses for strength of evidence: 'strong', 'promising', 'mixed', 'limited', 'no trials, but'. Notice how they recommend something with a thin base without apologising for it.
WRITE DOWN — a short scale of phrases matched to evidence strength, and the phrases your supervisor avoids ('proven', 'guaranteed', 'research shows' with no qualifier).
ASK AFTERWARDS — 'how do you tell a school the evidence is mixed without them hearing "don't bother"?'</t>
        </is>
      </c>
      <c r="I527" s="165" t="inlineStr">
        <is>
          <t>YOU TAKE — drafting the sentence that states the strength of the evidence for each recommendation, based on your appraisal note.
THEY HOLD — how that is framed for this school and family, particularly when a family is committed to an approach with little evidence behind it.
WHY THAT SPLIT — the evidence judgement follows from your appraisal. Telling parents that something they value has a thin base is a relationship conversation that your supervisor has had many times.</t>
        </is>
      </c>
      <c r="J527" s="165" t="inlineStr">
        <is>
          <t>YOU RUN IT — in each Cavan report, give every substantial recommendation one of: strong evidence, mixed or limited evidence with a case-specific reason, or no trial base with reasoning and an evaluation plan.
WHAT THEY ARE WATCHING FOR — certainty the evidence does not support; a single trial presented as settled; disconfirming findings left out; a no-evidence recommendation with no evaluation line.
STEPPING IN LOOKS LIKE — 'you've written "research shows". Does it? How strongly, and in children like this one?'</t>
        </is>
      </c>
      <c r="K527" s="207" t="inlineStr">
        <is>
          <t>YOU DO IT ALONE — each recommendation states how strong its evidence is, mixed or absent evidence is named honestly, and any recommendation with no trial base carries its reasoning and a plan to evaluate it for this child.
PASS TEST — Honest about the base
EVIDENCE TO FILE — the report recommendations, cross-referenced to your appraisal note in the Appendix 5 entry. Log against 8. Research and 6. Ethical Practice.
WHAT FAILURE LOOKS LIKE — a report says an approach 'has been shown to be effective' when your own appraisal found one small uncontrolled study.</t>
        </is>
      </c>
      <c r="L527" s="165" t="inlineStr">
        <is>
          <t>YOU CAN TEACH IT — you can explain why stating uncertainty is an ethical requirement and a mark of competence, not a weakness, and why an honest 'no trials, but here is the reasoning and here is how we will know' is evidence-informed practice (CORU SoP 5.4).
WHEN IT GOES WRONG — you overstated the evidence in a report that has gone out. Raise it in supervision, agree a correction for the school, and make sure the evaluation line will show whether the recommendation is working for this child.</t>
        </is>
      </c>
      <c r="M527" s="224" t="inlineStr">
        <is>
          <t>Writing 'research shows' when the evidence is mixed or thin, and leaving out what did not support the recommendation.</t>
        </is>
      </c>
      <c r="N527" s="165" t="inlineStr">
        <is>
          <t>→ Feeds into 'State how a recommendation would be evaluated', 6. Ethical Practice, and 3. Intervention.</t>
        </is>
      </c>
      <c r="O527" s="225" t="inlineStr">
        <is>
          <t>Not started</t>
        </is>
      </c>
      <c r="P527" s="165" t="inlineStr">
        <is>
          <t>WATCH FOR — the words your supervisor uses for strength of evidence: 'strong', 'promising', 'mixed', 'limited', 'no trials, but'. Notice how they recommend something with a thin base without apologising for it.</t>
        </is>
      </c>
      <c r="Q527" s="139" t="inlineStr">
        <is>
          <t>Year 1</t>
        </is>
      </c>
      <c r="R527" s="226" t="inlineStr">
        <is>
          <t>26/10/2026</t>
        </is>
      </c>
      <c r="S527" s="226" t="inlineStr">
        <is>
          <t>16/11/2026</t>
        </is>
      </c>
      <c r="T527" s="226" t="inlineStr">
        <is>
          <t>14/12/2026</t>
        </is>
      </c>
      <c r="U527" s="139" t="inlineStr">
        <is>
          <t>Report — recommendations · appraisal note · Appendix 5 · Log sheet tagged 8. Research and 6. Ethical Practice</t>
        </is>
      </c>
    </row>
    <row r="528" outlineLevel="2" ht="19.5" customHeight="1" s="128">
      <c r="A528" s="219" t="inlineStr">
        <is>
          <t>MACRO SKILL</t>
        </is>
      </c>
      <c r="B528" s="219" t="inlineStr">
        <is>
          <t>8. Research</t>
        </is>
      </c>
      <c r="C528" s="219" t="inlineStr">
        <is>
          <t>State how a recommendation would be evaluated</t>
        </is>
      </c>
      <c r="D528" s="219" t="n"/>
      <c r="E528" s="219" t="inlineStr">
        <is>
          <t>3 blocks · 5 micro-skills</t>
        </is>
      </c>
      <c r="F528" s="219" t="inlineStr">
        <is>
          <t>CORU 3.8 · 3.9 · PSI 3.1.2</t>
        </is>
      </c>
      <c r="G528" s="219" t="n"/>
      <c r="H528" s="219" t="n"/>
      <c r="I528" s="219" t="n"/>
      <c r="J528" s="219" t="n"/>
      <c r="K528" s="219" t="n"/>
      <c r="L528" s="219" t="n"/>
      <c r="M528" s="219" t="n"/>
      <c r="N528" s="219" t="n"/>
      <c r="O528" s="219" t="n"/>
      <c r="P528" s="219" t="n"/>
      <c r="Q528" s="219" t="inlineStr">
        <is>
          <t>Year 1</t>
        </is>
      </c>
      <c r="R528" s="219" t="n"/>
      <c r="S528" s="219" t="n"/>
      <c r="T528" s="219" t="n"/>
      <c r="U528" s="219" t="n"/>
    </row>
    <row r="529" outlineLevel="2" ht="43.5" customHeight="1" s="128">
      <c r="A529" s="220" t="inlineStr">
        <is>
          <t>BLOCK</t>
        </is>
      </c>
      <c r="B529" s="220" t="inlineStr">
        <is>
          <t>8. Research</t>
        </is>
      </c>
      <c r="C529" s="220" t="inlineStr">
        <is>
          <t>State how a recommendation would be evaluated</t>
        </is>
      </c>
      <c r="D529" s="221" t="inlineStr">
        <is>
          <t>Block 1 · Specifying a measure</t>
        </is>
      </c>
      <c r="E529" s="222" t="inlineStr">
        <is>
          <t>Naming what will be measured, by whom, and when.</t>
        </is>
      </c>
      <c r="F529" s="220" t="inlineStr">
        <is>
          <t>5 minutes per report · Weeks 7–12</t>
        </is>
      </c>
      <c r="G529" s="220" t="n"/>
      <c r="H529" s="220" t="n"/>
      <c r="I529" s="220" t="n"/>
      <c r="J529" s="220" t="n"/>
      <c r="K529" s="220" t="n"/>
      <c r="L529" s="220" t="n"/>
      <c r="M529" s="222" t="n"/>
      <c r="N529" s="220" t="n"/>
      <c r="O529" s="220" t="n"/>
      <c r="P529" s="220" t="inlineStr">
        <is>
          <t>How you build it: One sentence per recommendation. Write it as you write the recommendation.</t>
        </is>
      </c>
      <c r="Q529" s="220" t="n"/>
      <c r="R529" s="220" t="n"/>
      <c r="S529" s="220" t="n"/>
      <c r="T529" s="220" t="n"/>
      <c r="U529" s="220" t="n"/>
    </row>
    <row r="530" outlineLevel="2" ht="120" customHeight="1" s="128">
      <c r="A530" s="139" t="inlineStr">
        <is>
          <t>MICRO-SKILL</t>
        </is>
      </c>
      <c r="B530" s="139" t="inlineStr">
        <is>
          <t>8. Research</t>
        </is>
      </c>
      <c r="C530" s="139" t="inlineStr">
        <is>
          <t>State how a recommendation would be evaluated</t>
        </is>
      </c>
      <c r="D530" s="139" t="inlineStr">
        <is>
          <t>Block 1 · Specifying a measure</t>
        </is>
      </c>
      <c r="E530" s="223" t="inlineStr">
        <is>
          <t>Name the measure</t>
        </is>
      </c>
      <c r="F530" s="139" t="inlineStr">
        <is>
          <t>CORU SoP 3.8</t>
        </is>
      </c>
      <c r="G530" s="227" t="inlineStr">
        <is>
          <t>CORU SoP 3.8 is mapped here, and the Reference sheet reads it as requiring evaluation of intervention plans with recognised outcome measures and revision in the light of them. The measure has to be able to move within the timescale: curriculum-based measurement (Deno, 2003), frequency counts and brief validated rating scales can move within a term; standardised annual tests usually cannot. Choose a measure that cannot move and the review is inconclusive before it starts.</t>
        </is>
      </c>
      <c r="H530" s="165" t="inlineStr">
        <is>
          <t>WATCH FOR — the measures your supervisor names in review lines: a words-correct-per-minute probe, a frequency count of a defined behaviour, a brief rating scale, attendance figures, a goal attainment scale. Notice how they match the measure to the outcome and the timescale.
WRITE DOWN — for each common referral type (reading, maths, attendance, behaviour, anxiety), a measure that can move within a term and who could realistically take it.
ASK AFTERWARDS — 'which measures do schools actually keep up for a whole term, and which ones get dropped after two weeks?'</t>
        </is>
      </c>
      <c r="I530" s="165" t="inlineStr">
        <is>
          <t>YOU TAKE — proposing the measure for each recommendation, defined well enough that two people would record the same thing, and checking it can move within the review period.
THEY HOLD — whether the school can realistically keep it up, and whether a standardised measure is needed for a later decision such as a resource application.
WHY THAT SPLIT — matching a measure to an outcome is technical and yours. What a school will sustain, and what another agency will later ask for, your supervisor knows from experience.</t>
        </is>
      </c>
      <c r="J530" s="165" t="inlineStr">
        <is>
          <t>YOU RUN IT — every recommendation in your Cavan reports ends with a named measure: a specific instrument, a CBM probe, or a behaviour defined in observable terms.
WHAT THEY ARE WATCHING FOR — 'monitor progress' with no measure; a behaviour described in terms nobody could count ('improved engagement'); an annual standardised test named as the review measure for a ten-week intervention.
STEPPING IN LOOKS LIKE — 'what exactly will the SET write down, and could it change in eight weeks?'</t>
        </is>
      </c>
      <c r="K530" s="207" t="inlineStr">
        <is>
          <t>YOU DO IT ALONE — every recommendation names a specific instrument or an observable, countable behaviour that can move within the review period. Goal attainment scaling (Kiresuk &amp; Sherman, 1968) is an option where no standard measure fits — check the original method before using it.
PASS TEST — Specific instrument or observable
EVIDENCE TO FILE — the evaluation line in each report recommendation. Log against 8. Research and 3. Intervention.
WHAT FAILURE LOOKS LIKE — at the review the teacher says the child 'seems a bit better', and there is nothing to check that against.</t>
        </is>
      </c>
      <c r="L530" s="165" t="inlineStr">
        <is>
          <t>YOU CAN TEACH IT — you can explain why the measure must match both the outcome and the timescale, why an observable definition matters (so two raters would agree), and why CBM probes suit short cycles (Deno, 2003). You can help a teacher turn 'more settled' into something they can count.
WHEN IT GOES WRONG — the measure turns out not to move, or not to capture what matters. Keep the data you have, agree a better measure at the next contact, and record the change so the review can account for it.</t>
        </is>
      </c>
      <c r="M530" s="224" t="inlineStr">
        <is>
          <t>Naming a measure that cannot change within the review period, or no measure at all.</t>
        </is>
      </c>
      <c r="N530" s="165" t="inlineStr">
        <is>
          <t>→ Feeds into 'Name who will measure it', 'Name when', and 'Say what would count as no progress'.</t>
        </is>
      </c>
      <c r="O530" s="225" t="inlineStr">
        <is>
          <t>Not started</t>
        </is>
      </c>
      <c r="P530" s="165" t="inlineStr">
        <is>
          <t>WATCH FOR — the measures your supervisor names in review lines: a words-correct-per-minute probe, a frequency count of a defined behaviour, a brief rating scale, attendance figures, a goal attainment scale. Notice how they match the measure to the outcome and the timescale.</t>
        </is>
      </c>
      <c r="Q530" s="139" t="inlineStr">
        <is>
          <t>Year 1</t>
        </is>
      </c>
      <c r="R530" s="226" t="inlineStr">
        <is>
          <t>26/10/2026</t>
        </is>
      </c>
      <c r="S530" s="226" t="inlineStr">
        <is>
          <t>16/11/2026</t>
        </is>
      </c>
      <c r="T530" s="226" t="inlineStr">
        <is>
          <t>14/12/2026</t>
        </is>
      </c>
      <c r="U530" s="139" t="inlineStr">
        <is>
          <t>Report — recommendations with evaluation line · Log sheet tagged 8. Research and 3. Intervention</t>
        </is>
      </c>
    </row>
    <row r="531" outlineLevel="2" ht="120" customHeight="1" s="128">
      <c r="A531" s="139" t="inlineStr">
        <is>
          <t>MICRO-SKILL</t>
        </is>
      </c>
      <c r="B531" s="139" t="inlineStr">
        <is>
          <t>8. Research</t>
        </is>
      </c>
      <c r="C531" s="139" t="inlineStr">
        <is>
          <t>State how a recommendation would be evaluated</t>
        </is>
      </c>
      <c r="D531" s="139" t="inlineStr">
        <is>
          <t>Block 1 · Specifying a measure</t>
        </is>
      </c>
      <c r="E531" s="223" t="inlineStr">
        <is>
          <t>Name who will measure it</t>
        </is>
      </c>
      <c r="F531" s="139" t="inlineStr">
        <is>
          <t>CORU SoP 5.37</t>
        </is>
      </c>
      <c r="G531" s="227" t="inlineStr">
        <is>
          <t>The Reference sheet lists 'assigning review to nobody in particular' as a common error. 'The school will monitor progress' means nobody will. CORU SoP 5.37 is mapped here — read it on the Reference sheet, Part B. In Irish schools the realistic people are the class teacher, the special education teacher, the year head or the guidance counsellor at post-primary, a special needs assistant only within the limits of that role, and sometimes the parent. Name a role that has not agreed, and the data will not exist at review.</t>
        </is>
      </c>
      <c r="H531" s="165" t="inlineStr">
        <is>
          <t>WATCH FOR — how your supervisor agrees the 'who' in the meeting, not afterwards in the report, and how they check that the person named actually has the time and knows how to take the measure.
WRITE DOWN — for each school you visit, the roles available to measure progress (SET, class teacher, year head, guidance counsellor), and who holds the Student Support File.
ASK AFTERWARDS — 'how do you get a busy SET to commit to a measure without it becoming one more job they resent?'</t>
        </is>
      </c>
      <c r="I531" s="165" t="inlineStr">
        <is>
          <t>YOU TAKE — naming the role in the draft recommendation and preparing the measure so it is easy to take: a probe sheet, a tally chart, a rating form.
THEY HOLD — the negotiation with the principal or SET about who can take it on, particularly where staffing is stretched.
WHY THAT SPLIT — the design of the recording tool is yours. Asking a school to commit staff time is part of the service's relationship with that school, and your supervisor holds that relationship.</t>
        </is>
      </c>
      <c r="J531" s="165" t="inlineStr">
        <is>
          <t>YOU RUN IT — at each consultation or feedback meeting in Cavan, agree out loud who will take the measure and write the role into the note and the report.
WHAT THEY ARE WATCHING FOR — 'the school', 'staff' or 'the team' as the named measurer; a role named who was not at the meeting and has not agreed; a special needs assistant asked to do something outside that role.
STEPPING IN LOOKS LIKE — 'which person, in which role, will fill in this sheet on a Tuesday afternoon? Did they agree?'</t>
        </is>
      </c>
      <c r="K531" s="207" t="inlineStr">
        <is>
          <t>YOU DO IT ALONE — every evaluation line names a role (not a person's name in the report unless the service does so), and that role agreed to it at the meeting.
PASS TEST — A role, not 'the school'
EVIDENCE TO FILE — the consultation note recording the agreement, and the evaluation line in the report. Log against 8. Research and 5. Working with Others.
WHAT FAILURE LOOKS LIKE — at review, the class teacher thought the SET was recording, the SET thought the class teacher was, and there is no data.</t>
        </is>
      </c>
      <c r="L531" s="165" t="inlineStr">
        <is>
          <t>YOU CAN TEACH IT — you can explain why the named role must be agreed rather than assigned, how to design a recording tool that takes under five minutes, and how the 'who' fits the Continuum of Support level the child is at.
WHEN IT GOES WRONG — the named person leaves or goes on leave mid-term. Contact the school, agree a replacement role, record the change and the gap in data, and account for it at review.</t>
        </is>
      </c>
      <c r="M531" s="224" t="inlineStr">
        <is>
          <t>Writing 'the school will monitor' so that nobody in particular is responsible for the data.</t>
        </is>
      </c>
      <c r="N531" s="165" t="inlineStr">
        <is>
          <t>→ Feeds into 'Name when', 'Follow up whether anyone acted on it', and 5. Working with Others.</t>
        </is>
      </c>
      <c r="O531" s="225" t="inlineStr">
        <is>
          <t>Not started</t>
        </is>
      </c>
      <c r="P531" s="165" t="inlineStr">
        <is>
          <t>WATCH FOR — how your supervisor agrees the 'who' in the meeting, not afterwards in the report, and how they check that the person named actually has the time and knows how to take the measure.</t>
        </is>
      </c>
      <c r="Q531" s="139" t="inlineStr">
        <is>
          <t>Year 1</t>
        </is>
      </c>
      <c r="R531" s="226" t="inlineStr">
        <is>
          <t>26/10/2026</t>
        </is>
      </c>
      <c r="S531" s="226" t="inlineStr">
        <is>
          <t>16/11/2026</t>
        </is>
      </c>
      <c r="T531" s="226" t="inlineStr">
        <is>
          <t>14/12/2026</t>
        </is>
      </c>
      <c r="U531" s="139" t="inlineStr">
        <is>
          <t>Consultation note · Report — evaluation line · Log sheet tagged 8. Research and 5. Working with Others</t>
        </is>
      </c>
    </row>
    <row r="532" outlineLevel="2" ht="120" customHeight="1" s="128">
      <c r="A532" s="139" t="inlineStr">
        <is>
          <t>MICRO-SKILL</t>
        </is>
      </c>
      <c r="B532" s="139" t="inlineStr">
        <is>
          <t>8. Research</t>
        </is>
      </c>
      <c r="C532" s="139" t="inlineStr">
        <is>
          <t>State how a recommendation would be evaluated</t>
        </is>
      </c>
      <c r="D532" s="139" t="inlineStr">
        <is>
          <t>Block 1 · Specifying a measure</t>
        </is>
      </c>
      <c r="E532" s="223" t="inlineStr">
        <is>
          <t>Name when</t>
        </is>
      </c>
      <c r="F532" s="139" t="inlineStr">
        <is>
          <t>PSI Code 2.3.2</t>
        </is>
      </c>
      <c r="G532" s="227" t="inlineStr">
        <is>
          <t>A review with no date does not happen. The Reference sheet's one line is 'review at the end of term 2 using [measure], with progress monitored fortnightly by the SET': what, when, how, who. PSI Code 2.3.2 is mapped here — read it in the Code itself. Two times matter: how often data are taken (so a trend can be seen) and when the decision is made. The Reference sheet also asks for a baseline before the intervention starts, even three data points over a week, because without it no change can be attributed to anything.</t>
        </is>
      </c>
      <c r="H532" s="165" t="inlineStr">
        <is>
          <t>WATCH FOR — the review points your supervisor uses: the end of a term, the next Student Support Plan review, a set number of weeks, or the next planned school visit. Notice whether they set a baseline date as well as a review date.
WRITE DOWN — the school calendar for each Cavan school (term dates, midterms, Christmas), so review points do not land in a holiday, and the service's usual cycle of school visits.
ASK AFTERWARDS — 'how long do you give an intervention before you'd expect to see anything, and how do you decide?'</t>
        </is>
      </c>
      <c r="I532" s="165" t="inlineStr">
        <is>
          <t>YOU TAKE — setting the baseline window, the monitoring interval and the review date in the draft recommendation, checked against the school calendar.
THEY HOLD — whether the review falls within the service's planned contact with the school, and who will attend it.
WHY THAT SPLIT — timing the data collection is a design decision you can make. Whether the service will be there for the review depends on its time allocation to that school, which your supervisor manages.</t>
        </is>
      </c>
      <c r="J532" s="165" t="inlineStr">
        <is>
          <t>YOU RUN IT — every Cavan recommendation carries a baseline window, a monitoring interval and a review date in DD/MM/YYYY or a named school week.
WHAT THEY ARE WATCHING FOR — 'review in due course'; a review date after 18/12/2026 with no handover to whoever holds the case after you; no baseline before the intervention begins; monitoring too infrequent to show a trend.
STEPPING IN LOOKS LIKE — 'your placement ends before this review. Who picks it up, and does the note tell them?'</t>
        </is>
      </c>
      <c r="K532" s="207" t="inlineStr">
        <is>
          <t>YOU DO IT ALONE — every recommendation states when the baseline is taken, how often progress is measured, and a date or interval for the decision, with handover recorded for any review after your placement ends.
PASS TEST — A date or interval
EVIDENCE TO FILE — the evaluation line in the report, and the handover note for reviews falling after 18/12/2026. Log against 8. Research.
WHAT FAILURE LOOKS LIKE — the intervention starts in November with no baseline, the review is set for 'the new year', and nobody has it in their diary.</t>
        </is>
      </c>
      <c r="L532" s="165" t="inlineStr">
        <is>
          <t>YOU CAN TEACH IT — you can explain the difference between a monitoring interval and a decision point, why a baseline comes first (Kazdin, 2011, on single-case designs), and why a review date must fall when both the school and the service will be available.
WHEN IT GOES WRONG — the review date passes with nobody there. Contact the school, set a new date, record what happened, and use whatever data exist; do not let the recommendation quietly lapse.</t>
        </is>
      </c>
      <c r="M532" s="224" t="inlineStr">
        <is>
          <t>Setting no baseline and no review date, so the intervention cannot be judged and nobody returns to it.</t>
        </is>
      </c>
      <c r="N532" s="165" t="inlineStr">
        <is>
          <t>→ Feeds into 'Say what would count as no progress', 'Follow up whether anyone acted on it', and handover of open cases at the end of Cavan.</t>
        </is>
      </c>
      <c r="O532" s="225" t="inlineStr">
        <is>
          <t>Not started</t>
        </is>
      </c>
      <c r="P532" s="165" t="inlineStr">
        <is>
          <t>WATCH FOR — the review points your supervisor uses: the end of a term, the next Student Support Plan review, a set number of weeks, or the next planned school visit. Notice whether they set a baseline date as well as a review date.</t>
        </is>
      </c>
      <c r="Q532" s="139" t="inlineStr">
        <is>
          <t>Year 1</t>
        </is>
      </c>
      <c r="R532" s="226" t="inlineStr">
        <is>
          <t>26/10/2026</t>
        </is>
      </c>
      <c r="S532" s="226" t="inlineStr">
        <is>
          <t>16/11/2026</t>
        </is>
      </c>
      <c r="T532" s="226" t="inlineStr">
        <is>
          <t>14/12/2026</t>
        </is>
      </c>
      <c r="U532" s="139" t="inlineStr">
        <is>
          <t>Report — evaluation line · handover note · Log sheet tagged 8. Research</t>
        </is>
      </c>
    </row>
    <row r="533" outlineLevel="2" ht="43.5" customHeight="1" s="128">
      <c r="A533" s="220" t="inlineStr">
        <is>
          <t>BLOCK</t>
        </is>
      </c>
      <c r="B533" s="220" t="inlineStr">
        <is>
          <t>8. Research</t>
        </is>
      </c>
      <c r="C533" s="220" t="inlineStr">
        <is>
          <t>State how a recommendation would be evaluated</t>
        </is>
      </c>
      <c r="D533" s="221" t="inlineStr">
        <is>
          <t>Block 2 · Defining failure</t>
        </is>
      </c>
      <c r="E533" s="222" t="inlineStr">
        <is>
          <t>Saying what would count as no progress and trigger a change.</t>
        </is>
      </c>
      <c r="F533" s="220" t="inlineStr">
        <is>
          <t>5 minutes per report · Weeks 7–12</t>
        </is>
      </c>
      <c r="G533" s="220" t="n"/>
      <c r="H533" s="220" t="n"/>
      <c r="I533" s="220" t="n"/>
      <c r="J533" s="220" t="n"/>
      <c r="K533" s="220" t="n"/>
      <c r="L533" s="220" t="n"/>
      <c r="M533" s="222" t="n"/>
      <c r="N533" s="220" t="n"/>
      <c r="O533" s="220" t="n"/>
      <c r="P533" s="220" t="inlineStr">
        <is>
          <t>How you build it: Add the threshold sentence. Almost nobody does.</t>
        </is>
      </c>
      <c r="Q533" s="220" t="n"/>
      <c r="R533" s="220" t="n"/>
      <c r="S533" s="220" t="n"/>
      <c r="T533" s="220" t="n"/>
      <c r="U533" s="220" t="n"/>
    </row>
    <row r="534" outlineLevel="2" ht="120" customHeight="1" s="128">
      <c r="A534" s="139" t="inlineStr">
        <is>
          <t>MICRO-SKILL</t>
        </is>
      </c>
      <c r="B534" s="139" t="inlineStr">
        <is>
          <t>8. Research</t>
        </is>
      </c>
      <c r="C534" s="139" t="inlineStr">
        <is>
          <t>State how a recommendation would be evaluated</t>
        </is>
      </c>
      <c r="D534" s="139" t="inlineStr">
        <is>
          <t>Block 2 · Defining failure</t>
        </is>
      </c>
      <c r="E534" s="223" t="inlineStr">
        <is>
          <t>Say what would count as no progress</t>
        </is>
      </c>
      <c r="F534" s="139" t="inlineStr">
        <is>
          <t>PSI Code 2.3.2</t>
        </is>
      </c>
      <c r="G534" s="227" t="inlineStr">
        <is>
          <t>Without a threshold set in advance, any result can be read as 'some progress' and an intervention that is not working carries on for a year. PSI Code 2.3.2 is mapped here. CBM practice uses a goal line and a decision rule (for example, several consecutive data points below the line prompts a change — check the rule in the CBM source you use, e.g. Deno, 2003, before quoting a number). Goal attainment scaling (Kiresuk &amp; Sherman, 1968) sets the expected outcome and the levels above and below it before the work begins. Either way, the point is agreeing what failure looks like before you see the data.</t>
        </is>
      </c>
      <c r="H534" s="165" t="inlineStr">
        <is>
          <t>WATCH FOR — whether your supervisor agrees, at the planning meeting, what result would lead to a change of course, and how they phrase it so it does not sound like predicting failure.
WRITE DOWN — the thresholds you see used: a goal line on a CBM chart, a GAS scale with a defined expected level, a frequency target, or a plain 'if X has not happened by the review, we will try Y'.
ASK AFTERWARDS — 'how do you decide the bar for "not working" without setting it so low that everything passes?'</t>
        </is>
      </c>
      <c r="I534" s="165" t="inlineStr">
        <is>
          <t>YOU TAKE — drafting the threshold for each recommendation from the baseline and the evidence: the expected level, and the level below which the plan changes.
THEY HOLD — whether the threshold is realistic for this child, and what the next step would be if it is not met.
WHY THAT SPLIT — calculating a goal line or writing a scale is technical and yours. Judging how much change this child can realistically make, and what the fallback should be, draws on your supervisor's experience of similar cases.</t>
        </is>
      </c>
      <c r="J534" s="165" t="inlineStr">
        <is>
          <t>YOU RUN IT — every Cavan recommendation says what would count as no or insufficient progress by the review, and what would happen then.
WHAT THEY ARE WATCHING FOR — no threshold at all; a threshold so low any change passes; a threshold set after the data came in; no stated next step if progress is insufficient.
STEPPING IN LOOKS LIKE — 'if at review he's reading five more words a minute than at baseline, is that working or not? Decide now.'</t>
        </is>
      </c>
      <c r="K534" s="207" t="inlineStr">
        <is>
          <t>YOU DO IT ALONE — each recommendation names, before it starts, the result that would count as no or insufficient progress and the action that would follow, based on the baseline.
PASS TEST — A threshold for changing course
EVIDENCE TO FILE — the evaluation line with its threshold in the report, and any GAS scale or goal-line chart on the case file. Log against 8. Research and 3. Intervention.
WHAT FAILURE LOOKS LIKE — at review the child has barely moved, the school says 'he's getting there', and the intervention continues unchanged for another term.</t>
        </is>
      </c>
      <c r="L534" s="165" t="inlineStr">
        <is>
          <t>YOU CAN TEACH IT — you can explain why the threshold is set before seeing the data, how a goal line or a GAS scale works, and why a clear 'change course' point protects the child's time. Read Kiresuk and Sherman (1968) and a CBM decision-rule source before teaching the detail.
WHEN IT GOES WRONG — the threshold proves unrealistic in either direction. Record that, reset it with the school using the data you now have, and note what you learned for setting the next one.</t>
        </is>
      </c>
      <c r="M534" s="224" t="inlineStr">
        <is>
          <t>Leaving 'no progress' undefined so that any result can be read as success and nothing ever changes.</t>
        </is>
      </c>
      <c r="N534" s="165" t="inlineStr">
        <is>
          <t>→ Feeds into 'Follow up whether anyone acted on it', 3. Intervention, and single-case evaluation as Research evidence.</t>
        </is>
      </c>
      <c r="O534" s="225" t="inlineStr">
        <is>
          <t>Not started</t>
        </is>
      </c>
      <c r="P534" s="165" t="inlineStr">
        <is>
          <t>WATCH FOR — whether your supervisor agrees, at the planning meeting, what result would lead to a change of course, and how they phrase it so it does not sound like predicting failure.</t>
        </is>
      </c>
      <c r="Q534" s="139" t="inlineStr">
        <is>
          <t>Year 1</t>
        </is>
      </c>
      <c r="R534" s="226" t="inlineStr">
        <is>
          <t>26/10/2026</t>
        </is>
      </c>
      <c r="S534" s="226" t="inlineStr">
        <is>
          <t>16/11/2026</t>
        </is>
      </c>
      <c r="T534" s="226" t="inlineStr">
        <is>
          <t>14/12/2026</t>
        </is>
      </c>
      <c r="U534" s="139" t="inlineStr">
        <is>
          <t>Report — evaluation line with threshold · GAS or goal-line chart on file · Log sheet tagged 8. Research and 3. Intervention</t>
        </is>
      </c>
    </row>
    <row r="535" outlineLevel="2" ht="43.5" customHeight="1" s="128">
      <c r="A535" s="220" t="inlineStr">
        <is>
          <t>BLOCK</t>
        </is>
      </c>
      <c r="B535" s="220" t="inlineStr">
        <is>
          <t>8. Research</t>
        </is>
      </c>
      <c r="C535" s="220" t="inlineStr">
        <is>
          <t>State how a recommendation would be evaluated</t>
        </is>
      </c>
      <c r="D535" s="221" t="inlineStr">
        <is>
          <t>Block 3 · Closing the loop</t>
        </is>
      </c>
      <c r="E535" s="222" t="inlineStr">
        <is>
          <t>Actually asking what happened.</t>
        </is>
      </c>
      <c r="F535" s="220" t="inlineStr">
        <is>
          <t>15 minutes per case · Ongoing all year</t>
        </is>
      </c>
      <c r="G535" s="220" t="n"/>
      <c r="H535" s="220" t="n"/>
      <c r="I535" s="220" t="n"/>
      <c r="J535" s="220" t="n"/>
      <c r="K535" s="220" t="n"/>
      <c r="L535" s="220" t="n"/>
      <c r="M535" s="222" t="n"/>
      <c r="N535" s="220" t="n"/>
      <c r="O535" s="220" t="n"/>
      <c r="P535" s="220" t="inlineStr">
        <is>
          <t>How you build it: Diary the review date. Ask. Record the answer.</t>
        </is>
      </c>
      <c r="Q535" s="220" t="n"/>
      <c r="R535" s="220" t="n"/>
      <c r="S535" s="220" t="n"/>
      <c r="T535" s="220" t="n"/>
      <c r="U535" s="220" t="n"/>
    </row>
    <row r="536" outlineLevel="2" ht="120" customHeight="1" s="128">
      <c r="A536" s="139" t="inlineStr">
        <is>
          <t>MICRO-SKILL</t>
        </is>
      </c>
      <c r="B536" s="139" t="inlineStr">
        <is>
          <t>8. Research</t>
        </is>
      </c>
      <c r="C536" s="139" t="inlineStr">
        <is>
          <t>State how a recommendation would be evaluated</t>
        </is>
      </c>
      <c r="D536" s="139" t="inlineStr">
        <is>
          <t>Block 3 · Closing the loop</t>
        </is>
      </c>
      <c r="E536" s="223" t="inlineStr">
        <is>
          <t>Follow up whether anyone acted on it</t>
        </is>
      </c>
      <c r="F536" s="139" t="inlineStr">
        <is>
          <t>CORU SoP 3.9 · PSI Code 3.1.2</t>
        </is>
      </c>
      <c r="G536" s="227" t="inlineStr">
        <is>
          <t>The Reference sheet's error list ends with 'never going back to look'. CORU SoP 3.9 (monitoring and auditing your own practice) and PSI Code 3.1.2 (monitoring and recording the effect of what you do) are mapped here. Implementation research shows that a recommendation is not the same as its delivery (Fixsen et al., 2005). A recommendation reviewed and revised is worth more in the portfolio than three delivered and abandoned, and following up is the only way you learn whether your formulations are any good.</t>
        </is>
      </c>
      <c r="H536" s="165" t="inlineStr">
        <is>
          <t>WATCH FOR — how and when your supervisor checks back with a school after a report: a phone call, an item at the next planning meeting, a review visit. Notice what they ask: was it started, was it delivered as planned, what did the data show.
WRITE DOWN — the service's routine for follow-up (if there is one), how it is recorded on the file, and how the result feeds into the next planning meeting.
ASK AFTERWARDS — 'what do you usually find when you go back, and what have you changed in your recommendations because of it?'</t>
        </is>
      </c>
      <c r="I536" s="165" t="inlineStr">
        <is>
          <t>YOU TAKE — keeping a follow-up list of every recommendation you have made in Cavan, with its review date, and making the contact on time.
THEY HOLD — what happens if a school has not acted, particularly where a child's needs are serious, and any conversation with the principal about it.
WHY THAT SPLIT — tracking your own recommendations is plainly your job. A school that has not delivered may have reasons the service needs to handle within its wider relationship with that school.</t>
        </is>
      </c>
      <c r="J536" s="165" t="inlineStr">
        <is>
          <t>YOU RUN IT — before the end of the placement, follow up each recommendation you can: was it started, delivered as planned, measured, and what did the measure show against the threshold?
WHAT THEY ARE WATCHING FOR — follow-up that asks only 'how is he getting on?'; no check on whether the recommendation was delivered; data collected but not compared with the baseline or threshold; no revision when it did not work.
STEPPING IN LOOKS LIKE — 'before you ask whether it worked, did you ask whether it happened?'</t>
        </is>
      </c>
      <c r="K536" s="207" t="inlineStr">
        <is>
          <t>YOU DO IT ALONE — you contact the named person at the review point, ask whether the recommendation was delivered and measured, compare the data with baseline and threshold, record the result and revise the plan. For reviews after 18/12/2026 you hand the list on.
PASS TEST — You asked afterwards
EVIDENCE TO FILE — the follow-up note on the case file, and a summary in the Appendix 5 entry if the result is written up as practice-based research (for example as an AB single-case evaluation, Kazdin, 2011). Log against 8. Research and 3. Intervention.
WHAT FAILURE LOOKS LIKE — you leave Cavan with a stack of reports and no idea whether any recommendation was acted on.</t>
        </is>
      </c>
      <c r="L536" s="165" t="inlineStr">
        <is>
          <t>YOU CAN TEACH IT — you can explain the difference between 'was it done' (implementation) and 'did it work' (outcome), why both must be checked, and how a follow-up result becomes a small single-case evaluation that evidences the Research competency.
WHEN IT GOES WRONG — you find nothing was done. Do not blame the school in the note; record what happened, find out why (time, training, staffing, disagreement with the recommendation), and bring it to supervision so the next recommendation is one the school can deliver.</t>
        </is>
      </c>
      <c r="M536" s="224" t="inlineStr">
        <is>
          <t>Never going back to check whether a recommendation was delivered or worked.</t>
        </is>
      </c>
      <c r="N536" s="165" t="inlineStr">
        <is>
          <t>→ Feeds into 3. Intervention, 2. Formulation (testing whether the formulation held), and 8. Research through single-case evaluation.</t>
        </is>
      </c>
      <c r="O536" s="225" t="inlineStr">
        <is>
          <t>Not started</t>
        </is>
      </c>
      <c r="P536" s="165" t="inlineStr">
        <is>
          <t>WATCH FOR — how and when your supervisor checks back with a school after a report: a phone call, an item at the next planning meeting, a review visit. Notice what they ask: was it started, was it delivered as planned, what did the data show.</t>
        </is>
      </c>
      <c r="Q536" s="139" t="inlineStr">
        <is>
          <t>Year 1</t>
        </is>
      </c>
      <c r="R536" s="226" t="inlineStr">
        <is>
          <t>26/10/2026</t>
        </is>
      </c>
      <c r="S536" s="226" t="inlineStr">
        <is>
          <t>16/11/2026</t>
        </is>
      </c>
      <c r="T536" s="226" t="inlineStr">
        <is>
          <t>14/12/2026</t>
        </is>
      </c>
      <c r="U536" s="139" t="inlineStr">
        <is>
          <t>Follow-up note on case file · Appendix 5 · Log sheet tagged 8. Research and 3. Intervention</t>
        </is>
      </c>
    </row>
  </sheetData>
  <dataValidations count="1">
    <dataValidation sqref="O6:O8 O10:O12 O14:O16 O18:O19 O22:O27 O29:O31 O33:O35 O38:O40 O42:O45 O48:O49 O51:O54 O56:O61 O63:O68 O71 O73 O75:O77 O79:O80 O83:O85 O87:O89 O92:O93 O95:O97 O99:O100 O103:O104 O106:O107 O109 O112:O113 O115:O116 O118:O119 O122:O123 O125:O127 O131:O133 O135:O136 O139:O141 O143:O144 O147:O148 O150:O151 O153 O156:O157 O159:O161 O164:O165 O167 O169 O172 O174:O176 O178 O182:O183 O185:O186 O188:O189 O192:O193 O195:O196 O199 O201:O202 O204:O205 O208:O210 O212:O213 O215 O218:O219 O221:O223 O225:O227 O230:O232 O234:O235 O237:O241 O244:O245 O247:O248 O250:O251 O255:O256 O258 O260 O263 O265:O266 O268 O271 O273:O274 O276 O279:O280 O282:O283 O286 O288 O290:O291 O294 O296:O297 O299 O303:O304 O306:O308 O310 O313 O315 O317:O318 O321:O322 O324:O325 O327:O328 O331:O332 O334:O335 O337:O338 O341:O342 O344:O347 O349:O350 O353 O355:O357 O361:O362 O364:O365 O368 O370:O371 O373:O374 O377:O378 O380 O382:O384 O386:O387 O390 O392:O393 O395:O397 O400:O402 O404:O406 O408:O409 O412 O414:O415 O417:O418 O421 O423 O425:O426 O428:O429 O433:O434 O436:O439 O442:O444 O447:O449 O451 O454:O456 O458 O460 O463 O465:O467 O470 O472 O474:O475 O478:O479 O481:O482 O485 O487:O488 O490 O493:O494 O496:O497 O499 O502 O504:O505 O507:O508 O512:O514 O516 O518:O519 O522:O523 O525 O527 O530:O532 O534 O536" showDropDown="0" showInputMessage="0" showErrorMessage="0" allowBlank="1" type="list" errorStyle="stop" operator="between">
      <formula1>"1 · Watch,2 · Do alongside,3 · Lead supervised,4 · Lead discuss after,5 · Lead and teach,Not started"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tabColor rgb="FFC0392B"/>
    <outlinePr summaryBelow="1" summaryRight="1"/>
    <pageSetUpPr fitToPage="0"/>
  </sheetPr>
  <dimension ref="A1:O123"/>
  <sheetViews>
    <sheetView showFormulas="0" showGridLines="1" showRowColHeaders="1" showZeros="1" rightToLeft="0" tabSelected="0" showOutlineSymbols="1" defaultGridColor="1" view="normal" topLeftCell="A1" colorId="64" zoomScale="100" zoomScaleNormal="100" zoomScalePageLayoutView="100" workbookViewId="0">
      <pane xSplit="6" ySplit="1" topLeftCell="G2" activePane="bottomRight" state="frozen"/>
      <selection pane="topLeft" activeCell="A1" activeCellId="0" sqref="A1"/>
      <selection pane="topRight" activeCell="G1" activeCellId="0" sqref="G1"/>
      <selection pane="bottomLeft" activeCell="A2" activeCellId="0" sqref="A2"/>
      <selection pane="bottomRight" activeCell="A1" activeCellId="0" sqref="A1"/>
    </sheetView>
  </sheetViews>
  <sheetFormatPr baseColWidth="8" defaultColWidth="8.6796875" defaultRowHeight="15" zeroHeight="0" outlineLevelRow="0"/>
  <cols>
    <col width="9" customWidth="1" style="127" min="1" max="1"/>
    <col width="14" customWidth="1" style="127" min="2" max="2"/>
    <col width="8" customWidth="1" style="127" min="3" max="3"/>
    <col width="7" customWidth="1" style="127" min="4" max="4"/>
    <col width="12" customWidth="1" style="127" min="5" max="5"/>
    <col width="26" customWidth="1" style="127" min="6" max="6"/>
    <col width="54" customWidth="1" style="127" min="7" max="7"/>
    <col width="14" customWidth="1" style="127" min="8" max="8"/>
    <col width="26" customWidth="1" style="127" min="9" max="9"/>
    <col width="18" customWidth="1" style="127" min="10" max="10"/>
    <col width="26" customWidth="1" style="127" min="11" max="11"/>
    <col width="66" customWidth="1" style="127" min="12" max="12"/>
    <col width="52" customWidth="1" style="127" min="13" max="13"/>
    <col width="46" customWidth="1" style="127" min="14" max="14"/>
    <col width="70" customWidth="1" style="127" min="15" max="15"/>
  </cols>
  <sheetData>
    <row r="1" ht="23.25" customHeight="1" s="128">
      <c r="A1" s="129" t="inlineStr">
        <is>
          <t>Level</t>
        </is>
      </c>
      <c r="B1" s="129" t="inlineStr">
        <is>
          <t>Appendix</t>
        </is>
      </c>
      <c r="C1" s="129" t="inlineStr">
        <is>
          <t>Week</t>
        </is>
      </c>
      <c r="D1" s="129" t="inlineStr">
        <is>
          <t>Day</t>
        </is>
      </c>
      <c r="E1" s="129" t="inlineStr">
        <is>
          <t>Date</t>
        </is>
      </c>
      <c r="F1" s="129" t="inlineStr">
        <is>
          <t>Site / setting</t>
        </is>
      </c>
      <c r="G1" s="129" t="inlineStr">
        <is>
          <t>WHAT WAS RECORDED  (the actual entry)</t>
        </is>
      </c>
      <c r="H1" s="129" t="inlineStr">
        <is>
          <t>Status</t>
        </is>
      </c>
      <c r="I1" s="129" t="inlineStr">
        <is>
          <t>UCD competency this evidenced</t>
        </is>
      </c>
      <c r="J1" s="129" t="inlineStr">
        <is>
          <t>Age band</t>
        </is>
      </c>
      <c r="K1" s="129" t="inlineStr">
        <is>
          <t>Where the evidence goes</t>
        </is>
      </c>
      <c r="L1" s="228" t="inlineStr">
        <is>
          <t>LEARNING ONLY — what a fully worked version of this day would have contained</t>
        </is>
      </c>
      <c r="M1" s="228" t="inlineStr">
        <is>
          <t>LEARNING ONLY — the order it should have been done in</t>
        </is>
      </c>
      <c r="N1" s="228" t="inlineStr">
        <is>
          <t>LEARNING ONLY — what was most likely missing</t>
        </is>
      </c>
      <c r="O1" s="228" t="inlineStr">
        <is>
          <t>LEARNING ONLY — weekly reflection scaffold</t>
        </is>
      </c>
    </row>
    <row r="2" ht="30" customHeight="1" s="128">
      <c r="A2" s="173" t="inlineStr">
        <is>
          <t>APPENDIX 4</t>
        </is>
      </c>
      <c r="B2" s="173" t="inlineStr">
        <is>
          <t>RECORD OF PLACEMENT DAYS</t>
        </is>
      </c>
      <c r="C2" s="173" t="n"/>
      <c r="D2" s="173" t="n"/>
      <c r="E2" s="173" t="n"/>
      <c r="F2" s="173" t="n"/>
      <c r="G2" s="173" t="inlineStr">
        <is>
          <t>The white columns are the record as it stands (84 days, 03/02/2026 – 09/07/2026). The RED columns are a learning companion only — they are NOT part of the appendix and must never be copied into the submitted document.</t>
        </is>
      </c>
      <c r="H2" s="173" t="n"/>
      <c r="I2" s="173" t="n"/>
      <c r="J2" s="173" t="n"/>
      <c r="K2" s="173" t="n"/>
      <c r="L2" s="173" t="n"/>
      <c r="M2" s="173" t="n"/>
      <c r="N2" s="173" t="n"/>
      <c r="O2" s="173" t="n"/>
    </row>
    <row r="3" ht="150" customHeight="1" s="128">
      <c r="A3" s="139" t="inlineStr">
        <is>
          <t>DAY</t>
        </is>
      </c>
      <c r="B3" s="139" t="inlineStr">
        <is>
          <t>Appendix 4</t>
        </is>
      </c>
      <c r="C3" s="139" t="inlineStr">
        <is>
          <t>Wk 6</t>
        </is>
      </c>
      <c r="D3" s="229" t="n">
        <v>1</v>
      </c>
      <c r="E3" s="229" t="inlineStr">
        <is>
          <t>03/02/2026</t>
        </is>
      </c>
      <c r="F3" s="165" t="inlineStr">
        <is>
          <t>NEPS Head Office, Dublin</t>
        </is>
      </c>
      <c r="G3" s="165" t="inlineStr">
        <is>
          <t>NEPS induction day. IT set-up. Expenses and service protocol briefing. 10:00-16:00</t>
        </is>
      </c>
      <c r="H3" s="139" t="inlineStr">
        <is>
          <t>Recorded</t>
        </is>
      </c>
      <c r="I3" s="139" t="inlineStr">
        <is>
          <t>6. Ethical Practice</t>
        </is>
      </c>
      <c r="J3" s="139" t="inlineStr">
        <is>
          <t>School Age</t>
        </is>
      </c>
      <c r="K3" s="139" t="inlineStr">
        <is>
          <t>Appendix 4 · Log sheet · Appendix 5 where a case · Appendix 7 where observed</t>
        </is>
      </c>
      <c r="L3" s="224" t="inlineStr">
        <is>
          <t>▸  Read the protocols themselves rather than being briefed on them — lone working, risk, child protection.
▸  Get the DLP name for every school on the caseload, written down.
▸  Write a one-page induction note: systems, key names, referral pathway, protocols and where they live.
▸  Confirm vetting and Children First certificate are on file and in the portfolio.
▸  Agree the supervision contract in week one — day, time, cover, observation dates — and sign it.</t>
        </is>
      </c>
      <c r="M3" s="224" t="inlineStr">
        <is>
          <t>Standard order for a non-case day:
1. Do the activity
2. Log it the same evening against a referral area AND a competency
3. Note in one line how it developed the skill
4. Check whether it belongs in Appendix 5, 7 or Table 3</t>
        </is>
      </c>
      <c r="N3" s="224" t="inlineStr">
        <is>
          <t>—</t>
        </is>
      </c>
    </row>
    <row r="4" ht="150" customHeight="1" s="128">
      <c r="A4" s="139" t="inlineStr">
        <is>
          <t>DAY</t>
        </is>
      </c>
      <c r="B4" s="139" t="inlineStr">
        <is>
          <t>Appendix 4</t>
        </is>
      </c>
      <c r="C4" s="139" t="inlineStr">
        <is>
          <t>Wk 6</t>
        </is>
      </c>
      <c r="D4" s="229" t="n">
        <v>2</v>
      </c>
      <c r="E4" s="229" t="inlineStr">
        <is>
          <t>04/02/2026</t>
        </is>
      </c>
      <c r="F4" s="165" t="inlineStr">
        <is>
          <t>Lisacul NS</t>
        </is>
      </c>
      <c r="G4" s="165" t="inlineStr">
        <is>
          <t>Shadowed supervisor: parent interview, pupil interview, WISC-V and WIAT-III administration observed, parent feedback meeting. Supervision 16:00-17:00</t>
        </is>
      </c>
      <c r="H4" s="139" t="inlineStr">
        <is>
          <t>Recorded</t>
        </is>
      </c>
      <c r="I4" s="139" t="inlineStr">
        <is>
          <t>1. Assessment · 3. Intervention · 4. Systemic Change · 5. Working with Others · 7. Supervision</t>
        </is>
      </c>
      <c r="J4" s="139" t="inlineStr">
        <is>
          <t>School Age</t>
        </is>
      </c>
      <c r="K4" s="139" t="inlineStr">
        <is>
          <t>Appendix 4 · Log sheet · Appendix 5 where a case · Appendix 7 where observed</t>
        </is>
      </c>
      <c r="L4" s="224" t="inlineStr">
        <is>
          <t>▸  Before: re-read the referral question. Confirm which subtests answer it rather than administering the full battery.
▸  Before: check vision and hearing history. Never assess cognition behind an unchecked hearing history.
▸  During: record behaviour as you go — self-corrections, fatigue point, strategy use. That goes in the report.
▸  During: if you deviate from standard administration, record what you did and why in the moment.
▸  After: score the same day. Check every raw-to-standard conversion twice.
▸  After: if index scatter exceeds 23 points, report GAI rather than FSIQ and say why.
▸  After: write the limitations sentence — what this could NOT tell you about this child.</t>
        </is>
      </c>
      <c r="M4" s="224" t="inlineStr">
        <is>
          <t>1. Referral question re-read
2. Records and previous reports read
3. Parent developmental history
4. School consultation and observation
5. Direct assessment
6. Scoring, same day
7. Formulation using a named framework
8. Feedback to parent, then school
9. Report
10. Recommendations with review date
11. Log and appendices the same week</t>
        </is>
      </c>
      <c r="N4" s="224" t="inlineStr">
        <is>
          <t>—</t>
        </is>
      </c>
    </row>
    <row r="5" ht="150" customHeight="1" s="128">
      <c r="A5" s="230" t="inlineStr">
        <is>
          <t>DAY</t>
        </is>
      </c>
      <c r="B5" s="230" t="inlineStr">
        <is>
          <t>Appendix 4</t>
        </is>
      </c>
      <c r="C5" s="230" t="inlineStr">
        <is>
          <t>Wk 6</t>
        </is>
      </c>
      <c r="D5" s="205" t="inlineStr">
        <is>
          <t>P1</t>
        </is>
      </c>
      <c r="E5" s="205" t="inlineStr">
        <is>
          <t>05/02/2026</t>
        </is>
      </c>
      <c r="F5" s="207" t="inlineStr">
        <is>
          <t>Remote</t>
        </is>
      </c>
      <c r="G5" s="207" t="inlineStr">
        <is>
          <t>PENDING — preparation and case reading. Social Inclusion team meeting 14:30-15:30 (Teams)</t>
        </is>
      </c>
      <c r="H5" s="230" t="inlineStr">
        <is>
          <t>PENDING — unconfirmed</t>
        </is>
      </c>
      <c r="I5" s="230" t="inlineStr">
        <is>
          <t>4. Systemic Change · 8. Research</t>
        </is>
      </c>
      <c r="J5" s="230" t="inlineStr">
        <is>
          <t>School Age</t>
        </is>
      </c>
      <c r="K5" s="230" t="inlineStr">
        <is>
          <t>Appendix 4 · Log sheet · Appendix 5 where a case · Appendix 7 where observed</t>
        </is>
      </c>
      <c r="L5" s="224" t="inlineStr">
        <is>
          <t>▸  Before: have the cognitive result in front of you. Attainment is only meaningful against an expectation.
▸  Before: establish what has actually been taught. You cannot identify difficulty "despite appropriate instruction" without it.
▸  During: mark Oral Reading Fluency errors live while timing. It cannot be reconstructed afterwards.
▸  After: identify the impaired component — phonological, fluency, vocabulary or comprehension — before naming any programme.
▸  After: specify what, who, how often, for how long, and the monitoring measure.</t>
        </is>
      </c>
      <c r="M5" s="224" t="inlineStr">
        <is>
          <t>Standard order for a non-case day:
1. Do the activity
2. Log it the same evening against a referral area AND a competency
3. Note in one line how it developed the skill
4. Check whether it belongs in Appendix 5, 7 or Table 3</t>
        </is>
      </c>
      <c r="N5" s="224" t="inlineStr">
        <is>
          <t>—</t>
        </is>
      </c>
    </row>
    <row r="6" ht="150" customHeight="1" s="128">
      <c r="A6" s="139" t="inlineStr">
        <is>
          <t>DAY</t>
        </is>
      </c>
      <c r="B6" s="139" t="inlineStr">
        <is>
          <t>Appendix 4</t>
        </is>
      </c>
      <c r="C6" s="139" t="inlineStr">
        <is>
          <t>Wk 6</t>
        </is>
      </c>
      <c r="D6" s="229" t="n">
        <v>3</v>
      </c>
      <c r="E6" s="229" t="inlineStr">
        <is>
          <t>06/02/2026</t>
        </is>
      </c>
      <c r="F6" s="165" t="inlineStr">
        <is>
          <t>Lisacul NS</t>
        </is>
      </c>
      <c r="G6" s="165" t="inlineStr">
        <is>
          <t>Shadowed supervisor day 2: WISC-V, WIAT-III, parent interview. Supervision 15:00-17:00</t>
        </is>
      </c>
      <c r="H6" s="139" t="inlineStr">
        <is>
          <t>Recorded</t>
        </is>
      </c>
      <c r="I6" s="139" t="inlineStr">
        <is>
          <t>1. Assessment · 5. Working with Others · 7. Supervision</t>
        </is>
      </c>
      <c r="J6" s="139" t="inlineStr">
        <is>
          <t>School Age</t>
        </is>
      </c>
      <c r="K6" s="139" t="inlineStr">
        <is>
          <t>Appendix 4 · Log sheet · Appendix 5 where a case · Appendix 7 where observed</t>
        </is>
      </c>
      <c r="L6" s="224" t="inlineStr">
        <is>
          <t>▸  Before: re-read the referral question. Confirm which subtests answer it rather than administering the full battery.
▸  Before: check vision and hearing history. Never assess cognition behind an unchecked hearing history.
▸  During: record behaviour as you go — self-corrections, fatigue point, strategy use. That goes in the report.
▸  During: if you deviate from standard administration, record what you did and why in the moment.
▸  After: score the same day. Check every raw-to-standard conversion twice.
▸  After: if index scatter exceeds 23 points, report GAI rather than FSIQ and say why.
▸  After: write the limitations sentence — what this could NOT tell you about this child.</t>
        </is>
      </c>
      <c r="M6" s="224" t="inlineStr">
        <is>
          <t>1. Referral question re-read
2. Records and previous reports read
3. Parent developmental history
4. School consultation and observation
5. Direct assessment
6. Scoring, same day
7. Formulation using a named framework
8. Feedback to parent, then school
9. Report
10. Recommendations with review date
11. Log and appendices the same week</t>
        </is>
      </c>
      <c r="N6" s="224" t="inlineStr">
        <is>
          <t>—</t>
        </is>
      </c>
    </row>
    <row r="7" ht="300" customHeight="1" s="128">
      <c r="A7" s="231" t="inlineStr">
        <is>
          <t>REFLECTION</t>
        </is>
      </c>
      <c r="B7" s="231" t="inlineStr">
        <is>
          <t>Weekly</t>
        </is>
      </c>
      <c r="C7" s="231" t="inlineStr">
        <is>
          <t>Wk 6</t>
        </is>
      </c>
      <c r="D7" s="231" t="n"/>
      <c r="E7" s="231" t="n"/>
      <c r="F7" s="231" t="n"/>
      <c r="G7" s="231" t="inlineStr">
        <is>
          <t>END OF WEEK — complete the reflection in column O before the week closes.</t>
        </is>
      </c>
      <c r="H7" s="231" t="n"/>
      <c r="I7" s="231" t="n"/>
      <c r="J7" s="231" t="n"/>
      <c r="K7" s="231" t="n"/>
      <c r="O7" s="224" t="inlineStr">
        <is>
          <t>TITLE:  ______________________________________________
     (name the week in six words — e.g. "The week the hearing history changed everything")
SUBTITLE:  ____________________________________________
     (the competency this week most developed)
AREAS TO FOCUS ON — tick what applies, then write about ONE:
▸  A decision I made and the reasoning behind it
▸  Something I did not know I did not know
▸  A moment I was uncertain and what I did with it
▸  Feedback I received and what I did about it
▸  Something I avoided asking, and why
▸  Where my own assumptions shaped what I looked for (CORU 5.44)
▸  My own response to the work — energy, pace, what it cost (CORU 5.45)
▸  What I would do differently, specifically
REFLECTION (one paragraph, your own words):
     Shape that works — here is what happened · here is what I noticed in myself ·
     here is what I did about it · here is how my practice differs now.
     Use a dated, specific example. Assertions like "I grew in confidence" evidence nothing.
_____________________________________________________________________
_____________________________________________________________________
_____________________________________________________________________
NOTE: this is yours to write. A reflection written by anyone else is not a reflection.</t>
        </is>
      </c>
    </row>
    <row r="8" ht="150" customHeight="1" s="128">
      <c r="A8" s="139" t="inlineStr">
        <is>
          <t>DAY</t>
        </is>
      </c>
      <c r="B8" s="139" t="inlineStr">
        <is>
          <t>Appendix 4</t>
        </is>
      </c>
      <c r="C8" s="139" t="inlineStr">
        <is>
          <t>Wk 7</t>
        </is>
      </c>
      <c r="D8" s="229" t="n">
        <v>4</v>
      </c>
      <c r="E8" s="229" t="inlineStr">
        <is>
          <t>09/02/2026</t>
        </is>
      </c>
      <c r="F8" s="165" t="inlineStr">
        <is>
          <t>St Coman's Wood PS</t>
        </is>
      </c>
      <c r="G8" s="165" t="inlineStr">
        <is>
          <t>Shadowed colleague: case file review, parent interview, formulation discussion. NEPS Continuum of Support reading</t>
        </is>
      </c>
      <c r="H8" s="139" t="inlineStr">
        <is>
          <t>Recorded</t>
        </is>
      </c>
      <c r="I8" s="139" t="inlineStr">
        <is>
          <t>2. Formulation · 5. Working with Others · 7. Supervision · 8. Research</t>
        </is>
      </c>
      <c r="J8" s="139" t="inlineStr">
        <is>
          <t>School Age</t>
        </is>
      </c>
      <c r="K8" s="139" t="inlineStr">
        <is>
          <t>Appendix 4 · Log sheet · Appendix 5 where a case · Appendix 7 where observed</t>
        </is>
      </c>
      <c r="L8" s="224" t="inlineStr">
        <is>
          <t>▸  Before: have the cognitive result in front of you. Attainment is only meaningful against an expectation.
▸  Before: establish what has actually been taught. You cannot identify difficulty "despite appropriate instruction" without it.
▸  During: mark Oral Reading Fluency errors live while timing. It cannot be reconstructed afterwards.
▸  After: identify the impaired component — phonological, fluency, vocabulary or comprehension — before naming any programme.
▸  After: specify what, who, how often, for how long, and the monitoring measure.</t>
        </is>
      </c>
      <c r="M8" s="224" t="inlineStr">
        <is>
          <t>1. Referral question re-read
2. Records and previous reports read
3. Parent developmental history
4. School consultation and observation
5. Direct assessment
6. Scoring, same day
7. Formulation using a named framework
8. Feedback to parent, then school
9. Report
10. Recommendations with review date
11. Log and appendices the same week</t>
        </is>
      </c>
      <c r="N8" s="224" t="inlineStr">
        <is>
          <t>—</t>
        </is>
      </c>
    </row>
    <row r="9" ht="150" customHeight="1" s="128">
      <c r="A9" s="139" t="inlineStr">
        <is>
          <t>DAY</t>
        </is>
      </c>
      <c r="B9" s="139" t="inlineStr">
        <is>
          <t>Appendix 4</t>
        </is>
      </c>
      <c r="C9" s="139" t="inlineStr">
        <is>
          <t>Wk 7</t>
        </is>
      </c>
      <c r="D9" s="229" t="n">
        <v>5</v>
      </c>
      <c r="E9" s="229" t="inlineStr">
        <is>
          <t>10/02/2026</t>
        </is>
      </c>
      <c r="F9" s="165" t="inlineStr">
        <is>
          <t>Cloonakilla NS, Athlone</t>
        </is>
      </c>
      <c r="G9" s="165" t="inlineStr">
        <is>
          <t>Shadowed colleague: WISC-V, WIAT-III, parent interview. Social Inclusion meeting 14:00-15:00</t>
        </is>
      </c>
      <c r="H9" s="139" t="inlineStr">
        <is>
          <t>Recorded</t>
        </is>
      </c>
      <c r="I9" s="139" t="inlineStr">
        <is>
          <t>1. Assessment · 4. Systemic Change · 5. Working with Others</t>
        </is>
      </c>
      <c r="J9" s="139" t="inlineStr">
        <is>
          <t>School Age</t>
        </is>
      </c>
      <c r="K9" s="139" t="inlineStr">
        <is>
          <t>Appendix 4 · Log sheet · Appendix 5 where a case · Appendix 7 where observed</t>
        </is>
      </c>
      <c r="L9" s="224" t="inlineStr">
        <is>
          <t>▸  Before: re-read the referral question. Confirm which subtests answer it rather than administering the full battery.
▸  Before: check vision and hearing history. Never assess cognition behind an unchecked hearing history.
▸  During: record behaviour as you go — self-corrections, fatigue point, strategy use. That goes in the report.
▸  During: if you deviate from standard administration, record what you did and why in the moment.
▸  After: score the same day. Check every raw-to-standard conversion twice.
▸  After: if index scatter exceeds 23 points, report GAI rather than FSIQ and say why.
▸  After: write the limitations sentence — what this could NOT tell you about this child.</t>
        </is>
      </c>
      <c r="M9" s="224" t="inlineStr">
        <is>
          <t>1. Referral question re-read
2. Records and previous reports read
3. Parent developmental history
4. School consultation and observation
5. Direct assessment
6. Scoring, same day
7. Formulation using a named framework
8. Feedback to parent, then school
9. Report
10. Recommendations with review date
11. Log and appendices the same week</t>
        </is>
      </c>
      <c r="N9" s="224" t="inlineStr">
        <is>
          <t>—</t>
        </is>
      </c>
    </row>
    <row r="10" ht="150" customHeight="1" s="128">
      <c r="A10" s="139" t="inlineStr">
        <is>
          <t>DAY</t>
        </is>
      </c>
      <c r="B10" s="139" t="inlineStr">
        <is>
          <t>Appendix 4</t>
        </is>
      </c>
      <c r="C10" s="139" t="inlineStr">
        <is>
          <t>Wk 7</t>
        </is>
      </c>
      <c r="D10" s="229" t="n">
        <v>6</v>
      </c>
      <c r="E10" s="229" t="inlineStr">
        <is>
          <t>11/02/2026</t>
        </is>
      </c>
      <c r="F10" s="165" t="inlineStr">
        <is>
          <t>Scoil Mhuire (Newtown NS)</t>
        </is>
      </c>
      <c r="G10" s="165" t="inlineStr">
        <is>
          <t>Shadowed colleague: WISC-V, WIAT-III administration and scoring, parent interview</t>
        </is>
      </c>
      <c r="H10" s="139" t="inlineStr">
        <is>
          <t>Recorded</t>
        </is>
      </c>
      <c r="I10" s="139" t="inlineStr">
        <is>
          <t>1. Assessment · 5. Working with Others</t>
        </is>
      </c>
      <c r="J10" s="139" t="inlineStr">
        <is>
          <t>School Age</t>
        </is>
      </c>
      <c r="K10" s="139" t="inlineStr">
        <is>
          <t>Appendix 4 · Log sheet · Appendix 5 where a case · Appendix 7 where observed</t>
        </is>
      </c>
      <c r="L10" s="224" t="inlineStr">
        <is>
          <t>▸  Before: re-read the referral question. Confirm which subtests answer it rather than administering the full battery.
▸  Before: check vision and hearing history. Never assess cognition behind an unchecked hearing history.
▸  During: record behaviour as you go — self-corrections, fatigue point, strategy use. That goes in the report.
▸  During: if you deviate from standard administration, record what you did and why in the moment.
▸  After: score the same day. Check every raw-to-standard conversion twice.
▸  After: if index scatter exceeds 23 points, report GAI rather than FSIQ and say why.
▸  After: write the limitations sentence — what this could NOT tell you about this child.</t>
        </is>
      </c>
      <c r="M10" s="224" t="inlineStr">
        <is>
          <t>1. Referral question re-read
2. Records and previous reports read
3. Parent developmental history
4. School consultation and observation
5. Direct assessment
6. Scoring, same day
7. Formulation using a named framework
8. Feedback to parent, then school
9. Report
10. Recommendations with review date
11. Log and appendices the same week</t>
        </is>
      </c>
      <c r="N10" s="224" t="inlineStr">
        <is>
          <t>—</t>
        </is>
      </c>
    </row>
    <row r="11" ht="150" customHeight="1" s="128">
      <c r="A11" s="139" t="inlineStr">
        <is>
          <t>DAY</t>
        </is>
      </c>
      <c r="B11" s="139" t="inlineStr">
        <is>
          <t>Appendix 4</t>
        </is>
      </c>
      <c r="C11" s="139" t="inlineStr">
        <is>
          <t>Wk 7</t>
        </is>
      </c>
      <c r="D11" s="229" t="n">
        <v>7</v>
      </c>
      <c r="E11" s="229" t="inlineStr">
        <is>
          <t>12/02/2026</t>
        </is>
      </c>
      <c r="F11" s="165" t="inlineStr">
        <is>
          <t>Remote</t>
        </is>
      </c>
      <c r="G11" s="165" t="inlineStr">
        <is>
          <t>WISC-V manual study: index score structure, ethical considerations in test use</t>
        </is>
      </c>
      <c r="H11" s="139" t="inlineStr">
        <is>
          <t>Recorded</t>
        </is>
      </c>
      <c r="I11" s="139" t="inlineStr">
        <is>
          <t>1. Assessment</t>
        </is>
      </c>
      <c r="J11" s="139" t="inlineStr">
        <is>
          <t>School Age</t>
        </is>
      </c>
      <c r="K11" s="139" t="inlineStr">
        <is>
          <t>Appendix 4 · Log sheet · Appendix 5 where a case · Appendix 7 where observed</t>
        </is>
      </c>
      <c r="L11" s="224" t="inlineStr">
        <is>
          <t>▸  Before: re-read the referral question. Confirm which subtests answer it rather than administering the full battery.
▸  Before: check vision and hearing history. Never assess cognition behind an unchecked hearing history.
▸  During: record behaviour as you go — self-corrections, fatigue point, strategy use. That goes in the report.
▸  During: if you deviate from standard administration, record what you did and why in the moment.
▸  After: score the same day. Check every raw-to-standard conversion twice.
▸  After: if index scatter exceeds 23 points, report GAI rather than FSIQ and say why.
▸  After: write the limitations sentence — what this could NOT tell you about this child.</t>
        </is>
      </c>
      <c r="M11" s="224" t="inlineStr">
        <is>
          <t>1. Referral question re-read
2. Records and previous reports read
3. Parent developmental history
4. School consultation and observation
5. Direct assessment
6. Scoring, same day
7. Formulation using a named framework
8. Feedback to parent, then school
9. Report
10. Recommendations with review date
11. Log and appendices the same week</t>
        </is>
      </c>
      <c r="N11" s="224" t="inlineStr">
        <is>
          <t>—</t>
        </is>
      </c>
    </row>
    <row r="12" ht="300" customHeight="1" s="128">
      <c r="A12" s="231" t="inlineStr">
        <is>
          <t>REFLECTION</t>
        </is>
      </c>
      <c r="B12" s="231" t="inlineStr">
        <is>
          <t>Weekly</t>
        </is>
      </c>
      <c r="C12" s="231" t="inlineStr">
        <is>
          <t>Wk 7</t>
        </is>
      </c>
      <c r="D12" s="231" t="n"/>
      <c r="E12" s="231" t="n"/>
      <c r="F12" s="231" t="n"/>
      <c r="G12" s="231" t="inlineStr">
        <is>
          <t>END OF WEEK — complete the reflection in column O before the week closes.</t>
        </is>
      </c>
      <c r="H12" s="231" t="n"/>
      <c r="I12" s="231" t="n"/>
      <c r="J12" s="231" t="n"/>
      <c r="K12" s="231" t="n"/>
      <c r="O12" s="224" t="inlineStr">
        <is>
          <t>TITLE:  ______________________________________________
     (name the week in six words — e.g. "The week the hearing history changed everything")
SUBTITLE:  ____________________________________________
     (the competency this week most developed)
AREAS TO FOCUS ON — tick what applies, then write about ONE:
▸  A decision I made and the reasoning behind it
▸  Something I did not know I did not know
▸  A moment I was uncertain and what I did with it
▸  Feedback I received and what I did about it
▸  Something I avoided asking, and why
▸  Where my own assumptions shaped what I looked for (CORU 5.44)
▸  My own response to the work — energy, pace, what it cost (CORU 5.45)
▸  What I would do differently, specifically
REFLECTION (one paragraph, your own words):
     Shape that works — here is what happened · here is what I noticed in myself ·
     here is what I did about it · here is how my practice differs now.
     Use a dated, specific example. Assertions like "I grew in confidence" evidence nothing.
_____________________________________________________________________
_____________________________________________________________________
_____________________________________________________________________
NOTE: this is yours to write. A reflection written by anyone else is not a reflection.</t>
        </is>
      </c>
    </row>
    <row r="13" ht="150" customHeight="1" s="128">
      <c r="A13" s="139" t="inlineStr">
        <is>
          <t>DAY</t>
        </is>
      </c>
      <c r="B13" s="139" t="inlineStr">
        <is>
          <t>Appendix 4</t>
        </is>
      </c>
      <c r="C13" s="139" t="inlineStr">
        <is>
          <t>Wk 8</t>
        </is>
      </c>
      <c r="D13" s="229" t="n">
        <v>8</v>
      </c>
      <c r="E13" s="229" t="inlineStr">
        <is>
          <t>16/02/2026</t>
        </is>
      </c>
      <c r="F13" s="165" t="inlineStr">
        <is>
          <t>Remote</t>
        </is>
      </c>
      <c r="G13" s="165" t="inlineStr">
        <is>
          <t>WISC-V script notes, standardised administration rules, subtest practice</t>
        </is>
      </c>
      <c r="H13" s="139" t="inlineStr">
        <is>
          <t>Recorded</t>
        </is>
      </c>
      <c r="I13" s="139" t="inlineStr">
        <is>
          <t>1. Assessment</t>
        </is>
      </c>
      <c r="J13" s="139" t="inlineStr">
        <is>
          <t>School Age</t>
        </is>
      </c>
      <c r="K13" s="139" t="inlineStr">
        <is>
          <t>Appendix 4 · Log sheet · Appendix 5 where a case · Appendix 7 where observed</t>
        </is>
      </c>
      <c r="L13" s="224" t="inlineStr">
        <is>
          <t>▸  Before: re-read the referral question. Confirm which subtests answer it rather than administering the full battery.
▸  Before: check vision and hearing history. Never assess cognition behind an unchecked hearing history.
▸  During: record behaviour as you go — self-corrections, fatigue point, strategy use. That goes in the report.
▸  During: if you deviate from standard administration, record what you did and why in the moment.
▸  After: score the same day. Check every raw-to-standard conversion twice.
▸  After: if index scatter exceeds 23 points, report GAI rather than FSIQ and say why.
▸  After: write the limitations sentence — what this could NOT tell you about this child.</t>
        </is>
      </c>
      <c r="M13" s="224" t="inlineStr">
        <is>
          <t>1. Referral question re-read
2. Records and previous reports read
3. Parent developmental history
4. School consultation and observation
5. Direct assessment
6. Scoring, same day
7. Formulation using a named framework
8. Feedback to parent, then school
9. Report
10. Recommendations with review date
11. Log and appendices the same week</t>
        </is>
      </c>
      <c r="N13" s="224" t="inlineStr">
        <is>
          <t>—</t>
        </is>
      </c>
    </row>
    <row r="14" ht="150" customHeight="1" s="128">
      <c r="A14" s="139" t="inlineStr">
        <is>
          <t>DAY</t>
        </is>
      </c>
      <c r="B14" s="139" t="inlineStr">
        <is>
          <t>Appendix 4</t>
        </is>
      </c>
      <c r="C14" s="139" t="inlineStr">
        <is>
          <t>Wk 8</t>
        </is>
      </c>
      <c r="D14" s="229" t="n">
        <v>9</v>
      </c>
      <c r="E14" s="229" t="inlineStr">
        <is>
          <t>17/02/2026</t>
        </is>
      </c>
      <c r="F14" s="165" t="inlineStr">
        <is>
          <t>S.N. Pol Naofa (St Paul's BNS)</t>
        </is>
      </c>
      <c r="G14" s="165" t="inlineStr">
        <is>
          <t>Observed WISC-V and WIAT-III, dyslexia query (CS25-05909); parent, teacher and student consultations. Whole-staff ADHD input to school</t>
        </is>
      </c>
      <c r="H14" s="139" t="inlineStr">
        <is>
          <t>Recorded</t>
        </is>
      </c>
      <c r="I14" s="139" t="inlineStr">
        <is>
          <t>1. Assessment · 3. Intervention · 5. Working with Others</t>
        </is>
      </c>
      <c r="J14" s="139" t="inlineStr">
        <is>
          <t>School Age</t>
        </is>
      </c>
      <c r="K14" s="139" t="inlineStr">
        <is>
          <t>Appendix 4 · Log sheet · Appendix 5 where a case · Appendix 7 where observed</t>
        </is>
      </c>
      <c r="L14" s="224" t="inlineStr">
        <is>
          <t>▸  Before: re-read the referral question. Confirm which subtests answer it rather than administering the full battery.
▸  Before: check vision and hearing history. Never assess cognition behind an unchecked hearing history.
▸  During: record behaviour as you go — self-corrections, fatigue point, strategy use. That goes in the report.
▸  During: if you deviate from standard administration, record what you did and why in the moment.
▸  After: score the same day. Check every raw-to-standard conversion twice.
▸  After: if index scatter exceeds 23 points, report GAI rather than FSIQ and say why.
▸  After: write the limitations sentence — what this could NOT tell you about this child.</t>
        </is>
      </c>
      <c r="M14" s="224" t="inlineStr">
        <is>
          <t>1. Referral question re-read
2. Records and previous reports read
3. Parent developmental history
4. School consultation and observation
5. Direct assessment
6. Scoring, same day
7. Formulation using a named framework
8. Feedback to parent, then school
9. Report
10. Recommendations with review date
11. Log and appendices the same week</t>
        </is>
      </c>
      <c r="N14" s="224" t="inlineStr">
        <is>
          <t>—</t>
        </is>
      </c>
    </row>
    <row r="15" ht="150" customHeight="1" s="128">
      <c r="A15" s="139" t="inlineStr">
        <is>
          <t>DAY</t>
        </is>
      </c>
      <c r="B15" s="139" t="inlineStr">
        <is>
          <t>Appendix 4</t>
        </is>
      </c>
      <c r="C15" s="139" t="inlineStr">
        <is>
          <t>Wk 8</t>
        </is>
      </c>
      <c r="D15" s="229" t="n">
        <v>10</v>
      </c>
      <c r="E15" s="229" t="inlineStr">
        <is>
          <t>18/02/2026</t>
        </is>
      </c>
      <c r="F15" s="165" t="inlineStr">
        <is>
          <t>Remote</t>
        </is>
      </c>
      <c r="G15" s="165" t="inlineStr">
        <is>
          <t>WISC-V subtest study (school half term)</t>
        </is>
      </c>
      <c r="H15" s="139" t="inlineStr">
        <is>
          <t>Recorded</t>
        </is>
      </c>
      <c r="I15" s="139" t="inlineStr">
        <is>
          <t>1. Assessment</t>
        </is>
      </c>
      <c r="J15" s="139" t="inlineStr">
        <is>
          <t>School Age</t>
        </is>
      </c>
      <c r="K15" s="139" t="inlineStr">
        <is>
          <t>Appendix 4 · Log sheet · Appendix 5 where a case · Appendix 7 where observed</t>
        </is>
      </c>
      <c r="L15" s="224" t="inlineStr">
        <is>
          <t>▸  Before: re-read the referral question. Confirm which subtests answer it rather than administering the full battery.
▸  Before: check vision and hearing history. Never assess cognition behind an unchecked hearing history.
▸  During: record behaviour as you go — self-corrections, fatigue point, strategy use. That goes in the report.
▸  During: if you deviate from standard administration, record what you did and why in the moment.
▸  After: score the same day. Check every raw-to-standard conversion twice.
▸  After: if index scatter exceeds 23 points, report GAI rather than FSIQ and say why.
▸  After: write the limitations sentence — what this could NOT tell you about this child.</t>
        </is>
      </c>
      <c r="M15" s="224" t="inlineStr">
        <is>
          <t>1. Referral question re-read
2. Records and previous reports read
3. Parent developmental history
4. School consultation and observation
5. Direct assessment
6. Scoring, same day
7. Formulation using a named framework
8. Feedback to parent, then school
9. Report
10. Recommendations with review date
11. Log and appendices the same week</t>
        </is>
      </c>
      <c r="N15" s="224" t="inlineStr">
        <is>
          <t>—</t>
        </is>
      </c>
    </row>
    <row r="16" ht="150" customHeight="1" s="128">
      <c r="A16" s="139" t="inlineStr">
        <is>
          <t>DAY</t>
        </is>
      </c>
      <c r="B16" s="139" t="inlineStr">
        <is>
          <t>Appendix 4</t>
        </is>
      </c>
      <c r="C16" s="139" t="inlineStr">
        <is>
          <t>Wk 8</t>
        </is>
      </c>
      <c r="D16" s="229" t="n">
        <v>11</v>
      </c>
      <c r="E16" s="229" t="inlineStr">
        <is>
          <t>19/02/2026</t>
        </is>
      </c>
      <c r="F16" s="165" t="inlineStr">
        <is>
          <t>Remote</t>
        </is>
      </c>
      <c r="G16" s="165" t="inlineStr">
        <is>
          <t>Social Inclusion team meeting 10:00-12:30 (Teams). WISC-V subtest study</t>
        </is>
      </c>
      <c r="H16" s="139" t="inlineStr">
        <is>
          <t>Recorded</t>
        </is>
      </c>
      <c r="I16" s="139" t="inlineStr">
        <is>
          <t>1. Assessment · 4. Systemic Change</t>
        </is>
      </c>
      <c r="J16" s="139" t="inlineStr">
        <is>
          <t>School Age</t>
        </is>
      </c>
      <c r="K16" s="139" t="inlineStr">
        <is>
          <t>Appendix 4 · Log sheet · Appendix 5 where a case · Appendix 7 where observed</t>
        </is>
      </c>
      <c r="L16" s="224" t="inlineStr">
        <is>
          <t>▸  Before: re-read the referral question. Confirm which subtests answer it rather than administering the full battery.
▸  Before: check vision and hearing history. Never assess cognition behind an unchecked hearing history.
▸  During: record behaviour as you go — self-corrections, fatigue point, strategy use. That goes in the report.
▸  During: if you deviate from standard administration, record what you did and why in the moment.
▸  After: score the same day. Check every raw-to-standard conversion twice.
▸  After: if index scatter exceeds 23 points, report GAI rather than FSIQ and say why.
▸  After: write the limitations sentence — what this could NOT tell you about this child.</t>
        </is>
      </c>
      <c r="M16" s="224" t="inlineStr">
        <is>
          <t>1. Referral question re-read
2. Records and previous reports read
3. Parent developmental history
4. School consultation and observation
5. Direct assessment
6. Scoring, same day
7. Formulation using a named framework
8. Feedback to parent, then school
9. Report
10. Recommendations with review date
11. Log and appendices the same week</t>
        </is>
      </c>
      <c r="N16" s="224" t="inlineStr">
        <is>
          <t>—</t>
        </is>
      </c>
    </row>
    <row r="17" ht="300" customHeight="1" s="128">
      <c r="A17" s="231" t="inlineStr">
        <is>
          <t>REFLECTION</t>
        </is>
      </c>
      <c r="B17" s="231" t="inlineStr">
        <is>
          <t>Weekly</t>
        </is>
      </c>
      <c r="C17" s="231" t="inlineStr">
        <is>
          <t>Wk 8</t>
        </is>
      </c>
      <c r="D17" s="231" t="n"/>
      <c r="E17" s="231" t="n"/>
      <c r="F17" s="231" t="n"/>
      <c r="G17" s="231" t="inlineStr">
        <is>
          <t>END OF WEEK — complete the reflection in column O before the week closes.</t>
        </is>
      </c>
      <c r="H17" s="231" t="n"/>
      <c r="I17" s="231" t="n"/>
      <c r="J17" s="231" t="n"/>
      <c r="K17" s="231" t="n"/>
      <c r="O17" s="224" t="inlineStr">
        <is>
          <t>TITLE:  ______________________________________________
     (name the week in six words — e.g. "The week the hearing history changed everything")
SUBTITLE:  ____________________________________________
     (the competency this week most developed)
AREAS TO FOCUS ON — tick what applies, then write about ONE:
▸  A decision I made and the reasoning behind it
▸  Something I did not know I did not know
▸  A moment I was uncertain and what I did with it
▸  Feedback I received and what I did about it
▸  Something I avoided asking, and why
▸  Where my own assumptions shaped what I looked for (CORU 5.44)
▸  My own response to the work — energy, pace, what it cost (CORU 5.45)
▸  What I would do differently, specifically
REFLECTION (one paragraph, your own words):
     Shape that works — here is what happened · here is what I noticed in myself ·
     here is what I did about it · here is how my practice differs now.
     Use a dated, specific example. Assertions like "I grew in confidence" evidence nothing.
_____________________________________________________________________
_____________________________________________________________________
_____________________________________________________________________
NOTE: this is yours to write. A reflection written by anyone else is not a reflection.</t>
        </is>
      </c>
    </row>
    <row r="18" ht="150" customHeight="1" s="128">
      <c r="A18" s="139" t="inlineStr">
        <is>
          <t>DAY</t>
        </is>
      </c>
      <c r="B18" s="139" t="inlineStr">
        <is>
          <t>Appendix 4</t>
        </is>
      </c>
      <c r="C18" s="139" t="inlineStr">
        <is>
          <t>Wk 9</t>
        </is>
      </c>
      <c r="D18" s="229" t="n">
        <v>12</v>
      </c>
      <c r="E18" s="229" t="inlineStr">
        <is>
          <t>23/02/2026</t>
        </is>
      </c>
      <c r="F18" s="165" t="inlineStr">
        <is>
          <t>NEPS Roscommon office</t>
        </is>
      </c>
      <c r="G18" s="165" t="inlineStr">
        <is>
          <t>Introduction to staff team; full team meeting; IT set-up; test store room review; supervision</t>
        </is>
      </c>
      <c r="H18" s="139" t="inlineStr">
        <is>
          <t>Recorded</t>
        </is>
      </c>
      <c r="I18" s="139" t="inlineStr">
        <is>
          <t>1. Assessment · 4. Systemic Change · 7. Supervision</t>
        </is>
      </c>
      <c r="J18" s="139" t="inlineStr">
        <is>
          <t>School Age</t>
        </is>
      </c>
      <c r="K18" s="139" t="inlineStr">
        <is>
          <t>Appendix 4 · Log sheet · Appendix 5 where a case · Appendix 7 where observed</t>
        </is>
      </c>
      <c r="L18" s="224" t="inlineStr">
        <is>
          <t>▸  Send an agenda the day before — three to five items, in priority order, each marked for a decision, a view, or information.
▸  Include the uncomfortable item in writing. Unwritten, it will not survive the first twenty minutes.
▸  Write the record within the day: discussion, decisions, actions, and tag it to competencies.
▸  Carry last week’s actions forward at the top so the sessions accumulate.
▸  Ask for countersignature periodically rather than all at the end.</t>
        </is>
      </c>
      <c r="M18" s="224" t="inlineStr">
        <is>
          <t>Standard order for a non-case day:
1. Do the activity
2. Log it the same evening against a referral area AND a competency
3. Note in one line how it developed the skill
4. Check whether it belongs in Appendix 5, 7 or Table 3</t>
        </is>
      </c>
      <c r="N18" s="224" t="inlineStr">
        <is>
          <t>—</t>
        </is>
      </c>
    </row>
    <row r="19" ht="150" customHeight="1" s="128">
      <c r="A19" s="139" t="inlineStr">
        <is>
          <t>DAY</t>
        </is>
      </c>
      <c r="B19" s="139" t="inlineStr">
        <is>
          <t>Appendix 4</t>
        </is>
      </c>
      <c r="C19" s="139" t="inlineStr">
        <is>
          <t>Wk 9</t>
        </is>
      </c>
      <c r="D19" s="229" t="n">
        <v>13</v>
      </c>
      <c r="E19" s="229" t="inlineStr">
        <is>
          <t>24/02/2026</t>
        </is>
      </c>
      <c r="F19" s="165" t="inlineStr">
        <is>
          <t>Remote</t>
        </is>
      </c>
      <c r="G19" s="165" t="inlineStr">
        <is>
          <t>Readings: Children and Loss; UFLI; NEPS Continuum of Support; RACE guidance</t>
        </is>
      </c>
      <c r="H19" s="139" t="inlineStr">
        <is>
          <t>Recorded</t>
        </is>
      </c>
      <c r="I19" s="139" t="inlineStr">
        <is>
          <t>8. Research</t>
        </is>
      </c>
      <c r="J19" s="139" t="inlineStr">
        <is>
          <t>School Age</t>
        </is>
      </c>
      <c r="K19" s="139" t="inlineStr">
        <is>
          <t>Appendix 4 · Log sheet · Appendix 5 where a case · Appendix 7 where observed</t>
        </is>
      </c>
      <c r="L19" s="224" t="inlineStr">
        <is>
          <t>▸  Before: have the cognitive result in front of you. Attainment is only meaningful against an expectation.
▸  Before: establish what has actually been taught. You cannot identify difficulty "despite appropriate instruction" without it.
▸  During: mark Oral Reading Fluency errors live while timing. It cannot be reconstructed afterwards.
▸  After: identify the impaired component — phonological, fluency, vocabulary or comprehension — before naming any programme.
▸  After: specify what, who, how often, for how long, and the monitoring measure.</t>
        </is>
      </c>
      <c r="M19" s="224" t="inlineStr">
        <is>
          <t>Standard order for a non-case day:
1. Do the activity
2. Log it the same evening against a referral area AND a competency
3. Note in one line how it developed the skill
4. Check whether it belongs in Appendix 5, 7 or Table 3</t>
        </is>
      </c>
      <c r="N19" s="224" t="inlineStr">
        <is>
          <t>—</t>
        </is>
      </c>
    </row>
    <row r="20" ht="150" customHeight="1" s="128">
      <c r="A20" s="139" t="inlineStr">
        <is>
          <t>DAY</t>
        </is>
      </c>
      <c r="B20" s="139" t="inlineStr">
        <is>
          <t>Appendix 4</t>
        </is>
      </c>
      <c r="C20" s="139" t="inlineStr">
        <is>
          <t>Wk 9</t>
        </is>
      </c>
      <c r="D20" s="229" t="n">
        <v>14</v>
      </c>
      <c r="E20" s="229" t="inlineStr">
        <is>
          <t>25/02/2026</t>
        </is>
      </c>
      <c r="F20" s="165" t="inlineStr">
        <is>
          <t>St Anne's Convent NS</t>
        </is>
      </c>
      <c r="G20" s="165" t="inlineStr">
        <is>
          <t>Shadowed colleague: WISC-V and WIAT-III, autism and giftedness query; parent interview. Training 15:30</t>
        </is>
      </c>
      <c r="H20" s="139" t="inlineStr">
        <is>
          <t>Recorded</t>
        </is>
      </c>
      <c r="I20" s="139" t="inlineStr">
        <is>
          <t>1. Assessment · 5. Working with Others · 8. Research</t>
        </is>
      </c>
      <c r="J20" s="139" t="inlineStr">
        <is>
          <t>School Age</t>
        </is>
      </c>
      <c r="K20" s="139" t="inlineStr">
        <is>
          <t>Appendix 4 · Log sheet · Appendix 5 where a case · Appendix 7 where observed</t>
        </is>
      </c>
      <c r="L20" s="224" t="inlineStr">
        <is>
          <t>▸  Before: re-read the referral question. Confirm which subtests answer it rather than administering the full battery.
▸  Before: check vision and hearing history. Never assess cognition behind an unchecked hearing history.
▸  During: record behaviour as you go — self-corrections, fatigue point, strategy use. That goes in the report.
▸  During: if you deviate from standard administration, record what you did and why in the moment.
▸  After: score the same day. Check every raw-to-standard conversion twice.
▸  After: if index scatter exceeds 23 points, report GAI rather than FSIQ and say why.
▸  After: write the limitations sentence — what this could NOT tell you about this child.</t>
        </is>
      </c>
      <c r="M20" s="224" t="inlineStr">
        <is>
          <t>1. Referral question re-read
2. Records and previous reports read
3. Parent developmental history
4. School consultation and observation
5. Direct assessment
6. Scoring, same day
7. Formulation using a named framework
8. Feedback to parent, then school
9. Report
10. Recommendations with review date
11. Log and appendices the same week</t>
        </is>
      </c>
      <c r="N20" s="224" t="inlineStr">
        <is>
          <t>—</t>
        </is>
      </c>
    </row>
    <row r="21" ht="150" customHeight="1" s="128">
      <c r="A21" s="139" t="inlineStr">
        <is>
          <t>DAY</t>
        </is>
      </c>
      <c r="B21" s="139" t="inlineStr">
        <is>
          <t>Appendix 4</t>
        </is>
      </c>
      <c r="C21" s="139" t="inlineStr">
        <is>
          <t>Wk 9</t>
        </is>
      </c>
      <c r="D21" s="229" t="n">
        <v>15</v>
      </c>
      <c r="E21" s="229" t="inlineStr">
        <is>
          <t>26/02/2026</t>
        </is>
      </c>
      <c r="F21" s="165" t="inlineStr">
        <is>
          <t>Castlerea Community School</t>
        </is>
      </c>
      <c r="G21" s="165" t="inlineStr">
        <is>
          <t>Anonymised case work with colleague 13:00; two cases assigned on PSYmis</t>
        </is>
      </c>
      <c r="H21" s="139" t="inlineStr">
        <is>
          <t>Recorded</t>
        </is>
      </c>
      <c r="I21" s="139" t="inlineStr">
        <is>
          <t>—</t>
        </is>
      </c>
      <c r="J21" s="139" t="inlineStr">
        <is>
          <t>School Age</t>
        </is>
      </c>
      <c r="K21" s="139" t="inlineStr">
        <is>
          <t>Appendix 4 · Log sheet · Appendix 5 where a case · Appendix 7 where observed</t>
        </is>
      </c>
      <c r="L21" s="224" t="inlineStr">
        <is>
          <t>▸  Log the day against a referral area AND a competency the same evening.
▸  Note in one line how the day developed the skill — that line becomes the reflective essay later.
▸  Check whether anything from today belongs in Appendix 5, 7 or Table 3, and enter it now rather than in June.</t>
        </is>
      </c>
      <c r="M21" s="224" t="inlineStr">
        <is>
          <t>Standard order for a non-case day:
1. Do the activity
2. Log it the same evening against a referral area AND a competency
3. Note in one line how it developed the skill
4. Check whether it belongs in Appendix 5, 7 or Table 3</t>
        </is>
      </c>
      <c r="N21" s="224" t="inlineStr">
        <is>
          <t>—</t>
        </is>
      </c>
    </row>
    <row r="22" ht="150" customHeight="1" s="128">
      <c r="A22" s="139" t="inlineStr">
        <is>
          <t>DAY</t>
        </is>
      </c>
      <c r="B22" s="139" t="inlineStr">
        <is>
          <t>Appendix 4</t>
        </is>
      </c>
      <c r="C22" s="139" t="inlineStr">
        <is>
          <t>Wk 9</t>
        </is>
      </c>
      <c r="D22" s="229" t="n">
        <v>16</v>
      </c>
      <c r="E22" s="229" t="inlineStr">
        <is>
          <t>27/02/2026</t>
        </is>
      </c>
      <c r="F22" s="165" t="inlineStr">
        <is>
          <t>St Anne's Convent NS</t>
        </is>
      </c>
      <c r="G22" s="165" t="inlineStr">
        <is>
          <t>Observed WIAT-III and phonological assessment, scoring, parent interview. Research into phonological interventions and their evidence base</t>
        </is>
      </c>
      <c r="H22" s="139" t="inlineStr">
        <is>
          <t>Recorded</t>
        </is>
      </c>
      <c r="I22" s="139" t="inlineStr">
        <is>
          <t>1. Assessment · 3. Intervention · 5. Working with Others · 8. Research</t>
        </is>
      </c>
      <c r="J22" s="139" t="inlineStr">
        <is>
          <t>School Age</t>
        </is>
      </c>
      <c r="K22" s="139" t="inlineStr">
        <is>
          <t>Appendix 4 · Log sheet · Appendix 5 where a case · Appendix 7 where observed</t>
        </is>
      </c>
      <c r="L22" s="224" t="inlineStr">
        <is>
          <t>▸  Before: have the cognitive result in front of you. Attainment is only meaningful against an expectation.
▸  Before: establish what has actually been taught. You cannot identify difficulty "despite appropriate instruction" without it.
▸  During: mark Oral Reading Fluency errors live while timing. It cannot be reconstructed afterwards.
▸  After: identify the impaired component — phonological, fluency, vocabulary or comprehension — before naming any programme.
▸  After: specify what, who, how often, for how long, and the monitoring measure.</t>
        </is>
      </c>
      <c r="M22" s="224" t="inlineStr">
        <is>
          <t>1. Referral question re-read
2. Records and previous reports read
3. Parent developmental history
4. School consultation and observation
5. Direct assessment
6. Scoring, same day
7. Formulation using a named framework
8. Feedback to parent, then school
9. Report
10. Recommendations with review date
11. Log and appendices the same week</t>
        </is>
      </c>
      <c r="N22" s="224" t="inlineStr">
        <is>
          <t>—</t>
        </is>
      </c>
    </row>
    <row r="23" ht="300" customHeight="1" s="128">
      <c r="A23" s="231" t="inlineStr">
        <is>
          <t>REFLECTION</t>
        </is>
      </c>
      <c r="B23" s="231" t="inlineStr">
        <is>
          <t>Weekly</t>
        </is>
      </c>
      <c r="C23" s="231" t="inlineStr">
        <is>
          <t>Wk 9</t>
        </is>
      </c>
      <c r="D23" s="231" t="n"/>
      <c r="E23" s="231" t="n"/>
      <c r="F23" s="231" t="n"/>
      <c r="G23" s="231" t="inlineStr">
        <is>
          <t>END OF WEEK — complete the reflection in column O before the week closes.</t>
        </is>
      </c>
      <c r="H23" s="231" t="n"/>
      <c r="I23" s="231" t="n"/>
      <c r="J23" s="231" t="n"/>
      <c r="K23" s="231" t="n"/>
      <c r="O23" s="224" t="inlineStr">
        <is>
          <t>TITLE:  ______________________________________________
     (name the week in six words — e.g. "The week the hearing history changed everything")
SUBTITLE:  ____________________________________________
     (the competency this week most developed)
AREAS TO FOCUS ON — tick what applies, then write about ONE:
▸  A decision I made and the reasoning behind it
▸  Something I did not know I did not know
▸  A moment I was uncertain and what I did with it
▸  Feedback I received and what I did about it
▸  Something I avoided asking, and why
▸  Where my own assumptions shaped what I looked for (CORU 5.44)
▸  My own response to the work — energy, pace, what it cost (CORU 5.45)
▸  What I would do differently, specifically
REFLECTION (one paragraph, your own words):
     Shape that works — here is what happened · here is what I noticed in myself ·
     here is what I did about it · here is how my practice differs now.
     Use a dated, specific example. Assertions like "I grew in confidence" evidence nothing.
_____________________________________________________________________
_____________________________________________________________________
_____________________________________________________________________
NOTE: this is yours to write. A reflection written by anyone else is not a reflection.</t>
        </is>
      </c>
    </row>
    <row r="24" ht="150" customHeight="1" s="128">
      <c r="A24" s="139" t="inlineStr">
        <is>
          <t>DAY</t>
        </is>
      </c>
      <c r="B24" s="139" t="inlineStr">
        <is>
          <t>Appendix 4</t>
        </is>
      </c>
      <c r="C24" s="139" t="inlineStr">
        <is>
          <t>Wk 10</t>
        </is>
      </c>
      <c r="D24" s="229" t="n">
        <v>17</v>
      </c>
      <c r="E24" s="229" t="inlineStr">
        <is>
          <t>02/03/2026</t>
        </is>
      </c>
      <c r="F24" s="165" t="inlineStr">
        <is>
          <t>Remote</t>
        </is>
      </c>
      <c r="G24" s="165" t="inlineStr">
        <is>
          <t>Remote working day — case documentation and preparation</t>
        </is>
      </c>
      <c r="H24" s="139" t="inlineStr">
        <is>
          <t>Recorded</t>
        </is>
      </c>
      <c r="I24" s="139" t="inlineStr">
        <is>
          <t>—</t>
        </is>
      </c>
      <c r="J24" s="139" t="inlineStr">
        <is>
          <t>School Age</t>
        </is>
      </c>
      <c r="K24" s="139" t="inlineStr">
        <is>
          <t>Appendix 4 · Log sheet · Appendix 5 where a case · Appendix 7 where observed</t>
        </is>
      </c>
      <c r="L24" s="224" t="inlineStr">
        <is>
          <t>▸  Log the day against a referral area AND a competency the same evening.
▸  Note in one line how the day developed the skill — that line becomes the reflective essay later.
▸  Check whether anything from today belongs in Appendix 5, 7 or Table 3, and enter it now rather than in June.</t>
        </is>
      </c>
      <c r="M24" s="224" t="inlineStr">
        <is>
          <t>Standard order for a non-case day:
1. Do the activity
2. Log it the same evening against a referral area AND a competency
3. Note in one line how it developed the skill
4. Check whether it belongs in Appendix 5, 7 or Table 3</t>
        </is>
      </c>
      <c r="N24" s="224" t="inlineStr">
        <is>
          <t>—</t>
        </is>
      </c>
    </row>
    <row r="25" ht="300" customHeight="1" s="128">
      <c r="A25" s="231" t="inlineStr">
        <is>
          <t>REFLECTION</t>
        </is>
      </c>
      <c r="B25" s="231" t="inlineStr">
        <is>
          <t>Weekly</t>
        </is>
      </c>
      <c r="C25" s="231" t="inlineStr">
        <is>
          <t>Wk 10</t>
        </is>
      </c>
      <c r="D25" s="231" t="n"/>
      <c r="E25" s="231" t="n"/>
      <c r="F25" s="231" t="n"/>
      <c r="G25" s="231" t="inlineStr">
        <is>
          <t>END OF WEEK — complete the reflection in column O before the week closes.</t>
        </is>
      </c>
      <c r="H25" s="231" t="n"/>
      <c r="I25" s="231" t="n"/>
      <c r="J25" s="231" t="n"/>
      <c r="K25" s="231" t="n"/>
      <c r="O25" s="224" t="inlineStr">
        <is>
          <t>TITLE:  ______________________________________________
     (name the week in six words — e.g. "The week the hearing history changed everything")
SUBTITLE:  ____________________________________________
     (the competency this week most developed)
AREAS TO FOCUS ON — tick what applies, then write about ONE:
▸  A decision I made and the reasoning behind it
▸  Something I did not know I did not know
▸  A moment I was uncertain and what I did with it
▸  Feedback I received and what I did about it
▸  Something I avoided asking, and why
▸  Where my own assumptions shaped what I looked for (CORU 5.44)
▸  My own response to the work — energy, pace, what it cost (CORU 5.45)
▸  What I would do differently, specifically
REFLECTION (one paragraph, your own words):
     Shape that works — here is what happened · here is what I noticed in myself ·
     here is what I did about it · here is how my practice differs now.
     Use a dated, specific example. Assertions like "I grew in confidence" evidence nothing.
_____________________________________________________________________
_____________________________________________________________________
_____________________________________________________________________
NOTE: this is yours to write. A reflection written by anyone else is not a reflection.</t>
        </is>
      </c>
    </row>
    <row r="26" ht="150" customHeight="1" s="128">
      <c r="A26" s="139" t="inlineStr">
        <is>
          <t>DAY</t>
        </is>
      </c>
      <c r="B26" s="139" t="inlineStr">
        <is>
          <t>Appendix 4</t>
        </is>
      </c>
      <c r="C26" s="139" t="inlineStr">
        <is>
          <t>Wk 11</t>
        </is>
      </c>
      <c r="D26" s="229" t="n">
        <v>18</v>
      </c>
      <c r="E26" s="229" t="inlineStr">
        <is>
          <t>09/03/2026</t>
        </is>
      </c>
      <c r="F26" s="165" t="inlineStr">
        <is>
          <t>NEPS Roscommon office</t>
        </is>
      </c>
      <c r="G26" s="165" t="inlineStr">
        <is>
          <t>Planned shadowing withdrawn as consent was not in place; meeting at Roscommon office instead. Casework planning</t>
        </is>
      </c>
      <c r="H26" s="139" t="inlineStr">
        <is>
          <t>Recorded</t>
        </is>
      </c>
      <c r="I26" s="139" t="inlineStr">
        <is>
          <t>4. Systemic Change · 6. Ethical Practice</t>
        </is>
      </c>
      <c r="J26" s="139" t="inlineStr">
        <is>
          <t>School Age</t>
        </is>
      </c>
      <c r="K26" s="139" t="inlineStr">
        <is>
          <t>Appendix 4 · Log sheet · Appendix 5 where a case · Appendix 7 where observed</t>
        </is>
      </c>
      <c r="L26" s="224" t="inlineStr">
        <is>
          <t>▸  Confirm the day before. Arrive early, sign in, say how long you need and keep to it.
▸  Ask to see the Student Support File and the SEN policy. The gap between the file and the room is a finding.
▸  Ask who does what: principal allocates, SENCO holds the overview, class teacher delivers, SNA often knows the child best.
▸  Send a written summary of what was agreed within 24 hours.
▸  Log it as SYSTEMIC CHANGE, not as casework, or the competency stays thinly evidenced.</t>
        </is>
      </c>
      <c r="M26" s="224" t="inlineStr">
        <is>
          <t>Standard order for a non-case day:
1. Do the activity
2. Log it the same evening against a referral area AND a competency
3. Note in one line how it developed the skill
4. Check whether it belongs in Appendix 5, 7 or Table 3</t>
        </is>
      </c>
      <c r="N26" s="224" t="inlineStr">
        <is>
          <t>—</t>
        </is>
      </c>
    </row>
    <row r="27" ht="150" customHeight="1" s="128">
      <c r="A27" s="139" t="inlineStr">
        <is>
          <t>DAY</t>
        </is>
      </c>
      <c r="B27" s="139" t="inlineStr">
        <is>
          <t>Appendix 4</t>
        </is>
      </c>
      <c r="C27" s="139" t="inlineStr">
        <is>
          <t>Wk 11</t>
        </is>
      </c>
      <c r="D27" s="229" t="n">
        <v>19</v>
      </c>
      <c r="E27" s="229" t="inlineStr">
        <is>
          <t>10/03/2026</t>
        </is>
      </c>
      <c r="F27" s="165" t="inlineStr">
        <is>
          <t>Remote</t>
        </is>
      </c>
      <c r="G27" s="165" t="inlineStr">
        <is>
          <t>Online supervision 14:00-15:00: placement planning, critical incident discussion, CALD webinar preparation</t>
        </is>
      </c>
      <c r="H27" s="139" t="inlineStr">
        <is>
          <t>Recorded</t>
        </is>
      </c>
      <c r="I27" s="139" t="inlineStr">
        <is>
          <t>7. Supervision</t>
        </is>
      </c>
      <c r="J27" s="139" t="inlineStr">
        <is>
          <t>School Age</t>
        </is>
      </c>
      <c r="K27" s="139" t="inlineStr">
        <is>
          <t>Appendix 4 · Log sheet · Appendix 5 where a case · Appendix 7 where observed</t>
        </is>
      </c>
      <c r="L27" s="224" t="inlineStr">
        <is>
          <t>▸  Send an agenda the day before — three to five items, in priority order, each marked for a decision, a view, or information.
▸  Include the uncomfortable item in writing. Unwritten, it will not survive the first twenty minutes.
▸  Write the record within the day: discussion, decisions, actions, and tag it to competencies.
▸  Carry last week’s actions forward at the top so the sessions accumulate.
▸  Ask for countersignature periodically rather than all at the end.</t>
        </is>
      </c>
      <c r="M27" s="224" t="inlineStr">
        <is>
          <t>Standard order for a non-case day:
1. Do the activity
2. Log it the same evening against a referral area AND a competency
3. Note in one line how it developed the skill
4. Check whether it belongs in Appendix 5, 7 or Table 3</t>
        </is>
      </c>
      <c r="N27" s="224" t="inlineStr">
        <is>
          <t>—</t>
        </is>
      </c>
    </row>
    <row r="28" ht="150" customHeight="1" s="128">
      <c r="A28" s="139" t="inlineStr">
        <is>
          <t>DAY</t>
        </is>
      </c>
      <c r="B28" s="139" t="inlineStr">
        <is>
          <t>Appendix 4</t>
        </is>
      </c>
      <c r="C28" s="139" t="inlineStr">
        <is>
          <t>Wk 11</t>
        </is>
      </c>
      <c r="D28" s="229" t="n">
        <v>20</v>
      </c>
      <c r="E28" s="229" t="inlineStr">
        <is>
          <t>11/03/2026</t>
        </is>
      </c>
      <c r="F28" s="165" t="inlineStr">
        <is>
          <t>Ballybay NS, Kiltoom</t>
        </is>
      </c>
      <c r="G28" s="165" t="inlineStr">
        <is>
          <t>Observed supervisor administer WISC-V and WIAT-III, literacy and dyslexia query; teacher interview; assistive technology discussion. Supervision</t>
        </is>
      </c>
      <c r="H28" s="139" t="inlineStr">
        <is>
          <t>Recorded</t>
        </is>
      </c>
      <c r="I28" s="139" t="inlineStr">
        <is>
          <t>1. Assessment · 5. Working with Others · 7. Supervision</t>
        </is>
      </c>
      <c r="J28" s="139" t="inlineStr">
        <is>
          <t>School Age</t>
        </is>
      </c>
      <c r="K28" s="139" t="inlineStr">
        <is>
          <t>Appendix 4 · Log sheet · Appendix 5 where a case · Appendix 7 where observed</t>
        </is>
      </c>
      <c r="L28" s="224" t="inlineStr">
        <is>
          <t>▸  Before: re-read the referral question. Confirm which subtests answer it rather than administering the full battery.
▸  Before: check vision and hearing history. Never assess cognition behind an unchecked hearing history.
▸  During: record behaviour as you go — self-corrections, fatigue point, strategy use. That goes in the report.
▸  During: if you deviate from standard administration, record what you did and why in the moment.
▸  After: score the same day. Check every raw-to-standard conversion twice.
▸  After: if index scatter exceeds 23 points, report GAI rather than FSIQ and say why.
▸  After: write the limitations sentence — what this could NOT tell you about this child.</t>
        </is>
      </c>
      <c r="M28" s="224" t="inlineStr">
        <is>
          <t>1. Referral question re-read
2. Records and previous reports read
3. Parent developmental history
4. School consultation and observation
5. Direct assessment
6. Scoring, same day
7. Formulation using a named framework
8. Feedback to parent, then school
9. Report
10. Recommendations with review date
11. Log and appendices the same week</t>
        </is>
      </c>
      <c r="N28" s="224" t="inlineStr">
        <is>
          <t>—</t>
        </is>
      </c>
    </row>
    <row r="29" ht="150" customHeight="1" s="128">
      <c r="A29" s="139" t="inlineStr">
        <is>
          <t>DAY</t>
        </is>
      </c>
      <c r="B29" s="139" t="inlineStr">
        <is>
          <t>Appendix 4</t>
        </is>
      </c>
      <c r="C29" s="139" t="inlineStr">
        <is>
          <t>Wk 11</t>
        </is>
      </c>
      <c r="D29" s="229" t="n">
        <v>21</v>
      </c>
      <c r="E29" s="229" t="inlineStr">
        <is>
          <t>12/03/2026</t>
        </is>
      </c>
      <c r="F29" s="165" t="inlineStr">
        <is>
          <t>Remote</t>
        </is>
      </c>
      <c r="G29" s="165" t="inlineStr">
        <is>
          <t>Grange case consent and preparation. ED and trauma-informed practice training 15:00 online</t>
        </is>
      </c>
      <c r="H29" s="139" t="inlineStr">
        <is>
          <t>Recorded</t>
        </is>
      </c>
      <c r="I29" s="139" t="inlineStr">
        <is>
          <t>6. Ethical Practice · 8. Research</t>
        </is>
      </c>
      <c r="J29" s="139" t="inlineStr">
        <is>
          <t>School Age</t>
        </is>
      </c>
      <c r="K29" s="139" t="inlineStr">
        <is>
          <t>Appendix 4 · Log sheet · Appendix 5 where a case · Appendix 7 where observed</t>
        </is>
      </c>
      <c r="L29" s="224" t="inlineStr">
        <is>
          <t>▸  Log the day against a referral area AND a competency the same evening.
▸  Note in one line how the day developed the skill — that line becomes the reflective essay later.
▸  Check whether anything from today belongs in Appendix 5, 7 or Table 3, and enter it now rather than in June.</t>
        </is>
      </c>
      <c r="M29" s="224" t="inlineStr">
        <is>
          <t>Standard order for a non-case day:
1. Do the activity
2. Log it the same evening against a referral area AND a competency
3. Note in one line how it developed the skill
4. Check whether it belongs in Appendix 5, 7 or Table 3</t>
        </is>
      </c>
      <c r="N29" s="224" t="inlineStr">
        <is>
          <t>—</t>
        </is>
      </c>
    </row>
    <row r="30" ht="300" customHeight="1" s="128">
      <c r="A30" s="231" t="inlineStr">
        <is>
          <t>REFLECTION</t>
        </is>
      </c>
      <c r="B30" s="231" t="inlineStr">
        <is>
          <t>Weekly</t>
        </is>
      </c>
      <c r="C30" s="231" t="inlineStr">
        <is>
          <t>Wk 11</t>
        </is>
      </c>
      <c r="D30" s="231" t="n"/>
      <c r="E30" s="231" t="n"/>
      <c r="F30" s="231" t="n"/>
      <c r="G30" s="231" t="inlineStr">
        <is>
          <t>END OF WEEK — complete the reflection in column O before the week closes.</t>
        </is>
      </c>
      <c r="H30" s="231" t="n"/>
      <c r="I30" s="231" t="n"/>
      <c r="J30" s="231" t="n"/>
      <c r="K30" s="231" t="n"/>
      <c r="O30" s="224" t="inlineStr">
        <is>
          <t>TITLE:  ______________________________________________
     (name the week in six words — e.g. "The week the hearing history changed everything")
SUBTITLE:  ____________________________________________
     (the competency this week most developed)
AREAS TO FOCUS ON — tick what applies, then write about ONE:
▸  A decision I made and the reasoning behind it
▸  Something I did not know I did not know
▸  A moment I was uncertain and what I did with it
▸  Feedback I received and what I did about it
▸  Something I avoided asking, and why
▸  Where my own assumptions shaped what I looked for (CORU 5.44)
▸  My own response to the work — energy, pace, what it cost (CORU 5.45)
▸  What I would do differently, specifically
REFLECTION (one paragraph, your own words):
     Shape that works — here is what happened · here is what I noticed in myself ·
     here is what I did about it · here is how my practice differs now.
     Use a dated, specific example. Assertions like "I grew in confidence" evidence nothing.
_____________________________________________________________________
_____________________________________________________________________
_____________________________________________________________________
NOTE: this is yours to write. A reflection written by anyone else is not a reflection.</t>
        </is>
      </c>
    </row>
    <row r="31" ht="150" customHeight="1" s="128">
      <c r="A31" s="139" t="inlineStr">
        <is>
          <t>DAY</t>
        </is>
      </c>
      <c r="B31" s="139" t="inlineStr">
        <is>
          <t>Appendix 4</t>
        </is>
      </c>
      <c r="C31" s="139" t="inlineStr">
        <is>
          <t>Wk 12</t>
        </is>
      </c>
      <c r="D31" s="229" t="n">
        <v>22</v>
      </c>
      <c r="E31" s="229" t="inlineStr">
        <is>
          <t>16/03/2026</t>
        </is>
      </c>
      <c r="F31" s="165" t="inlineStr">
        <is>
          <t>Remote</t>
        </is>
      </c>
      <c r="G31" s="165" t="inlineStr">
        <is>
          <t>CALD preparation meeting 12:00-13:00. Slides and script prepared for the Embracing Diversity webinar</t>
        </is>
      </c>
      <c r="H31" s="139" t="inlineStr">
        <is>
          <t>Recorded</t>
        </is>
      </c>
      <c r="I31" s="139" t="inlineStr">
        <is>
          <t>4. Systemic Change</t>
        </is>
      </c>
      <c r="J31" s="139" t="inlineStr">
        <is>
          <t>School Age</t>
        </is>
      </c>
      <c r="K31" s="139" t="inlineStr">
        <is>
          <t>Appendix 4 · Log sheet · Appendix 5 where a case · Appendix 7 where observed</t>
        </is>
      </c>
      <c r="L31" s="224" t="inlineStr">
        <is>
          <t>▸  Confirm the day before. Arrive early, sign in, say how long you need and keep to it.
▸  Ask to see the Student Support File and the SEN policy. The gap between the file and the room is a finding.
▸  Ask who does what: principal allocates, SENCO holds the overview, class teacher delivers, SNA often knows the child best.
▸  Send a written summary of what was agreed within 24 hours.
▸  Log it as SYSTEMIC CHANGE, not as casework, or the competency stays thinly evidenced.</t>
        </is>
      </c>
      <c r="M31" s="224" t="inlineStr">
        <is>
          <t>Standard order for a non-case day:
1. Do the activity
2. Log it the same evening against a referral area AND a competency
3. Note in one line how it developed the skill
4. Check whether it belongs in Appendix 5, 7 or Table 3</t>
        </is>
      </c>
      <c r="N31" s="224" t="inlineStr">
        <is>
          <t>—</t>
        </is>
      </c>
    </row>
    <row r="32" ht="150" customHeight="1" s="128">
      <c r="A32" s="139" t="inlineStr">
        <is>
          <t>DAY</t>
        </is>
      </c>
      <c r="B32" s="139" t="inlineStr">
        <is>
          <t>Appendix 4</t>
        </is>
      </c>
      <c r="C32" s="139" t="inlineStr">
        <is>
          <t>Wk 12</t>
        </is>
      </c>
      <c r="D32" s="229" t="n">
        <v>23</v>
      </c>
      <c r="E32" s="229" t="inlineStr">
        <is>
          <t>18/03/2026</t>
        </is>
      </c>
      <c r="F32" s="165" t="inlineStr">
        <is>
          <t>Remote</t>
        </is>
      </c>
      <c r="G32" s="165" t="inlineStr">
        <is>
          <t>Delivered three sections of the Embracing Diversity CALD webinar to a national audience. Observation feedback form completed</t>
        </is>
      </c>
      <c r="H32" s="139" t="inlineStr">
        <is>
          <t>Recorded</t>
        </is>
      </c>
      <c r="I32" s="139" t="inlineStr">
        <is>
          <t>1. Assessment · 3. Intervention</t>
        </is>
      </c>
      <c r="J32" s="139" t="inlineStr">
        <is>
          <t>School Age</t>
        </is>
      </c>
      <c r="K32" s="139" t="inlineStr">
        <is>
          <t>Appendix 4 · Log sheet · Appendix 5 where a case · Appendix 7 where observed</t>
        </is>
      </c>
      <c r="L32" s="224" t="inlineStr">
        <is>
          <t>▸  Before: write the operational definition on paper. "Leaves seat during independent written work" is definable; "disruptive" is not.
▸  Before: choose the sampling method and record why — momentary time sampling is the least biased for prevalence.
▸  Before: identify a comparison peer with the class teacher. Same sex, typical for the group, not the best-behaved child.
▸  During: take a settling minute before recording. Note context in the margin.
▸  After: write up within 24 hours with a limitations sentence on temporal stability.
▸  After: complete the Appendix 7 form the same day if observed or observing.</t>
        </is>
      </c>
      <c r="M32" s="224" t="inlineStr">
        <is>
          <t>1. Referral question re-read
2. Records and previous reports read
3. Parent developmental history
4. School consultation and observation
5. Direct assessment
6. Scoring, same day
7. Formulation using a named framework
8. Feedback to parent, then school
9. Report
10. Recommendations with review date
11. Log and appendices the same week</t>
        </is>
      </c>
      <c r="N32" s="224" t="inlineStr">
        <is>
          <t>—</t>
        </is>
      </c>
    </row>
    <row r="33" ht="150" customHeight="1" s="128">
      <c r="A33" s="139" t="inlineStr">
        <is>
          <t>DAY</t>
        </is>
      </c>
      <c r="B33" s="139" t="inlineStr">
        <is>
          <t>Appendix 4</t>
        </is>
      </c>
      <c r="C33" s="139" t="inlineStr">
        <is>
          <t>Wk 12</t>
        </is>
      </c>
      <c r="D33" s="229" t="n">
        <v>24</v>
      </c>
      <c r="E33" s="229" t="inlineStr">
        <is>
          <t>19/03/2026</t>
        </is>
      </c>
      <c r="F33" s="165" t="inlineStr">
        <is>
          <t>Remote</t>
        </is>
      </c>
      <c r="G33" s="165" t="inlineStr">
        <is>
          <t>Planned joint observation did not proceed; reassigned to placement work with supervisor</t>
        </is>
      </c>
      <c r="H33" s="139" t="inlineStr">
        <is>
          <t>Recorded</t>
        </is>
      </c>
      <c r="I33" s="139" t="inlineStr">
        <is>
          <t>1. Assessment · 7. Supervision</t>
        </is>
      </c>
      <c r="J33" s="139" t="inlineStr">
        <is>
          <t>School Age</t>
        </is>
      </c>
      <c r="K33" s="139" t="inlineStr">
        <is>
          <t>Appendix 4 · Log sheet · Appendix 5 where a case · Appendix 7 where observed</t>
        </is>
      </c>
      <c r="L33" s="224" t="inlineStr">
        <is>
          <t>▸  Before: write the operational definition on paper. "Leaves seat during independent written work" is definable; "disruptive" is not.
▸  Before: choose the sampling method and record why — momentary time sampling is the least biased for prevalence.
▸  Before: identify a comparison peer with the class teacher. Same sex, typical for the group, not the best-behaved child.
▸  During: take a settling minute before recording. Note context in the margin.
▸  After: write up within 24 hours with a limitations sentence on temporal stability.
▸  After: complete the Appendix 7 form the same day if observed or observing.</t>
        </is>
      </c>
      <c r="M33" s="224" t="inlineStr">
        <is>
          <t>1. Referral question re-read
2. Records and previous reports read
3. Parent developmental history
4. School consultation and observation
5. Direct assessment
6. Scoring, same day
7. Formulation using a named framework
8. Feedback to parent, then school
9. Report
10. Recommendations with review date
11. Log and appendices the same week</t>
        </is>
      </c>
      <c r="N33" s="224" t="inlineStr">
        <is>
          <t>—</t>
        </is>
      </c>
    </row>
    <row r="34" ht="150" customHeight="1" s="128">
      <c r="A34" s="139" t="inlineStr">
        <is>
          <t>DAY</t>
        </is>
      </c>
      <c r="B34" s="139" t="inlineStr">
        <is>
          <t>Appendix 4</t>
        </is>
      </c>
      <c r="C34" s="139" t="inlineStr">
        <is>
          <t>Wk 12</t>
        </is>
      </c>
      <c r="D34" s="229" t="n">
        <v>25</v>
      </c>
      <c r="E34" s="229" t="inlineStr">
        <is>
          <t>20/03/2026</t>
        </is>
      </c>
      <c r="F34" s="165" t="inlineStr">
        <is>
          <t>Sligo School Project NS</t>
        </is>
      </c>
      <c r="G34" s="165" t="inlineStr">
        <is>
          <t>Case file review; classroom observation; WIAT-III; parent interview using ABAS (CS26-00278). Formal supervision</t>
        </is>
      </c>
      <c r="H34" s="139" t="inlineStr">
        <is>
          <t>Recorded</t>
        </is>
      </c>
      <c r="I34" s="139" t="inlineStr">
        <is>
          <t>1. Assessment · 5. Working with Others · 7. Supervision</t>
        </is>
      </c>
      <c r="J34" s="139" t="inlineStr">
        <is>
          <t>School Age</t>
        </is>
      </c>
      <c r="K34" s="139" t="inlineStr">
        <is>
          <t>Appendix 4 · Log sheet · Appendix 5 where a case · Appendix 7 where observed</t>
        </is>
      </c>
      <c r="L34" s="224" t="inlineStr">
        <is>
          <t>▸  Before: have the cognitive result in front of you. Attainment is only meaningful against an expectation.
▸  Before: establish what has actually been taught. You cannot identify difficulty "despite appropriate instruction" without it.
▸  During: mark Oral Reading Fluency errors live while timing. It cannot be reconstructed afterwards.
▸  After: identify the impaired component — phonological, fluency, vocabulary or comprehension — before naming any programme.
▸  After: specify what, who, how often, for how long, and the monitoring measure.</t>
        </is>
      </c>
      <c r="M34" s="224" t="inlineStr">
        <is>
          <t>1. Referral question re-read
2. Records and previous reports read
3. Parent developmental history
4. School consultation and observation
5. Direct assessment
6. Scoring, same day
7. Formulation using a named framework
8. Feedback to parent, then school
9. Report
10. Recommendations with review date
11. Log and appendices the same week</t>
        </is>
      </c>
      <c r="N34" s="224" t="inlineStr">
        <is>
          <t>—</t>
        </is>
      </c>
    </row>
    <row r="35" ht="300" customHeight="1" s="128">
      <c r="A35" s="231" t="inlineStr">
        <is>
          <t>REFLECTION</t>
        </is>
      </c>
      <c r="B35" s="231" t="inlineStr">
        <is>
          <t>Weekly</t>
        </is>
      </c>
      <c r="C35" s="231" t="inlineStr">
        <is>
          <t>Wk 12</t>
        </is>
      </c>
      <c r="D35" s="231" t="n"/>
      <c r="E35" s="231" t="n"/>
      <c r="F35" s="231" t="n"/>
      <c r="G35" s="231" t="inlineStr">
        <is>
          <t>END OF WEEK — complete the reflection in column O before the week closes.</t>
        </is>
      </c>
      <c r="H35" s="231" t="n"/>
      <c r="I35" s="231" t="n"/>
      <c r="J35" s="231" t="n"/>
      <c r="K35" s="231" t="n"/>
      <c r="O35" s="224" t="inlineStr">
        <is>
          <t>TITLE:  ______________________________________________
     (name the week in six words — e.g. "The week the hearing history changed everything")
SUBTITLE:  ____________________________________________
     (the competency this week most developed)
AREAS TO FOCUS ON — tick what applies, then write about ONE:
▸  A decision I made and the reasoning behind it
▸  Something I did not know I did not know
▸  A moment I was uncertain and what I did with it
▸  Feedback I received and what I did about it
▸  Something I avoided asking, and why
▸  Where my own assumptions shaped what I looked for (CORU 5.44)
▸  My own response to the work — energy, pace, what it cost (CORU 5.45)
▸  What I would do differently, specifically
REFLECTION (one paragraph, your own words):
     Shape that works — here is what happened · here is what I noticed in myself ·
     here is what I did about it · here is how my practice differs now.
     Use a dated, specific example. Assertions like "I grew in confidence" evidence nothing.
_____________________________________________________________________
_____________________________________________________________________
_____________________________________________________________________
NOTE: this is yours to write. A reflection written by anyone else is not a reflection.</t>
        </is>
      </c>
    </row>
    <row r="36" ht="150" customHeight="1" s="128">
      <c r="A36" s="139" t="inlineStr">
        <is>
          <t>DAY</t>
        </is>
      </c>
      <c r="B36" s="139" t="inlineStr">
        <is>
          <t>Appendix 4</t>
        </is>
      </c>
      <c r="C36" s="139" t="inlineStr">
        <is>
          <t>Wk 13</t>
        </is>
      </c>
      <c r="D36" s="229" t="n">
        <v>26</v>
      </c>
      <c r="E36" s="229" t="inlineStr">
        <is>
          <t>23/03/2026</t>
        </is>
      </c>
      <c r="F36" s="165" t="inlineStr">
        <is>
          <t>Remote</t>
        </is>
      </c>
      <c r="G36" s="165" t="inlineStr">
        <is>
          <t>Working from home. WISC-V and WIAT-III preparation and practice for Rockfield (CS26-02159)</t>
        </is>
      </c>
      <c r="H36" s="139" t="inlineStr">
        <is>
          <t>Recorded</t>
        </is>
      </c>
      <c r="I36" s="139" t="inlineStr">
        <is>
          <t>1. Assessment</t>
        </is>
      </c>
      <c r="J36" s="139" t="inlineStr">
        <is>
          <t>School Age</t>
        </is>
      </c>
      <c r="K36" s="139" t="inlineStr">
        <is>
          <t>Appendix 4 · Log sheet · Appendix 5 where a case · Appendix 7 where observed</t>
        </is>
      </c>
      <c r="L36" s="224" t="inlineStr">
        <is>
          <t>▸  Before: re-read the referral question. Confirm which subtests answer it rather than administering the full battery.
▸  Before: check vision and hearing history. Never assess cognition behind an unchecked hearing history.
▸  During: record behaviour as you go — self-corrections, fatigue point, strategy use. That goes in the report.
▸  During: if you deviate from standard administration, record what you did and why in the moment.
▸  After: score the same day. Check every raw-to-standard conversion twice.
▸  After: if index scatter exceeds 23 points, report GAI rather than FSIQ and say why.
▸  After: write the limitations sentence — what this could NOT tell you about this child.</t>
        </is>
      </c>
      <c r="M36" s="224" t="inlineStr">
        <is>
          <t>1. Referral question re-read
2. Records and previous reports read
3. Parent developmental history
4. School consultation and observation
5. Direct assessment
6. Scoring, same day
7. Formulation using a named framework
8. Feedback to parent, then school
9. Report
10. Recommendations with review date
11. Log and appendices the same week</t>
        </is>
      </c>
      <c r="N36" s="224" t="inlineStr">
        <is>
          <t>—</t>
        </is>
      </c>
    </row>
    <row r="37" ht="150" customHeight="1" s="128">
      <c r="A37" s="139" t="inlineStr">
        <is>
          <t>DAY</t>
        </is>
      </c>
      <c r="B37" s="139" t="inlineStr">
        <is>
          <t>Appendix 4</t>
        </is>
      </c>
      <c r="C37" s="139" t="inlineStr">
        <is>
          <t>Wk 13</t>
        </is>
      </c>
      <c r="D37" s="229" t="n">
        <v>27</v>
      </c>
      <c r="E37" s="229" t="inlineStr">
        <is>
          <t>24/03/2026</t>
        </is>
      </c>
      <c r="F37" s="165" t="inlineStr">
        <is>
          <t>Rockfield NS, Coolaney</t>
        </is>
      </c>
      <c r="G37" s="165" t="inlineStr">
        <is>
          <t>Administered WIAT-III independently; classroom observation; joint parent and teacher consultation; report begun (CS26-02159)</t>
        </is>
      </c>
      <c r="H37" s="139" t="inlineStr">
        <is>
          <t>Recorded</t>
        </is>
      </c>
      <c r="I37" s="139" t="inlineStr">
        <is>
          <t>1. Assessment · 2. Formulation · 3. Intervention · 5. Working with Others</t>
        </is>
      </c>
      <c r="J37" s="139" t="inlineStr">
        <is>
          <t>School Age</t>
        </is>
      </c>
      <c r="K37" s="139" t="inlineStr">
        <is>
          <t>Appendix 4 · Log sheet · Appendix 5 where a case · Appendix 7 where observed</t>
        </is>
      </c>
      <c r="L37" s="224" t="inlineStr">
        <is>
          <t>▸  Before: have the cognitive result in front of you. Attainment is only meaningful against an expectation.
▸  Before: establish what has actually been taught. You cannot identify difficulty "despite appropriate instruction" without it.
▸  During: mark Oral Reading Fluency errors live while timing. It cannot be reconstructed afterwards.
▸  After: identify the impaired component — phonological, fluency, vocabulary or comprehension — before naming any programme.
▸  After: specify what, who, how often, for how long, and the monitoring measure.</t>
        </is>
      </c>
      <c r="M37" s="224" t="inlineStr">
        <is>
          <t>1. Referral question re-read
2. Records and previous reports read
3. Parent developmental history
4. School consultation and observation
5. Direct assessment
6. Scoring, same day
7. Formulation using a named framework
8. Feedback to parent, then school
9. Report
10. Recommendations with review date
11. Log and appendices the same week</t>
        </is>
      </c>
      <c r="N37" s="224" t="inlineStr">
        <is>
          <t>—</t>
        </is>
      </c>
    </row>
    <row r="38" ht="150" customHeight="1" s="128">
      <c r="A38" s="230" t="inlineStr">
        <is>
          <t>DAY</t>
        </is>
      </c>
      <c r="B38" s="230" t="inlineStr">
        <is>
          <t>Appendix 4</t>
        </is>
      </c>
      <c r="C38" s="230" t="inlineStr">
        <is>
          <t>Wk 13</t>
        </is>
      </c>
      <c r="D38" s="205" t="inlineStr">
        <is>
          <t>P2</t>
        </is>
      </c>
      <c r="E38" s="205" t="inlineStr">
        <is>
          <t>25/03/2026</t>
        </is>
      </c>
      <c r="F38" s="207" t="inlineStr">
        <is>
          <t>Remote</t>
        </is>
      </c>
      <c r="G38" s="207" t="inlineStr">
        <is>
          <t>PENDING — supervision contact; test result templates received and reviewed; Rockfield scoring and report drafting</t>
        </is>
      </c>
      <c r="H38" s="230" t="inlineStr">
        <is>
          <t>PENDING — unconfirmed</t>
        </is>
      </c>
      <c r="I38" s="230" t="inlineStr">
        <is>
          <t>1. Assessment · 2. Formulation · 7. Supervision</t>
        </is>
      </c>
      <c r="J38" s="230" t="inlineStr">
        <is>
          <t>School Age</t>
        </is>
      </c>
      <c r="K38" s="230" t="inlineStr">
        <is>
          <t>Appendix 4 · Log sheet · Appendix 5 where a case · Appendix 7 where observed</t>
        </is>
      </c>
      <c r="L38" s="224" t="inlineStr">
        <is>
          <t>▸  Re-read the referral question before writing the conclusion. Reports routinely describe a child and never answer what was asked.
▸  Organise findings by source; organise the FORMULATION by integration — name where sources conflict and what you make of it.
▸  Use a named framework and say which: Monsen, Interactive Factors, COMOIRA or Carr.
▸  Write a SPECIFIC limitations section, not a generic one.
▸  Name the Continuum of Support level and justify why that level and not the one below.
▸  Address each recommendation to a role, with frequency, duration and a review measure.</t>
        </is>
      </c>
      <c r="M38" s="224" t="inlineStr">
        <is>
          <t>Standard order for a non-case day:
1. Do the activity
2. Log it the same evening against a referral area AND a competency
3. Note in one line how it developed the skill
4. Check whether it belongs in Appendix 5, 7 or Table 3</t>
        </is>
      </c>
      <c r="N38" s="224" t="inlineStr">
        <is>
          <t>—</t>
        </is>
      </c>
    </row>
    <row r="39" ht="150" customHeight="1" s="128">
      <c r="A39" s="230" t="inlineStr">
        <is>
          <t>DAY</t>
        </is>
      </c>
      <c r="B39" s="230" t="inlineStr">
        <is>
          <t>Appendix 4</t>
        </is>
      </c>
      <c r="C39" s="230" t="inlineStr">
        <is>
          <t>Wk 13</t>
        </is>
      </c>
      <c r="D39" s="205" t="inlineStr">
        <is>
          <t>P3</t>
        </is>
      </c>
      <c r="E39" s="205" t="inlineStr">
        <is>
          <t>26/03/2026</t>
        </is>
      </c>
      <c r="F39" s="207" t="inlineStr">
        <is>
          <t>Remote</t>
        </is>
      </c>
      <c r="G39" s="207" t="inlineStr">
        <is>
          <t>PENDING — TEP pre-placement meeting 10:00. UCD Placement Review Visit 1, 11:00, with UCD and placement supervisor</t>
        </is>
      </c>
      <c r="H39" s="230" t="inlineStr">
        <is>
          <t>PENDING — unconfirmed</t>
        </is>
      </c>
      <c r="I39" s="230" t="inlineStr">
        <is>
          <t>4. Systemic Change · 7. Supervision</t>
        </is>
      </c>
      <c r="J39" s="230" t="inlineStr">
        <is>
          <t>School Age</t>
        </is>
      </c>
      <c r="K39" s="230" t="inlineStr">
        <is>
          <t>Appendix 4 · Log sheet · Appendix 5 where a case · Appendix 7 where observed</t>
        </is>
      </c>
      <c r="L39" s="224" t="inlineStr">
        <is>
          <t>▸  Confirm the day before. Arrive early, sign in, say how long you need and keep to it.
▸  Ask to see the Student Support File and the SEN policy. The gap between the file and the room is a finding.
▸  Ask who does what: principal allocates, SENCO holds the overview, class teacher delivers, SNA often knows the child best.
▸  Send a written summary of what was agreed within 24 hours.
▸  Log it as SYSTEMIC CHANGE, not as casework, or the competency stays thinly evidenced.</t>
        </is>
      </c>
      <c r="M39" s="224" t="inlineStr">
        <is>
          <t>Standard order for a non-case day:
1. Do the activity
2. Log it the same evening against a referral area AND a competency
3. Note in one line how it developed the skill
4. Check whether it belongs in Appendix 5, 7 or Table 3</t>
        </is>
      </c>
      <c r="N39" s="224" t="inlineStr">
        <is>
          <t>—</t>
        </is>
      </c>
    </row>
    <row r="40" ht="300" customHeight="1" s="128">
      <c r="A40" s="231" t="inlineStr">
        <is>
          <t>REFLECTION</t>
        </is>
      </c>
      <c r="B40" s="231" t="inlineStr">
        <is>
          <t>Weekly</t>
        </is>
      </c>
      <c r="C40" s="231" t="inlineStr">
        <is>
          <t>Wk 13</t>
        </is>
      </c>
      <c r="D40" s="231" t="n"/>
      <c r="E40" s="231" t="n"/>
      <c r="F40" s="231" t="n"/>
      <c r="G40" s="231" t="inlineStr">
        <is>
          <t>END OF WEEK — complete the reflection in column O before the week closes.</t>
        </is>
      </c>
      <c r="H40" s="231" t="n"/>
      <c r="I40" s="231" t="n"/>
      <c r="J40" s="231" t="n"/>
      <c r="K40" s="231" t="n"/>
      <c r="O40" s="224" t="inlineStr">
        <is>
          <t>TITLE:  ______________________________________________
     (name the week in six words — e.g. "The week the hearing history changed everything")
SUBTITLE:  ____________________________________________
     (the competency this week most developed)
AREAS TO FOCUS ON — tick what applies, then write about ONE:
▸  A decision I made and the reasoning behind it
▸  Something I did not know I did not know
▸  A moment I was uncertain and what I did with it
▸  Feedback I received and what I did about it
▸  Something I avoided asking, and why
▸  Where my own assumptions shaped what I looked for (CORU 5.44)
▸  My own response to the work — energy, pace, what it cost (CORU 5.45)
▸  What I would do differently, specifically
REFLECTION (one paragraph, your own words):
     Shape that works — here is what happened · here is what I noticed in myself ·
     here is what I did about it · here is how my practice differs now.
     Use a dated, specific example. Assertions like "I grew in confidence" evidence nothing.
_____________________________________________________________________
_____________________________________________________________________
_____________________________________________________________________
NOTE: this is yours to write. A reflection written by anyone else is not a reflection.</t>
        </is>
      </c>
    </row>
    <row r="41" ht="150" customHeight="1" s="128">
      <c r="A41" s="139" t="inlineStr">
        <is>
          <t>DAY</t>
        </is>
      </c>
      <c r="B41" s="139" t="inlineStr">
        <is>
          <t>Appendix 4</t>
        </is>
      </c>
      <c r="C41" s="139" t="inlineStr">
        <is>
          <t>Wk 14</t>
        </is>
      </c>
      <c r="D41" s="229" t="n">
        <v>28</v>
      </c>
      <c r="E41" s="229" t="inlineStr">
        <is>
          <t>30/03/2026</t>
        </is>
      </c>
      <c r="F41" s="165" t="inlineStr">
        <is>
          <t>NEPS Roscommon office</t>
        </is>
      </c>
      <c r="G41" s="165" t="inlineStr">
        <is>
          <t>1:1 with supervisor: portfolio requirements, expenses, NEPS calendar. Portfolio record maintenance</t>
        </is>
      </c>
      <c r="H41" s="139" t="inlineStr">
        <is>
          <t>Recorded</t>
        </is>
      </c>
      <c r="I41" s="139" t="inlineStr">
        <is>
          <t>7. Supervision</t>
        </is>
      </c>
      <c r="J41" s="139" t="inlineStr">
        <is>
          <t>School Age</t>
        </is>
      </c>
      <c r="K41" s="139" t="inlineStr">
        <is>
          <t>Appendix 4 · Log sheet · Appendix 5 where a case · Appendix 7 where observed</t>
        </is>
      </c>
      <c r="L41" s="224" t="inlineStr">
        <is>
          <t>▸  Log the day against a referral area AND a competency the same evening.
▸  Note in one line how the day developed the skill — that line becomes the reflective essay later.
▸  Check whether anything from today belongs in Appendix 5, 7 or Table 3, and enter it now rather than in June.</t>
        </is>
      </c>
      <c r="M41" s="224" t="inlineStr">
        <is>
          <t>Standard order for a non-case day:
1. Do the activity
2. Log it the same evening against a referral area AND a competency
3. Note in one line how it developed the skill
4. Check whether it belongs in Appendix 5, 7 or Table 3</t>
        </is>
      </c>
      <c r="N41" s="224" t="inlineStr">
        <is>
          <t>—</t>
        </is>
      </c>
    </row>
    <row r="42" ht="150" customHeight="1" s="128">
      <c r="A42" s="139" t="inlineStr">
        <is>
          <t>DAY</t>
        </is>
      </c>
      <c r="B42" s="139" t="inlineStr">
        <is>
          <t>Appendix 4</t>
        </is>
      </c>
      <c r="C42" s="139" t="inlineStr">
        <is>
          <t>Wk 14</t>
        </is>
      </c>
      <c r="D42" s="229" t="n">
        <v>29</v>
      </c>
      <c r="E42" s="229" t="inlineStr">
        <is>
          <t>31/03/2026</t>
        </is>
      </c>
      <c r="F42" s="165" t="inlineStr">
        <is>
          <t>NEPS Roscommon office</t>
        </is>
      </c>
      <c r="G42" s="165" t="inlineStr">
        <is>
          <t>1:1 with supervisor; WIAT-III scoring feedback; reports uploaded to PSYmis. UCD research meeting 15:00 online</t>
        </is>
      </c>
      <c r="H42" s="139" t="inlineStr">
        <is>
          <t>Recorded</t>
        </is>
      </c>
      <c r="I42" s="139" t="inlineStr">
        <is>
          <t>1. Assessment · 2. Formulation · 3. Intervention · 4. Systemic Change · 7. Supervision · 8. Research</t>
        </is>
      </c>
      <c r="J42" s="139" t="inlineStr">
        <is>
          <t>School Age</t>
        </is>
      </c>
      <c r="K42" s="139" t="inlineStr">
        <is>
          <t>Appendix 4 · Log sheet · Appendix 5 where a case · Appendix 7 where observed</t>
        </is>
      </c>
      <c r="L42" s="224" t="inlineStr">
        <is>
          <t>▸  Before: have the cognitive result in front of you. Attainment is only meaningful against an expectation.
▸  Before: establish what has actually been taught. You cannot identify difficulty "despite appropriate instruction" without it.
▸  During: mark Oral Reading Fluency errors live while timing. It cannot be reconstructed afterwards.
▸  After: identify the impaired component — phonological, fluency, vocabulary or comprehension — before naming any programme.
▸  After: specify what, who, how often, for how long, and the monitoring measure.</t>
        </is>
      </c>
      <c r="M42" s="224" t="inlineStr">
        <is>
          <t>1. Referral question re-read
2. Records and previous reports read
3. Parent developmental history
4. School consultation and observation
5. Direct assessment
6. Scoring, same day
7. Formulation using a named framework
8. Feedback to parent, then school
9. Report
10. Recommendations with review date
11. Log and appendices the same week</t>
        </is>
      </c>
      <c r="N42" s="224" t="inlineStr">
        <is>
          <t>—</t>
        </is>
      </c>
    </row>
    <row r="43" ht="150" customHeight="1" s="128">
      <c r="A43" s="230" t="inlineStr">
        <is>
          <t>DAY</t>
        </is>
      </c>
      <c r="B43" s="230" t="inlineStr">
        <is>
          <t>Appendix 4</t>
        </is>
      </c>
      <c r="C43" s="230" t="inlineStr">
        <is>
          <t>Wk 14</t>
        </is>
      </c>
      <c r="D43" s="205" t="inlineStr">
        <is>
          <t>P4</t>
        </is>
      </c>
      <c r="E43" s="205" t="inlineStr">
        <is>
          <t>01/04/2026</t>
        </is>
      </c>
      <c r="F43" s="207" t="inlineStr">
        <is>
          <t>Remote</t>
        </is>
      </c>
      <c r="G43" s="207" t="inlineStr">
        <is>
          <t>PENDING — report drafting and case documentation within the Placement 1 block</t>
        </is>
      </c>
      <c r="H43" s="230" t="inlineStr">
        <is>
          <t>PENDING — unconfirmed</t>
        </is>
      </c>
      <c r="I43" s="230" t="inlineStr">
        <is>
          <t>2. Formulation</t>
        </is>
      </c>
      <c r="J43" s="230" t="inlineStr">
        <is>
          <t>School Age</t>
        </is>
      </c>
      <c r="K43" s="230" t="inlineStr">
        <is>
          <t>Appendix 4 · Log sheet · Appendix 5 where a case · Appendix 7 where observed</t>
        </is>
      </c>
      <c r="L43" s="224" t="inlineStr">
        <is>
          <t>▸  Re-read the referral question before writing the conclusion. Reports routinely describe a child and never answer what was asked.
▸  Organise findings by source; organise the FORMULATION by integration — name where sources conflict and what you make of it.
▸  Use a named framework and say which: Monsen, Interactive Factors, COMOIRA or Carr.
▸  Write a SPECIFIC limitations section, not a generic one.
▸  Name the Continuum of Support level and justify why that level and not the one below.
▸  Address each recommendation to a role, with frequency, duration and a review measure.</t>
        </is>
      </c>
      <c r="M43" s="224" t="inlineStr">
        <is>
          <t>Standard order for a non-case day:
1. Do the activity
2. Log it the same evening against a referral area AND a competency
3. Note in one line how it developed the skill
4. Check whether it belongs in Appendix 5, 7 or Table 3</t>
        </is>
      </c>
      <c r="N43" s="224" t="inlineStr">
        <is>
          <t>—</t>
        </is>
      </c>
    </row>
    <row r="44" ht="150" customHeight="1" s="128">
      <c r="A44" s="230" t="inlineStr">
        <is>
          <t>DAY</t>
        </is>
      </c>
      <c r="B44" s="230" t="inlineStr">
        <is>
          <t>Appendix 4</t>
        </is>
      </c>
      <c r="C44" s="230" t="inlineStr">
        <is>
          <t>Wk 14</t>
        </is>
      </c>
      <c r="D44" s="205" t="inlineStr">
        <is>
          <t>P5</t>
        </is>
      </c>
      <c r="E44" s="205" t="inlineStr">
        <is>
          <t>02/04/2026</t>
        </is>
      </c>
      <c r="F44" s="207" t="inlineStr">
        <is>
          <t>Remote</t>
        </is>
      </c>
      <c r="G44" s="207" t="inlineStr">
        <is>
          <t>PENDING — report drafting and case documentation within the Placement 1 block</t>
        </is>
      </c>
      <c r="H44" s="230" t="inlineStr">
        <is>
          <t>PENDING — unconfirmed</t>
        </is>
      </c>
      <c r="I44" s="230" t="inlineStr">
        <is>
          <t>2. Formulation</t>
        </is>
      </c>
      <c r="J44" s="230" t="inlineStr">
        <is>
          <t>School Age</t>
        </is>
      </c>
      <c r="K44" s="230" t="inlineStr">
        <is>
          <t>Appendix 4 · Log sheet · Appendix 5 where a case · Appendix 7 where observed</t>
        </is>
      </c>
      <c r="L44" s="224" t="inlineStr">
        <is>
          <t>▸  Re-read the referral question before writing the conclusion. Reports routinely describe a child and never answer what was asked.
▸  Organise findings by source; organise the FORMULATION by integration — name where sources conflict and what you make of it.
▸  Use a named framework and say which: Monsen, Interactive Factors, COMOIRA or Carr.
▸  Write a SPECIFIC limitations section, not a generic one.
▸  Name the Continuum of Support level and justify why that level and not the one below.
▸  Address each recommendation to a role, with frequency, duration and a review measure.</t>
        </is>
      </c>
      <c r="M44" s="224" t="inlineStr">
        <is>
          <t>Standard order for a non-case day:
1. Do the activity
2. Log it the same evening against a referral area AND a competency
3. Note in one line how it developed the skill
4. Check whether it belongs in Appendix 5, 7 or Table 3</t>
        </is>
      </c>
      <c r="N44" s="224" t="inlineStr">
        <is>
          <t>—</t>
        </is>
      </c>
    </row>
    <row r="45" ht="300" customHeight="1" s="128">
      <c r="A45" s="231" t="inlineStr">
        <is>
          <t>REFLECTION</t>
        </is>
      </c>
      <c r="B45" s="231" t="inlineStr">
        <is>
          <t>Weekly</t>
        </is>
      </c>
      <c r="C45" s="231" t="inlineStr">
        <is>
          <t>Wk 14</t>
        </is>
      </c>
      <c r="D45" s="231" t="n"/>
      <c r="E45" s="231" t="n"/>
      <c r="F45" s="231" t="n"/>
      <c r="G45" s="231" t="inlineStr">
        <is>
          <t>END OF WEEK — complete the reflection in column O before the week closes.</t>
        </is>
      </c>
      <c r="H45" s="231" t="n"/>
      <c r="I45" s="231" t="n"/>
      <c r="J45" s="231" t="n"/>
      <c r="K45" s="231" t="n"/>
      <c r="O45" s="224" t="inlineStr">
        <is>
          <t>TITLE:  ______________________________________________
     (name the week in six words — e.g. "The week the hearing history changed everything")
SUBTITLE:  ____________________________________________
     (the competency this week most developed)
AREAS TO FOCUS ON — tick what applies, then write about ONE:
▸  A decision I made and the reasoning behind it
▸  Something I did not know I did not know
▸  A moment I was uncertain and what I did with it
▸  Feedback I received and what I did about it
▸  Something I avoided asking, and why
▸  Where my own assumptions shaped what I looked for (CORU 5.44)
▸  My own response to the work — energy, pace, what it cost (CORU 5.45)
▸  What I would do differently, specifically
REFLECTION (one paragraph, your own words):
     Shape that works — here is what happened · here is what I noticed in myself ·
     here is what I did about it · here is how my practice differs now.
     Use a dated, specific example. Assertions like "I grew in confidence" evidence nothing.
_____________________________________________________________________
_____________________________________________________________________
_____________________________________________________________________
NOTE: this is yours to write. A reflection written by anyone else is not a reflection.</t>
        </is>
      </c>
    </row>
    <row r="46" ht="150" customHeight="1" s="128">
      <c r="A46" s="139" t="inlineStr">
        <is>
          <t>DAY</t>
        </is>
      </c>
      <c r="B46" s="139" t="inlineStr">
        <is>
          <t>Appendix 4</t>
        </is>
      </c>
      <c r="C46" s="139" t="inlineStr">
        <is>
          <t>Wk 15</t>
        </is>
      </c>
      <c r="D46" s="229" t="n">
        <v>30</v>
      </c>
      <c r="E46" s="229" t="inlineStr">
        <is>
          <t>07/04/2026</t>
        </is>
      </c>
      <c r="F46" s="165" t="inlineStr">
        <is>
          <t>NEPS Roscommon office</t>
        </is>
      </c>
      <c r="G46" s="165" t="inlineStr">
        <is>
          <t>Office casework day within the report-drafting window</t>
        </is>
      </c>
      <c r="H46" s="139" t="inlineStr">
        <is>
          <t>Recorded</t>
        </is>
      </c>
      <c r="I46" s="139" t="inlineStr">
        <is>
          <t>2. Formulation</t>
        </is>
      </c>
      <c r="J46" s="139" t="inlineStr">
        <is>
          <t>School Age</t>
        </is>
      </c>
      <c r="K46" s="139" t="inlineStr">
        <is>
          <t>Appendix 4 · Log sheet · Appendix 5 where a case · Appendix 7 where observed</t>
        </is>
      </c>
      <c r="L46" s="224" t="inlineStr">
        <is>
          <t>▸  Re-read the referral question before writing the conclusion. Reports routinely describe a child and never answer what was asked.
▸  Organise findings by source; organise the FORMULATION by integration — name where sources conflict and what you make of it.
▸  Use a named framework and say which: Monsen, Interactive Factors, COMOIRA or Carr.
▸  Write a SPECIFIC limitations section, not a generic one.
▸  Name the Continuum of Support level and justify why that level and not the one below.
▸  Address each recommendation to a role, with frequency, duration and a review measure.</t>
        </is>
      </c>
      <c r="M46" s="224" t="inlineStr">
        <is>
          <t>Standard order for a non-case day:
1. Do the activity
2. Log it the same evening against a referral area AND a competency
3. Note in one line how it developed the skill
4. Check whether it belongs in Appendix 5, 7 or Table 3</t>
        </is>
      </c>
      <c r="N46" s="224" t="inlineStr">
        <is>
          <t>—</t>
        </is>
      </c>
    </row>
    <row r="47" ht="150" customHeight="1" s="128">
      <c r="A47" s="139" t="inlineStr">
        <is>
          <t>DAY</t>
        </is>
      </c>
      <c r="B47" s="139" t="inlineStr">
        <is>
          <t>Appendix 4</t>
        </is>
      </c>
      <c r="C47" s="139" t="inlineStr">
        <is>
          <t>Wk 15</t>
        </is>
      </c>
      <c r="D47" s="229" t="n">
        <v>31</v>
      </c>
      <c r="E47" s="229" t="inlineStr">
        <is>
          <t>08/04/2026</t>
        </is>
      </c>
      <c r="F47" s="165" t="inlineStr">
        <is>
          <t>NEPS Roscommon office</t>
        </is>
      </c>
      <c r="G47" s="165" t="inlineStr">
        <is>
          <t>Office day, afternoon and evening</t>
        </is>
      </c>
      <c r="H47" s="139" t="inlineStr">
        <is>
          <t>Recorded</t>
        </is>
      </c>
      <c r="I47" s="139" t="inlineStr">
        <is>
          <t>—</t>
        </is>
      </c>
      <c r="J47" s="139" t="inlineStr">
        <is>
          <t>School Age</t>
        </is>
      </c>
      <c r="K47" s="139" t="inlineStr">
        <is>
          <t>Appendix 4 · Log sheet · Appendix 5 where a case · Appendix 7 where observed</t>
        </is>
      </c>
      <c r="L47" s="224" t="inlineStr">
        <is>
          <t>▸  Log the day against a referral area AND a competency the same evening.
▸  Note in one line how the day developed the skill — that line becomes the reflective essay later.
▸  Check whether anything from today belongs in Appendix 5, 7 or Table 3, and enter it now rather than in June.</t>
        </is>
      </c>
      <c r="M47" s="224" t="inlineStr">
        <is>
          <t>Standard order for a non-case day:
1. Do the activity
2. Log it the same evening against a referral area AND a competency
3. Note in one line how it developed the skill
4. Check whether it belongs in Appendix 5, 7 or Table 3</t>
        </is>
      </c>
      <c r="N47" s="224" t="inlineStr">
        <is>
          <t>—</t>
        </is>
      </c>
    </row>
    <row r="48" ht="300" customHeight="1" s="128">
      <c r="A48" s="231" t="inlineStr">
        <is>
          <t>REFLECTION</t>
        </is>
      </c>
      <c r="B48" s="231" t="inlineStr">
        <is>
          <t>Weekly</t>
        </is>
      </c>
      <c r="C48" s="231" t="inlineStr">
        <is>
          <t>Wk 15</t>
        </is>
      </c>
      <c r="D48" s="231" t="n"/>
      <c r="E48" s="231" t="n"/>
      <c r="F48" s="231" t="n"/>
      <c r="G48" s="231" t="inlineStr">
        <is>
          <t>END OF WEEK — complete the reflection in column O before the week closes.</t>
        </is>
      </c>
      <c r="H48" s="231" t="n"/>
      <c r="I48" s="231" t="n"/>
      <c r="J48" s="231" t="n"/>
      <c r="K48" s="231" t="n"/>
      <c r="O48" s="224" t="inlineStr">
        <is>
          <t>TITLE:  ______________________________________________
     (name the week in six words — e.g. "The week the hearing history changed everything")
SUBTITLE:  ____________________________________________
     (the competency this week most developed)
AREAS TO FOCUS ON — tick what applies, then write about ONE:
▸  A decision I made and the reasoning behind it
▸  Something I did not know I did not know
▸  A moment I was uncertain and what I did with it
▸  Feedback I received and what I did about it
▸  Something I avoided asking, and why
▸  Where my own assumptions shaped what I looked for (CORU 5.44)
▸  My own response to the work — energy, pace, what it cost (CORU 5.45)
▸  What I would do differently, specifically
REFLECTION (one paragraph, your own words):
     Shape that works — here is what happened · here is what I noticed in myself ·
     here is what I did about it · here is how my practice differs now.
     Use a dated, specific example. Assertions like "I grew in confidence" evidence nothing.
_____________________________________________________________________
_____________________________________________________________________
_____________________________________________________________________
NOTE: this is yours to write. A reflection written by anyone else is not a reflection.</t>
        </is>
      </c>
    </row>
    <row r="49" ht="150" customHeight="1" s="128">
      <c r="A49" s="139" t="inlineStr">
        <is>
          <t>DAY</t>
        </is>
      </c>
      <c r="B49" s="139" t="inlineStr">
        <is>
          <t>Appendix 4</t>
        </is>
      </c>
      <c r="C49" s="139" t="inlineStr">
        <is>
          <t>Wk 16</t>
        </is>
      </c>
      <c r="D49" s="229" t="n">
        <v>32</v>
      </c>
      <c r="E49" s="229" t="inlineStr">
        <is>
          <t>13/04/2026</t>
        </is>
      </c>
      <c r="F49" s="165" t="inlineStr">
        <is>
          <t>Rockfield NS, Coolaney</t>
        </is>
      </c>
      <c r="G49" s="165" t="inlineStr">
        <is>
          <t>Administered WISC-V and DASH-2; parent feedback session using DASH and the DCD questionnaire (CS26-02159)</t>
        </is>
      </c>
      <c r="H49" s="139" t="inlineStr">
        <is>
          <t>Recorded</t>
        </is>
      </c>
      <c r="I49" s="139" t="inlineStr">
        <is>
          <t>1. Assessment · 3. Intervention · 5. Working with Others</t>
        </is>
      </c>
      <c r="J49" s="139" t="inlineStr">
        <is>
          <t>School Age</t>
        </is>
      </c>
      <c r="K49" s="139" t="inlineStr">
        <is>
          <t>Appendix 4 · Log sheet · Appendix 5 where a case · Appendix 7 where observed</t>
        </is>
      </c>
      <c r="L49" s="224" t="inlineStr">
        <is>
          <t>▸  Before: re-read the referral question. Confirm which subtests answer it rather than administering the full battery.
▸  Before: check vision and hearing history. Never assess cognition behind an unchecked hearing history.
▸  During: record behaviour as you go — self-corrections, fatigue point, strategy use. That goes in the report.
▸  During: if you deviate from standard administration, record what you did and why in the moment.
▸  After: score the same day. Check every raw-to-standard conversion twice.
▸  After: if index scatter exceeds 23 points, report GAI rather than FSIQ and say why.
▸  After: write the limitations sentence — what this could NOT tell you about this child.</t>
        </is>
      </c>
      <c r="M49" s="224" t="inlineStr">
        <is>
          <t>1. Referral question re-read
2. Records and previous reports read
3. Parent developmental history
4. School consultation and observation
5. Direct assessment
6. Scoring, same day
7. Formulation using a named framework
8. Feedback to parent, then school
9. Report
10. Recommendations with review date
11. Log and appendices the same week</t>
        </is>
      </c>
      <c r="N49" s="224" t="inlineStr">
        <is>
          <t>—</t>
        </is>
      </c>
    </row>
    <row r="50" ht="150" customHeight="1" s="128">
      <c r="A50" s="139" t="inlineStr">
        <is>
          <t>DAY</t>
        </is>
      </c>
      <c r="B50" s="139" t="inlineStr">
        <is>
          <t>Appendix 4</t>
        </is>
      </c>
      <c r="C50" s="139" t="inlineStr">
        <is>
          <t>Wk 16</t>
        </is>
      </c>
      <c r="D50" s="229" t="n">
        <v>33</v>
      </c>
      <c r="E50" s="229" t="inlineStr">
        <is>
          <t>14/04/2026</t>
        </is>
      </c>
      <c r="F50" s="165" t="inlineStr">
        <is>
          <t>Rockfield NS, Coolaney</t>
        </is>
      </c>
      <c r="G50" s="165" t="inlineStr">
        <is>
          <t>Attainment assessment, scoring and formulation; OT referral prepared (CS26-02159)</t>
        </is>
      </c>
      <c r="H50" s="139" t="inlineStr">
        <is>
          <t>Recorded</t>
        </is>
      </c>
      <c r="I50" s="139" t="inlineStr">
        <is>
          <t>1. Assessment · 2. Formulation</t>
        </is>
      </c>
      <c r="J50" s="139" t="inlineStr">
        <is>
          <t>School Age</t>
        </is>
      </c>
      <c r="K50" s="139" t="inlineStr">
        <is>
          <t>Appendix 4 · Log sheet · Appendix 5 where a case · Appendix 7 where observed</t>
        </is>
      </c>
      <c r="L50" s="224" t="inlineStr">
        <is>
          <t>▸  Before: have the cognitive result in front of you. Attainment is only meaningful against an expectation.
▸  Before: establish what has actually been taught. You cannot identify difficulty "despite appropriate instruction" without it.
▸  During: mark Oral Reading Fluency errors live while timing. It cannot be reconstructed afterwards.
▸  After: identify the impaired component — phonological, fluency, vocabulary or comprehension — before naming any programme.
▸  After: specify what, who, how often, for how long, and the monitoring measure.</t>
        </is>
      </c>
      <c r="M50" s="224" t="inlineStr">
        <is>
          <t>1. Referral question re-read
2. Records and previous reports read
3. Parent developmental history
4. School consultation and observation
5. Direct assessment
6. Scoring, same day
7. Formulation using a named framework
8. Feedback to parent, then school
9. Report
10. Recommendations with review date
11. Log and appendices the same week</t>
        </is>
      </c>
      <c r="N50" s="224" t="inlineStr">
        <is>
          <t>—</t>
        </is>
      </c>
    </row>
    <row r="51" ht="150" customHeight="1" s="128">
      <c r="A51" s="139" t="inlineStr">
        <is>
          <t>DAY</t>
        </is>
      </c>
      <c r="B51" s="139" t="inlineStr">
        <is>
          <t>Appendix 4</t>
        </is>
      </c>
      <c r="C51" s="139" t="inlineStr">
        <is>
          <t>Wk 16</t>
        </is>
      </c>
      <c r="D51" s="229" t="n">
        <v>34</v>
      </c>
      <c r="E51" s="229" t="inlineStr">
        <is>
          <t>15/04/2026</t>
        </is>
      </c>
      <c r="F51" s="165" t="inlineStr">
        <is>
          <t>St Nathy's College, Ballaghaderreen</t>
        </is>
      </c>
      <c r="G51" s="165" t="inlineStr">
        <is>
          <t>POST-PRIMARY setting visit 09:47-13:55. Adolescent age range experience</t>
        </is>
      </c>
      <c r="H51" s="139" t="inlineStr">
        <is>
          <t>Recorded</t>
        </is>
      </c>
      <c r="I51" s="139" t="inlineStr">
        <is>
          <t>—</t>
        </is>
      </c>
      <c r="J51" s="139" t="inlineStr">
        <is>
          <t>Adolescent</t>
        </is>
      </c>
      <c r="K51" s="139" t="inlineStr">
        <is>
          <t>Appendix 4 · Log sheet · Appendix 5 where a case · Appendix 7 where observed</t>
        </is>
      </c>
      <c r="L51" s="224" t="inlineStr">
        <is>
          <t>▸  Confirm the day before. Arrive early, sign in, say how long you need and keep to it.
▸  Ask to see the Student Support File and the SEN policy. The gap between the file and the room is a finding.
▸  Ask who does what: principal allocates, SENCO holds the overview, class teacher delivers, SNA often knows the child best.
▸  Send a written summary of what was agreed within 24 hours.
▸  Log it as SYSTEMIC CHANGE, not as casework, or the competency stays thinly evidenced.</t>
        </is>
      </c>
      <c r="M51" s="224" t="inlineStr">
        <is>
          <t>Standard order for a non-case day:
1. Do the activity
2. Log it the same evening against a referral area AND a competency
3. Note in one line how it developed the skill
4. Check whether it belongs in Appendix 5, 7 or Table 3</t>
        </is>
      </c>
      <c r="N51" s="224" t="inlineStr">
        <is>
          <t>—</t>
        </is>
      </c>
    </row>
    <row r="52" ht="150" customHeight="1" s="128">
      <c r="A52" s="139" t="inlineStr">
        <is>
          <t>DAY</t>
        </is>
      </c>
      <c r="B52" s="139" t="inlineStr">
        <is>
          <t>Appendix 4</t>
        </is>
      </c>
      <c r="C52" s="139" t="inlineStr">
        <is>
          <t>Wk 16</t>
        </is>
      </c>
      <c r="D52" s="229" t="n">
        <v>35</v>
      </c>
      <c r="E52" s="229" t="inlineStr">
        <is>
          <t>16/04/2026</t>
        </is>
      </c>
      <c r="F52" s="165" t="inlineStr">
        <is>
          <t>NEPS Roscommon office</t>
        </is>
      </c>
      <c r="G52" s="165" t="inlineStr">
        <is>
          <t>Office day</t>
        </is>
      </c>
      <c r="H52" s="139" t="inlineStr">
        <is>
          <t>Recorded</t>
        </is>
      </c>
      <c r="I52" s="139" t="inlineStr">
        <is>
          <t>—</t>
        </is>
      </c>
      <c r="J52" s="139" t="inlineStr">
        <is>
          <t>School Age</t>
        </is>
      </c>
      <c r="K52" s="139" t="inlineStr">
        <is>
          <t>Appendix 4 · Log sheet · Appendix 5 where a case · Appendix 7 where observed</t>
        </is>
      </c>
      <c r="L52" s="224" t="inlineStr">
        <is>
          <t>▸  Log the day against a referral area AND a competency the same evening.
▸  Note in one line how the day developed the skill — that line becomes the reflective essay later.
▸  Check whether anything from today belongs in Appendix 5, 7 or Table 3, and enter it now rather than in June.</t>
        </is>
      </c>
      <c r="M52" s="224" t="inlineStr">
        <is>
          <t>Standard order for a non-case day:
1. Do the activity
2. Log it the same evening against a referral area AND a competency
3. Note in one line how it developed the skill
4. Check whether it belongs in Appendix 5, 7 or Table 3</t>
        </is>
      </c>
      <c r="N52" s="224" t="inlineStr">
        <is>
          <t>—</t>
        </is>
      </c>
    </row>
    <row r="53" ht="300" customHeight="1" s="128">
      <c r="A53" s="231" t="inlineStr">
        <is>
          <t>REFLECTION</t>
        </is>
      </c>
      <c r="B53" s="231" t="inlineStr">
        <is>
          <t>Weekly</t>
        </is>
      </c>
      <c r="C53" s="231" t="inlineStr">
        <is>
          <t>Wk 16</t>
        </is>
      </c>
      <c r="D53" s="231" t="n"/>
      <c r="E53" s="231" t="n"/>
      <c r="F53" s="231" t="n"/>
      <c r="G53" s="231" t="inlineStr">
        <is>
          <t>END OF WEEK — complete the reflection in column O before the week closes.</t>
        </is>
      </c>
      <c r="H53" s="231" t="n"/>
      <c r="I53" s="231" t="n"/>
      <c r="J53" s="231" t="n"/>
      <c r="K53" s="231" t="n"/>
      <c r="O53" s="224" t="inlineStr">
        <is>
          <t>TITLE:  ______________________________________________
     (name the week in six words — e.g. "The week the hearing history changed everything")
SUBTITLE:  ____________________________________________
     (the competency this week most developed)
AREAS TO FOCUS ON — tick what applies, then write about ONE:
▸  A decision I made and the reasoning behind it
▸  Something I did not know I did not know
▸  A moment I was uncertain and what I did with it
▸  Feedback I received and what I did about it
▸  Something I avoided asking, and why
▸  Where my own assumptions shaped what I looked for (CORU 5.44)
▸  My own response to the work — energy, pace, what it cost (CORU 5.45)
▸  What I would do differently, specifically
REFLECTION (one paragraph, your own words):
     Shape that works — here is what happened · here is what I noticed in myself ·
     here is what I did about it · here is how my practice differs now.
     Use a dated, specific example. Assertions like "I grew in confidence" evidence nothing.
_____________________________________________________________________
_____________________________________________________________________
_____________________________________________________________________
NOTE: this is yours to write. A reflection written by anyone else is not a reflection.</t>
        </is>
      </c>
    </row>
    <row r="54" ht="150" customHeight="1" s="128">
      <c r="A54" s="139" t="inlineStr">
        <is>
          <t>DAY</t>
        </is>
      </c>
      <c r="B54" s="139" t="inlineStr">
        <is>
          <t>Appendix 4</t>
        </is>
      </c>
      <c r="C54" s="139" t="inlineStr">
        <is>
          <t>Wk 17</t>
        </is>
      </c>
      <c r="D54" s="229" t="n">
        <v>36</v>
      </c>
      <c r="E54" s="229" t="inlineStr">
        <is>
          <t>20/04/2026</t>
        </is>
      </c>
      <c r="F54" s="165" t="inlineStr">
        <is>
          <t>Remote</t>
        </is>
      </c>
      <c r="G54" s="165" t="inlineStr">
        <is>
          <t>Sligo assessment postponed — pupil had an OT appointment and no room available. Case preparation and documentation</t>
        </is>
      </c>
      <c r="H54" s="139" t="inlineStr">
        <is>
          <t>Recorded</t>
        </is>
      </c>
      <c r="I54" s="139" t="inlineStr">
        <is>
          <t>1. Assessment</t>
        </is>
      </c>
      <c r="J54" s="139" t="inlineStr">
        <is>
          <t>School Age</t>
        </is>
      </c>
      <c r="K54" s="139" t="inlineStr">
        <is>
          <t>Appendix 4 · Log sheet · Appendix 5 where a case · Appendix 7 where observed</t>
        </is>
      </c>
      <c r="L54" s="224" t="inlineStr">
        <is>
          <t>▸  Log the day against a referral area AND a competency the same evening.
▸  Note in one line how the day developed the skill — that line becomes the reflective essay later.
▸  Check whether anything from today belongs in Appendix 5, 7 or Table 3, and enter it now rather than in June.</t>
        </is>
      </c>
      <c r="M54" s="224" t="inlineStr">
        <is>
          <t>1. Referral question re-read
2. Records and previous reports read
3. Parent developmental history
4. School consultation and observation
5. Direct assessment
6. Scoring, same day
7. Formulation using a named framework
8. Feedback to parent, then school
9. Report
10. Recommendations with review date
11. Log and appendices the same week</t>
        </is>
      </c>
      <c r="N54" s="224" t="inlineStr">
        <is>
          <t>—</t>
        </is>
      </c>
    </row>
    <row r="55" ht="150" customHeight="1" s="128">
      <c r="A55" s="139" t="inlineStr">
        <is>
          <t>DAY</t>
        </is>
      </c>
      <c r="B55" s="139" t="inlineStr">
        <is>
          <t>Appendix 4</t>
        </is>
      </c>
      <c r="C55" s="139" t="inlineStr">
        <is>
          <t>Wk 17</t>
        </is>
      </c>
      <c r="D55" s="229" t="n">
        <v>37</v>
      </c>
      <c r="E55" s="229" t="inlineStr">
        <is>
          <t>21/04/2026</t>
        </is>
      </c>
      <c r="F55" s="165" t="inlineStr">
        <is>
          <t>Sligo School Project NS, then office</t>
        </is>
      </c>
      <c r="G55" s="165" t="inlineStr">
        <is>
          <t>Administered WISC-V independently — FIRST FULLY INDEPENDENT ADMINISTRATION (CS26-00278). Supervision at Roscommon office 15:00</t>
        </is>
      </c>
      <c r="H55" s="139" t="inlineStr">
        <is>
          <t>Recorded</t>
        </is>
      </c>
      <c r="I55" s="139" t="inlineStr">
        <is>
          <t>1. Assessment · 7. Supervision</t>
        </is>
      </c>
      <c r="J55" s="139" t="inlineStr">
        <is>
          <t>School Age</t>
        </is>
      </c>
      <c r="K55" s="139" t="inlineStr">
        <is>
          <t>Appendix 4 · Log sheet · Appendix 5 where a case · Appendix 7 where observed</t>
        </is>
      </c>
      <c r="L55" s="224" t="inlineStr">
        <is>
          <t>▸  Before: re-read the referral question. Confirm which subtests answer it rather than administering the full battery.
▸  Before: check vision and hearing history. Never assess cognition behind an unchecked hearing history.
▸  During: record behaviour as you go — self-corrections, fatigue point, strategy use. That goes in the report.
▸  During: if you deviate from standard administration, record what you did and why in the moment.
▸  After: score the same day. Check every raw-to-standard conversion twice.
▸  After: if index scatter exceeds 23 points, report GAI rather than FSIQ and say why.
▸  After: write the limitations sentence — what this could NOT tell you about this child.</t>
        </is>
      </c>
      <c r="M55" s="224" t="inlineStr">
        <is>
          <t>1. Referral question re-read
2. Records and previous reports read
3. Parent developmental history
4. School consultation and observation
5. Direct assessment
6. Scoring, same day
7. Formulation using a named framework
8. Feedback to parent, then school
9. Report
10. Recommendations with review date
11. Log and appendices the same week</t>
        </is>
      </c>
      <c r="N55" s="224" t="inlineStr">
        <is>
          <t>—</t>
        </is>
      </c>
    </row>
    <row r="56" ht="300" customHeight="1" s="128">
      <c r="A56" s="231" t="inlineStr">
        <is>
          <t>REFLECTION</t>
        </is>
      </c>
      <c r="B56" s="231" t="inlineStr">
        <is>
          <t>Weekly</t>
        </is>
      </c>
      <c r="C56" s="231" t="inlineStr">
        <is>
          <t>Wk 17</t>
        </is>
      </c>
      <c r="D56" s="231" t="n"/>
      <c r="E56" s="231" t="n"/>
      <c r="F56" s="231" t="n"/>
      <c r="G56" s="231" t="inlineStr">
        <is>
          <t>END OF WEEK — complete the reflection in column O before the week closes.</t>
        </is>
      </c>
      <c r="H56" s="231" t="n"/>
      <c r="I56" s="231" t="n"/>
      <c r="J56" s="231" t="n"/>
      <c r="K56" s="231" t="n"/>
      <c r="O56" s="224" t="inlineStr">
        <is>
          <t>TITLE:  ______________________________________________
     (name the week in six words — e.g. "The week the hearing history changed everything")
SUBTITLE:  ____________________________________________
     (the competency this week most developed)
AREAS TO FOCUS ON — tick what applies, then write about ONE:
▸  A decision I made and the reasoning behind it
▸  Something I did not know I did not know
▸  A moment I was uncertain and what I did with it
▸  Feedback I received and what I did about it
▸  Something I avoided asking, and why
▸  Where my own assumptions shaped what I looked for (CORU 5.44)
▸  My own response to the work — energy, pace, what it cost (CORU 5.45)
▸  What I would do differently, specifically
REFLECTION (one paragraph, your own words):
     Shape that works — here is what happened · here is what I noticed in myself ·
     here is what I did about it · here is how my practice differs now.
     Use a dated, specific example. Assertions like "I grew in confidence" evidence nothing.
_____________________________________________________________________
_____________________________________________________________________
_____________________________________________________________________
NOTE: this is yours to write. A reflection written by anyone else is not a reflection.</t>
        </is>
      </c>
    </row>
    <row r="57" ht="150" customHeight="1" s="128">
      <c r="A57" s="139" t="inlineStr">
        <is>
          <t>DAY</t>
        </is>
      </c>
      <c r="B57" s="139" t="inlineStr">
        <is>
          <t>Appendix 4</t>
        </is>
      </c>
      <c r="C57" s="139" t="inlineStr">
        <is>
          <t>Wk 18</t>
        </is>
      </c>
      <c r="D57" s="229" t="n">
        <v>38</v>
      </c>
      <c r="E57" s="229" t="inlineStr">
        <is>
          <t>27/04/2026</t>
        </is>
      </c>
      <c r="F57" s="165" t="inlineStr">
        <is>
          <t>NEPS Roscommon office</t>
        </is>
      </c>
      <c r="G57" s="165" t="inlineStr">
        <is>
          <t>NEPS team meeting. Co-delivered post-primary SET guidelines presentation with a psychologist colleague</t>
        </is>
      </c>
      <c r="H57" s="139" t="inlineStr">
        <is>
          <t>Recorded</t>
        </is>
      </c>
      <c r="I57" s="139" t="inlineStr">
        <is>
          <t>4. Systemic Change</t>
        </is>
      </c>
      <c r="J57" s="139" t="inlineStr">
        <is>
          <t>Adolescent</t>
        </is>
      </c>
      <c r="K57" s="139" t="inlineStr">
        <is>
          <t>Appendix 4 · Log sheet · Appendix 5 where a case · Appendix 7 where observed</t>
        </is>
      </c>
      <c r="L57" s="224" t="inlineStr">
        <is>
          <t>▸  Confirm the day before. Arrive early, sign in, say how long you need and keep to it.
▸  Ask to see the Student Support File and the SEN policy. The gap between the file and the room is a finding.
▸  Ask who does what: principal allocates, SENCO holds the overview, class teacher delivers, SNA often knows the child best.
▸  Send a written summary of what was agreed within 24 hours.
▸  Log it as SYSTEMIC CHANGE, not as casework, or the competency stays thinly evidenced.</t>
        </is>
      </c>
      <c r="M57" s="224" t="inlineStr">
        <is>
          <t>Standard order for a non-case day:
1. Do the activity
2. Log it the same evening against a referral area AND a competency
3. Note in one line how it developed the skill
4. Check whether it belongs in Appendix 5, 7 or Table 3</t>
        </is>
      </c>
      <c r="N57" s="224" t="inlineStr">
        <is>
          <t>—</t>
        </is>
      </c>
    </row>
    <row r="58" ht="150" customHeight="1" s="128">
      <c r="A58" s="139" t="inlineStr">
        <is>
          <t>DAY</t>
        </is>
      </c>
      <c r="B58" s="139" t="inlineStr">
        <is>
          <t>Appendix 4</t>
        </is>
      </c>
      <c r="C58" s="139" t="inlineStr">
        <is>
          <t>Wk 18</t>
        </is>
      </c>
      <c r="D58" s="229" t="n">
        <v>39</v>
      </c>
      <c r="E58" s="229" t="inlineStr">
        <is>
          <t>28/04/2026</t>
        </is>
      </c>
      <c r="F58" s="165" t="inlineStr">
        <is>
          <t>NEPS Roscommon office</t>
        </is>
      </c>
      <c r="G58" s="165" t="inlineStr">
        <is>
          <t>Office day</t>
        </is>
      </c>
      <c r="H58" s="139" t="inlineStr">
        <is>
          <t>Recorded</t>
        </is>
      </c>
      <c r="I58" s="139" t="inlineStr">
        <is>
          <t>—</t>
        </is>
      </c>
      <c r="J58" s="139" t="inlineStr">
        <is>
          <t>School Age</t>
        </is>
      </c>
      <c r="K58" s="139" t="inlineStr">
        <is>
          <t>Appendix 4 · Log sheet · Appendix 5 where a case · Appendix 7 where observed</t>
        </is>
      </c>
      <c r="L58" s="224" t="inlineStr">
        <is>
          <t>▸  Log the day against a referral area AND a competency the same evening.
▸  Note in one line how the day developed the skill — that line becomes the reflective essay later.
▸  Check whether anything from today belongs in Appendix 5, 7 or Table 3, and enter it now rather than in June.</t>
        </is>
      </c>
      <c r="M58" s="224" t="inlineStr">
        <is>
          <t>Standard order for a non-case day:
1. Do the activity
2. Log it the same evening against a referral area AND a competency
3. Note in one line how it developed the skill
4. Check whether it belongs in Appendix 5, 7 or Table 3</t>
        </is>
      </c>
      <c r="N58" s="224" t="inlineStr">
        <is>
          <t>—</t>
        </is>
      </c>
    </row>
    <row r="59" ht="150" customHeight="1" s="128">
      <c r="A59" s="139" t="inlineStr">
        <is>
          <t>DAY</t>
        </is>
      </c>
      <c r="B59" s="139" t="inlineStr">
        <is>
          <t>Appendix 4</t>
        </is>
      </c>
      <c r="C59" s="139" t="inlineStr">
        <is>
          <t>Wk 18</t>
        </is>
      </c>
      <c r="D59" s="229" t="n">
        <v>40</v>
      </c>
      <c r="E59" s="229" t="inlineStr">
        <is>
          <t>29/04/2026</t>
        </is>
      </c>
      <c r="F59" s="165" t="inlineStr">
        <is>
          <t>Remote</t>
        </is>
      </c>
      <c r="G59" s="165" t="inlineStr">
        <is>
          <t>Remote working day</t>
        </is>
      </c>
      <c r="H59" s="139" t="inlineStr">
        <is>
          <t>Recorded</t>
        </is>
      </c>
      <c r="I59" s="139" t="inlineStr">
        <is>
          <t>—</t>
        </is>
      </c>
      <c r="J59" s="139" t="inlineStr">
        <is>
          <t>School Age</t>
        </is>
      </c>
      <c r="K59" s="139" t="inlineStr">
        <is>
          <t>Appendix 4 · Log sheet · Appendix 5 where a case · Appendix 7 where observed</t>
        </is>
      </c>
      <c r="L59" s="224" t="inlineStr">
        <is>
          <t>▸  Log the day against a referral area AND a competency the same evening.
▸  Note in one line how the day developed the skill — that line becomes the reflective essay later.
▸  Check whether anything from today belongs in Appendix 5, 7 or Table 3, and enter it now rather than in June.</t>
        </is>
      </c>
      <c r="M59" s="224" t="inlineStr">
        <is>
          <t>Standard order for a non-case day:
1. Do the activity
2. Log it the same evening against a referral area AND a competency
3. Note in one line how it developed the skill
4. Check whether it belongs in Appendix 5, 7 or Table 3</t>
        </is>
      </c>
      <c r="N59" s="224" t="inlineStr">
        <is>
          <t>—</t>
        </is>
      </c>
    </row>
    <row r="60" ht="150" customHeight="1" s="128">
      <c r="A60" s="139" t="inlineStr">
        <is>
          <t>DAY</t>
        </is>
      </c>
      <c r="B60" s="139" t="inlineStr">
        <is>
          <t>Appendix 4</t>
        </is>
      </c>
      <c r="C60" s="139" t="inlineStr">
        <is>
          <t>Wk 18</t>
        </is>
      </c>
      <c r="D60" s="229" t="n">
        <v>41</v>
      </c>
      <c r="E60" s="229" t="inlineStr">
        <is>
          <t>30/04/2026</t>
        </is>
      </c>
      <c r="F60" s="165" t="inlineStr">
        <is>
          <t>Ballintleva NS, Curraghboy</t>
        </is>
      </c>
      <c r="G60" s="165" t="inlineStr">
        <is>
          <t>Initial school visit 09:46-12:54 (CS26-02343). TEP support session 2 (Teams) 14:00-16:00; dyslexia materials shared with colleague</t>
        </is>
      </c>
      <c r="H60" s="139" t="inlineStr">
        <is>
          <t>Recorded</t>
        </is>
      </c>
      <c r="I60" s="139" t="inlineStr">
        <is>
          <t>4. Systemic Change</t>
        </is>
      </c>
      <c r="J60" s="139" t="inlineStr">
        <is>
          <t>School Age</t>
        </is>
      </c>
      <c r="K60" s="139" t="inlineStr">
        <is>
          <t>Appendix 4 · Log sheet · Appendix 5 where a case · Appendix 7 where observed</t>
        </is>
      </c>
      <c r="L60" s="224" t="inlineStr">
        <is>
          <t>▸  Confirm the day before. Arrive early, sign in, say how long you need and keep to it.
▸  Ask to see the Student Support File and the SEN policy. The gap between the file and the room is a finding.
▸  Ask who does what: principal allocates, SENCO holds the overview, class teacher delivers, SNA often knows the child best.
▸  Send a written summary of what was agreed within 24 hours.
▸  Log it as SYSTEMIC CHANGE, not as casework, or the competency stays thinly evidenced.</t>
        </is>
      </c>
      <c r="M60" s="224" t="inlineStr">
        <is>
          <t>Standard order for a non-case day:
1. Do the activity
2. Log it the same evening against a referral area AND a competency
3. Note in one line how it developed the skill
4. Check whether it belongs in Appendix 5, 7 or Table 3</t>
        </is>
      </c>
      <c r="N60" s="224" t="inlineStr">
        <is>
          <t>—</t>
        </is>
      </c>
    </row>
    <row r="61" ht="300" customHeight="1" s="128">
      <c r="A61" s="231" t="inlineStr">
        <is>
          <t>REFLECTION</t>
        </is>
      </c>
      <c r="B61" s="231" t="inlineStr">
        <is>
          <t>Weekly</t>
        </is>
      </c>
      <c r="C61" s="231" t="inlineStr">
        <is>
          <t>Wk 18</t>
        </is>
      </c>
      <c r="D61" s="231" t="n"/>
      <c r="E61" s="231" t="n"/>
      <c r="F61" s="231" t="n"/>
      <c r="G61" s="231" t="inlineStr">
        <is>
          <t>END OF WEEK — complete the reflection in column O before the week closes.</t>
        </is>
      </c>
      <c r="H61" s="231" t="n"/>
      <c r="I61" s="231" t="n"/>
      <c r="J61" s="231" t="n"/>
      <c r="K61" s="231" t="n"/>
      <c r="O61" s="224" t="inlineStr">
        <is>
          <t>TITLE:  ______________________________________________
     (name the week in six words — e.g. "The week the hearing history changed everything")
SUBTITLE:  ____________________________________________
     (the competency this week most developed)
AREAS TO FOCUS ON — tick what applies, then write about ONE:
▸  A decision I made and the reasoning behind it
▸  Something I did not know I did not know
▸  A moment I was uncertain and what I did with it
▸  Feedback I received and what I did about it
▸  Something I avoided asking, and why
▸  Where my own assumptions shaped what I looked for (CORU 5.44)
▸  My own response to the work — energy, pace, what it cost (CORU 5.45)
▸  What I would do differently, specifically
REFLECTION (one paragraph, your own words):
     Shape that works — here is what happened · here is what I noticed in myself ·
     here is what I did about it · here is how my practice differs now.
     Use a dated, specific example. Assertions like "I grew in confidence" evidence nothing.
_____________________________________________________________________
_____________________________________________________________________
_____________________________________________________________________
NOTE: this is yours to write. A reflection written by anyone else is not a reflection.</t>
        </is>
      </c>
    </row>
    <row r="62" ht="150" customHeight="1" s="128">
      <c r="A62" s="139" t="inlineStr">
        <is>
          <t>DAY</t>
        </is>
      </c>
      <c r="B62" s="139" t="inlineStr">
        <is>
          <t>Appendix 4</t>
        </is>
      </c>
      <c r="C62" s="139" t="inlineStr">
        <is>
          <t>Wk 19</t>
        </is>
      </c>
      <c r="D62" s="229" t="n">
        <v>42</v>
      </c>
      <c r="E62" s="229" t="inlineStr">
        <is>
          <t>06/05/2026</t>
        </is>
      </c>
      <c r="F62" s="165" t="inlineStr">
        <is>
          <t>Remote</t>
        </is>
      </c>
      <c r="G62" s="165" t="inlineStr">
        <is>
          <t>Sligo follow-up meeting arranged 16:15 (CS26-00278); chased twice without reply. Case documentation</t>
        </is>
      </c>
      <c r="H62" s="139" t="inlineStr">
        <is>
          <t>Recorded</t>
        </is>
      </c>
      <c r="I62" s="139" t="inlineStr">
        <is>
          <t>4. Systemic Change</t>
        </is>
      </c>
      <c r="J62" s="139" t="inlineStr">
        <is>
          <t>School Age</t>
        </is>
      </c>
      <c r="K62" s="139" t="inlineStr">
        <is>
          <t>Appendix 4 · Log sheet · Appendix 5 where a case · Appendix 7 where observed</t>
        </is>
      </c>
      <c r="L62" s="224" t="inlineStr">
        <is>
          <t>▸  Confirm the day before. Arrive early, sign in, say how long you need and keep to it.
▸  Ask to see the Student Support File and the SEN policy. The gap between the file and the room is a finding.
▸  Ask who does what: principal allocates, SENCO holds the overview, class teacher delivers, SNA often knows the child best.
▸  Send a written summary of what was agreed within 24 hours.
▸  Log it as SYSTEMIC CHANGE, not as casework, or the competency stays thinly evidenced.</t>
        </is>
      </c>
      <c r="M62" s="224" t="inlineStr">
        <is>
          <t>Standard order for a non-case day:
1. Do the activity
2. Log it the same evening against a referral area AND a competency
3. Note in one line how it developed the skill
4. Check whether it belongs in Appendix 5, 7 or Table 3</t>
        </is>
      </c>
      <c r="N62" s="224" t="inlineStr">
        <is>
          <t>—</t>
        </is>
      </c>
    </row>
    <row r="63" ht="150" customHeight="1" s="128">
      <c r="A63" s="139" t="inlineStr">
        <is>
          <t>DAY</t>
        </is>
      </c>
      <c r="B63" s="139" t="inlineStr">
        <is>
          <t>Appendix 4</t>
        </is>
      </c>
      <c r="C63" s="139" t="inlineStr">
        <is>
          <t>Wk 19</t>
        </is>
      </c>
      <c r="D63" s="229" t="n">
        <v>43</v>
      </c>
      <c r="E63" s="229" t="inlineStr">
        <is>
          <t>07/05/2026</t>
        </is>
      </c>
      <c r="F63" s="165" t="inlineStr">
        <is>
          <t>Ballintleva NS</t>
        </is>
      </c>
      <c r="G63" s="165" t="inlineStr">
        <is>
          <t>Joint consultation with supervisor, school staff and family: needs identified and actions agreed (CS26-02343)</t>
        </is>
      </c>
      <c r="H63" s="139" t="inlineStr">
        <is>
          <t>Recorded</t>
        </is>
      </c>
      <c r="I63" s="139" t="inlineStr">
        <is>
          <t>3. Intervention · 7. Supervision</t>
        </is>
      </c>
      <c r="J63" s="139" t="inlineStr">
        <is>
          <t>School Age</t>
        </is>
      </c>
      <c r="K63" s="139" t="inlineStr">
        <is>
          <t>Appendix 4 · Log sheet · Appendix 5 where a case · Appendix 7 where observed</t>
        </is>
      </c>
      <c r="L63" s="224" t="inlineStr">
        <is>
          <t>▸  Confirm the day before. Arrive early, sign in, say how long you need and keep to it.
▸  Ask to see the Student Support File and the SEN policy. The gap between the file and the room is a finding.
▸  Ask who does what: principal allocates, SENCO holds the overview, class teacher delivers, SNA often knows the child best.
▸  Send a written summary of what was agreed within 24 hours.
▸  Log it as SYSTEMIC CHANGE, not as casework, or the competency stays thinly evidenced.</t>
        </is>
      </c>
      <c r="M63" s="224" t="inlineStr">
        <is>
          <t>Standard order for a non-case day:
1. Do the activity
2. Log it the same evening against a referral area AND a competency
3. Note in one line how it developed the skill
4. Check whether it belongs in Appendix 5, 7 or Table 3</t>
        </is>
      </c>
      <c r="N63" s="224" t="inlineStr">
        <is>
          <t>—</t>
        </is>
      </c>
    </row>
    <row r="64" ht="300" customHeight="1" s="128">
      <c r="A64" s="231" t="inlineStr">
        <is>
          <t>REFLECTION</t>
        </is>
      </c>
      <c r="B64" s="231" t="inlineStr">
        <is>
          <t>Weekly</t>
        </is>
      </c>
      <c r="C64" s="231" t="inlineStr">
        <is>
          <t>Wk 19</t>
        </is>
      </c>
      <c r="D64" s="231" t="n"/>
      <c r="E64" s="231" t="n"/>
      <c r="F64" s="231" t="n"/>
      <c r="G64" s="231" t="inlineStr">
        <is>
          <t>END OF WEEK — complete the reflection in column O before the week closes.</t>
        </is>
      </c>
      <c r="H64" s="231" t="n"/>
      <c r="I64" s="231" t="n"/>
      <c r="J64" s="231" t="n"/>
      <c r="K64" s="231" t="n"/>
      <c r="O64" s="224" t="inlineStr">
        <is>
          <t>TITLE:  ______________________________________________
     (name the week in six words — e.g. "The week the hearing history changed everything")
SUBTITLE:  ____________________________________________
     (the competency this week most developed)
AREAS TO FOCUS ON — tick what applies, then write about ONE:
▸  A decision I made and the reasoning behind it
▸  Something I did not know I did not know
▸  A moment I was uncertain and what I did with it
▸  Feedback I received and what I did about it
▸  Something I avoided asking, and why
▸  Where my own assumptions shaped what I looked for (CORU 5.44)
▸  My own response to the work — energy, pace, what it cost (CORU 5.45)
▸  What I would do differently, specifically
REFLECTION (one paragraph, your own words):
     Shape that works — here is what happened · here is what I noticed in myself ·
     here is what I did about it · here is how my practice differs now.
     Use a dated, specific example. Assertions like "I grew in confidence" evidence nothing.
_____________________________________________________________________
_____________________________________________________________________
_____________________________________________________________________
NOTE: this is yours to write. A reflection written by anyone else is not a reflection.</t>
        </is>
      </c>
    </row>
    <row r="65" ht="150" customHeight="1" s="128">
      <c r="A65" s="139" t="inlineStr">
        <is>
          <t>DAY</t>
        </is>
      </c>
      <c r="B65" s="139" t="inlineStr">
        <is>
          <t>Appendix 4</t>
        </is>
      </c>
      <c r="C65" s="139" t="inlineStr">
        <is>
          <t>Wk 20</t>
        </is>
      </c>
      <c r="D65" s="229" t="n">
        <v>44</v>
      </c>
      <c r="E65" s="229" t="inlineStr">
        <is>
          <t>11/05/2026</t>
        </is>
      </c>
      <c r="F65" s="165" t="inlineStr">
        <is>
          <t>Ballintleva NS</t>
        </is>
      </c>
      <c r="G65" s="165" t="inlineStr">
        <is>
          <t>TEP visit 10:19-12:24: visual supports selected, demonstrated to SNA and class teacher, trialled with the pupil (CS26-02343)</t>
        </is>
      </c>
      <c r="H65" s="139" t="inlineStr">
        <is>
          <t>Recorded</t>
        </is>
      </c>
      <c r="I65" s="139" t="inlineStr">
        <is>
          <t>—</t>
        </is>
      </c>
      <c r="J65" s="139" t="inlineStr">
        <is>
          <t>School Age</t>
        </is>
      </c>
      <c r="K65" s="139" t="inlineStr">
        <is>
          <t>Appendix 4 · Log sheet · Appendix 5 where a case · Appendix 7 where observed</t>
        </is>
      </c>
      <c r="L65" s="224" t="inlineStr">
        <is>
          <t>▸  Confirm the day before. Arrive early, sign in, say how long you need and keep to it.
▸  Ask to see the Student Support File and the SEN policy. The gap between the file and the room is a finding.
▸  Ask who does what: principal allocates, SENCO holds the overview, class teacher delivers, SNA often knows the child best.
▸  Send a written summary of what was agreed within 24 hours.
▸  Log it as SYSTEMIC CHANGE, not as casework, or the competency stays thinly evidenced.</t>
        </is>
      </c>
      <c r="M65" s="224" t="inlineStr">
        <is>
          <t>Standard order for a non-case day:
1. Do the activity
2. Log it the same evening against a referral area AND a competency
3. Note in one line how it developed the skill
4. Check whether it belongs in Appendix 5, 7 or Table 3</t>
        </is>
      </c>
      <c r="N65" s="224" t="inlineStr">
        <is>
          <t>—</t>
        </is>
      </c>
    </row>
    <row r="66" ht="150" customHeight="1" s="128">
      <c r="A66" s="139" t="inlineStr">
        <is>
          <t>DAY</t>
        </is>
      </c>
      <c r="B66" s="139" t="inlineStr">
        <is>
          <t>Appendix 4</t>
        </is>
      </c>
      <c r="C66" s="139" t="inlineStr">
        <is>
          <t>Wk 20</t>
        </is>
      </c>
      <c r="D66" s="229" t="n">
        <v>45</v>
      </c>
      <c r="E66" s="229" t="inlineStr">
        <is>
          <t>12/05/2026</t>
        </is>
      </c>
      <c r="F66" s="165" t="inlineStr">
        <is>
          <t>Ballintleva NS</t>
        </is>
      </c>
      <c r="G66" s="165" t="inlineStr">
        <is>
          <t>TEP visit: classroom observation; social story written; sharing modelled with SNA and a peer (CS26-02343)</t>
        </is>
      </c>
      <c r="H66" s="139" t="inlineStr">
        <is>
          <t>Recorded</t>
        </is>
      </c>
      <c r="I66" s="139" t="inlineStr">
        <is>
          <t>1. Assessment</t>
        </is>
      </c>
      <c r="J66" s="139" t="inlineStr">
        <is>
          <t>School Age</t>
        </is>
      </c>
      <c r="K66" s="139" t="inlineStr">
        <is>
          <t>Appendix 4 · Log sheet · Appendix 5 where a case · Appendix 7 where observed</t>
        </is>
      </c>
      <c r="L66" s="224" t="inlineStr">
        <is>
          <t>▸  Before: write the operational definition on paper. "Leaves seat during independent written work" is definable; "disruptive" is not.
▸  Before: choose the sampling method and record why — momentary time sampling is the least biased for prevalence.
▸  Before: identify a comparison peer with the class teacher. Same sex, typical for the group, not the best-behaved child.
▸  During: take a settling minute before recording. Note context in the margin.
▸  After: write up within 24 hours with a limitations sentence on temporal stability.
▸  After: complete the Appendix 7 form the same day if observed or observing.</t>
        </is>
      </c>
      <c r="M66" s="224" t="inlineStr">
        <is>
          <t>1. Referral question re-read
2. Records and previous reports read
3. Parent developmental history
4. School consultation and observation
5. Direct assessment
6. Scoring, same day
7. Formulation using a named framework
8. Feedback to parent, then school
9. Report
10. Recommendations with review date
11. Log and appendices the same week</t>
        </is>
      </c>
      <c r="N66" s="224" t="inlineStr">
        <is>
          <t>—</t>
        </is>
      </c>
    </row>
    <row r="67" ht="150" customHeight="1" s="128">
      <c r="A67" s="139" t="inlineStr">
        <is>
          <t>DAY</t>
        </is>
      </c>
      <c r="B67" s="139" t="inlineStr">
        <is>
          <t>Appendix 4</t>
        </is>
      </c>
      <c r="C67" s="139" t="inlineStr">
        <is>
          <t>Wk 20</t>
        </is>
      </c>
      <c r="D67" s="229" t="n">
        <v>46</v>
      </c>
      <c r="E67" s="229" t="inlineStr">
        <is>
          <t>13/05/2026</t>
        </is>
      </c>
      <c r="F67" s="165" t="inlineStr">
        <is>
          <t>NEPS Roscommon office</t>
        </is>
      </c>
      <c r="G67" s="165" t="inlineStr">
        <is>
          <t>Office day; Ballintleva case write-up and documentation</t>
        </is>
      </c>
      <c r="H67" s="139" t="inlineStr">
        <is>
          <t>Recorded</t>
        </is>
      </c>
      <c r="I67" s="139" t="inlineStr">
        <is>
          <t>2. Formulation</t>
        </is>
      </c>
      <c r="J67" s="139" t="inlineStr">
        <is>
          <t>School Age</t>
        </is>
      </c>
      <c r="K67" s="139" t="inlineStr">
        <is>
          <t>Appendix 4 · Log sheet · Appendix 5 where a case · Appendix 7 where observed</t>
        </is>
      </c>
      <c r="L67" s="224" t="inlineStr">
        <is>
          <t>▸  Re-read the referral question before writing the conclusion. Reports routinely describe a child and never answer what was asked.
▸  Organise findings by source; organise the FORMULATION by integration — name where sources conflict and what you make of it.
▸  Use a named framework and say which: Monsen, Interactive Factors, COMOIRA or Carr.
▸  Write a SPECIFIC limitations section, not a generic one.
▸  Name the Continuum of Support level and justify why that level and not the one below.
▸  Address each recommendation to a role, with frequency, duration and a review measure.</t>
        </is>
      </c>
      <c r="M67" s="224" t="inlineStr">
        <is>
          <t>Standard order for a non-case day:
1. Do the activity
2. Log it the same evening against a referral area AND a competency
3. Note in one line how it developed the skill
4. Check whether it belongs in Appendix 5, 7 or Table 3</t>
        </is>
      </c>
      <c r="N67" s="224" t="inlineStr">
        <is>
          <t>—</t>
        </is>
      </c>
    </row>
    <row r="68" ht="150" customHeight="1" s="128">
      <c r="A68" s="139" t="inlineStr">
        <is>
          <t>DAY</t>
        </is>
      </c>
      <c r="B68" s="139" t="inlineStr">
        <is>
          <t>Appendix 4</t>
        </is>
      </c>
      <c r="C68" s="139" t="inlineStr">
        <is>
          <t>Wk 20</t>
        </is>
      </c>
      <c r="D68" s="229" t="n">
        <v>47</v>
      </c>
      <c r="E68" s="229" t="inlineStr">
        <is>
          <t>14/05/2026</t>
        </is>
      </c>
      <c r="F68" s="165" t="inlineStr">
        <is>
          <t>NEPS Roscommon office</t>
        </is>
      </c>
      <c r="G68" s="165" t="inlineStr">
        <is>
          <t>Supervision 10:00; Rockfield report finalised, issued and co-signed (CS26-02159). UCD/MIC trainee group 14:00</t>
        </is>
      </c>
      <c r="H68" s="139" t="inlineStr">
        <is>
          <t>Recorded</t>
        </is>
      </c>
      <c r="I68" s="139" t="inlineStr">
        <is>
          <t>2. Formulation · 7. Supervision</t>
        </is>
      </c>
      <c r="J68" s="139" t="inlineStr">
        <is>
          <t>School Age</t>
        </is>
      </c>
      <c r="K68" s="139" t="inlineStr">
        <is>
          <t>Appendix 4 · Log sheet · Appendix 5 where a case · Appendix 7 where observed</t>
        </is>
      </c>
      <c r="L68" s="224" t="inlineStr">
        <is>
          <t>▸  Re-read the referral question before writing the conclusion. Reports routinely describe a child and never answer what was asked.
▸  Organise findings by source; organise the FORMULATION by integration — name where sources conflict and what you make of it.
▸  Use a named framework and say which: Monsen, Interactive Factors, COMOIRA or Carr.
▸  Write a SPECIFIC limitations section, not a generic one.
▸  Name the Continuum of Support level and justify why that level and not the one below.
▸  Address each recommendation to a role, with frequency, duration and a review measure.</t>
        </is>
      </c>
      <c r="M68" s="224" t="inlineStr">
        <is>
          <t>Standard order for a non-case day:
1. Do the activity
2. Log it the same evening against a referral area AND a competency
3. Note in one line how it developed the skill
4. Check whether it belongs in Appendix 5, 7 or Table 3</t>
        </is>
      </c>
      <c r="N68" s="224" t="inlineStr">
        <is>
          <t>—</t>
        </is>
      </c>
    </row>
    <row r="69" ht="300" customHeight="1" s="128">
      <c r="A69" s="231" t="inlineStr">
        <is>
          <t>REFLECTION</t>
        </is>
      </c>
      <c r="B69" s="231" t="inlineStr">
        <is>
          <t>Weekly</t>
        </is>
      </c>
      <c r="C69" s="231" t="inlineStr">
        <is>
          <t>Wk 20</t>
        </is>
      </c>
      <c r="D69" s="231" t="n"/>
      <c r="E69" s="231" t="n"/>
      <c r="F69" s="231" t="n"/>
      <c r="G69" s="231" t="inlineStr">
        <is>
          <t>END OF WEEK — complete the reflection in column O before the week closes.</t>
        </is>
      </c>
      <c r="H69" s="231" t="n"/>
      <c r="I69" s="231" t="n"/>
      <c r="J69" s="231" t="n"/>
      <c r="K69" s="231" t="n"/>
      <c r="O69" s="224" t="inlineStr">
        <is>
          <t>TITLE:  ______________________________________________
     (name the week in six words — e.g. "The week the hearing history changed everything")
SUBTITLE:  ____________________________________________
     (the competency this week most developed)
AREAS TO FOCUS ON — tick what applies, then write about ONE:
▸  A decision I made and the reasoning behind it
▸  Something I did not know I did not know
▸  A moment I was uncertain and what I did with it
▸  Feedback I received and what I did about it
▸  Something I avoided asking, and why
▸  Where my own assumptions shaped what I looked for (CORU 5.44)
▸  My own response to the work — energy, pace, what it cost (CORU 5.45)
▸  What I would do differently, specifically
REFLECTION (one paragraph, your own words):
     Shape that works — here is what happened · here is what I noticed in myself ·
     here is what I did about it · here is how my practice differs now.
     Use a dated, specific example. Assertions like "I grew in confidence" evidence nothing.
_____________________________________________________________________
_____________________________________________________________________
_____________________________________________________________________
NOTE: this is yours to write. A reflection written by anyone else is not a reflection.</t>
        </is>
      </c>
    </row>
    <row r="70" ht="150" customHeight="1" s="128">
      <c r="A70" s="139" t="inlineStr">
        <is>
          <t>DAY</t>
        </is>
      </c>
      <c r="B70" s="139" t="inlineStr">
        <is>
          <t>Appendix 4</t>
        </is>
      </c>
      <c r="C70" s="139" t="inlineStr">
        <is>
          <t>Wk 21</t>
        </is>
      </c>
      <c r="D70" s="229" t="n">
        <v>48</v>
      </c>
      <c r="E70" s="229" t="inlineStr">
        <is>
          <t>18/05/2026</t>
        </is>
      </c>
      <c r="F70" s="165" t="inlineStr">
        <is>
          <t>Remote</t>
        </is>
      </c>
      <c r="G70" s="165" t="inlineStr">
        <is>
          <t>Remote working day; supervisor at conference. Case documentation and Grange preparation</t>
        </is>
      </c>
      <c r="H70" s="139" t="inlineStr">
        <is>
          <t>Recorded</t>
        </is>
      </c>
      <c r="I70" s="139" t="inlineStr">
        <is>
          <t>7. Supervision</t>
        </is>
      </c>
      <c r="J70" s="139" t="inlineStr">
        <is>
          <t>School Age</t>
        </is>
      </c>
      <c r="K70" s="139" t="inlineStr">
        <is>
          <t>Appendix 4 · Log sheet · Appendix 5 where a case · Appendix 7 where observed</t>
        </is>
      </c>
      <c r="L70" s="224" t="inlineStr">
        <is>
          <t>▸  Log the day against a referral area AND a competency the same evening.
▸  Note in one line how the day developed the skill — that line becomes the reflective essay later.
▸  Check whether anything from today belongs in Appendix 5, 7 or Table 3, and enter it now rather than in June.</t>
        </is>
      </c>
      <c r="M70" s="224" t="inlineStr">
        <is>
          <t>Standard order for a non-case day:
1. Do the activity
2. Log it the same evening against a referral area AND a competency
3. Note in one line how it developed the skill
4. Check whether it belongs in Appendix 5, 7 or Table 3</t>
        </is>
      </c>
      <c r="N70" s="224" t="inlineStr">
        <is>
          <t>—</t>
        </is>
      </c>
    </row>
    <row r="71" ht="150" customHeight="1" s="128">
      <c r="A71" s="139" t="inlineStr">
        <is>
          <t>DAY</t>
        </is>
      </c>
      <c r="B71" s="139" t="inlineStr">
        <is>
          <t>Appendix 4</t>
        </is>
      </c>
      <c r="C71" s="139" t="inlineStr">
        <is>
          <t>Wk 21</t>
        </is>
      </c>
      <c r="D71" s="229" t="n">
        <v>49</v>
      </c>
      <c r="E71" s="229" t="inlineStr">
        <is>
          <t>19/05/2026</t>
        </is>
      </c>
      <c r="F71" s="165" t="inlineStr">
        <is>
          <t>Remote</t>
        </is>
      </c>
      <c r="G71" s="165" t="inlineStr">
        <is>
          <t>Remote preparation for the Grange assessment (CS25-04339)</t>
        </is>
      </c>
      <c r="H71" s="139" t="inlineStr">
        <is>
          <t>Recorded</t>
        </is>
      </c>
      <c r="I71" s="139" t="inlineStr">
        <is>
          <t>1. Assessment</t>
        </is>
      </c>
      <c r="J71" s="139" t="inlineStr">
        <is>
          <t>School Age</t>
        </is>
      </c>
      <c r="K71" s="139" t="inlineStr">
        <is>
          <t>Appendix 4 · Log sheet · Appendix 5 where a case · Appendix 7 where observed</t>
        </is>
      </c>
      <c r="L71" s="224" t="inlineStr">
        <is>
          <t>▸  Log the day against a referral area AND a competency the same evening.
▸  Note in one line how the day developed the skill — that line becomes the reflective essay later.
▸  Check whether anything from today belongs in Appendix 5, 7 or Table 3, and enter it now rather than in June.</t>
        </is>
      </c>
      <c r="M71" s="224" t="inlineStr">
        <is>
          <t>1. Referral question re-read
2. Records and previous reports read
3. Parent developmental history
4. School consultation and observation
5. Direct assessment
6. Scoring, same day
7. Formulation using a named framework
8. Feedback to parent, then school
9. Report
10. Recommendations with review date
11. Log and appendices the same week</t>
        </is>
      </c>
      <c r="N71" s="224" t="inlineStr">
        <is>
          <t>—</t>
        </is>
      </c>
    </row>
    <row r="72" ht="150" customHeight="1" s="128">
      <c r="A72" s="139" t="inlineStr">
        <is>
          <t>DAY</t>
        </is>
      </c>
      <c r="B72" s="139" t="inlineStr">
        <is>
          <t>Appendix 4</t>
        </is>
      </c>
      <c r="C72" s="139" t="inlineStr">
        <is>
          <t>Wk 21</t>
        </is>
      </c>
      <c r="D72" s="229" t="n">
        <v>50</v>
      </c>
      <c r="E72" s="229" t="inlineStr">
        <is>
          <t>20/05/2026</t>
        </is>
      </c>
      <c r="F72" s="165" t="inlineStr">
        <is>
          <t>Grange NS, Boyle</t>
        </is>
      </c>
      <c r="G72" s="165" t="inlineStr">
        <is>
          <t>Classroom and playground observation; student interview; WIAT-III begun; teacher consultation (CS25-04339)</t>
        </is>
      </c>
      <c r="H72" s="139" t="inlineStr">
        <is>
          <t>Recorded</t>
        </is>
      </c>
      <c r="I72" s="139" t="inlineStr">
        <is>
          <t>1. Assessment · 3. Intervention · 5. Working with Others</t>
        </is>
      </c>
      <c r="J72" s="139" t="inlineStr">
        <is>
          <t>School Age</t>
        </is>
      </c>
      <c r="K72" s="139" t="inlineStr">
        <is>
          <t>Appendix 4 · Log sheet · Appendix 5 where a case · Appendix 7 where observed</t>
        </is>
      </c>
      <c r="L72" s="224" t="inlineStr">
        <is>
          <t>▸  Before: have the cognitive result in front of you. Attainment is only meaningful against an expectation.
▸  Before: establish what has actually been taught. You cannot identify difficulty "despite appropriate instruction" without it.
▸  During: mark Oral Reading Fluency errors live while timing. It cannot be reconstructed afterwards.
▸  After: identify the impaired component — phonological, fluency, vocabulary or comprehension — before naming any programme.
▸  After: specify what, who, how often, for how long, and the monitoring measure.</t>
        </is>
      </c>
      <c r="M72" s="224" t="inlineStr">
        <is>
          <t>1. Referral question re-read
2. Records and previous reports read
3. Parent developmental history
4. School consultation and observation
5. Direct assessment
6. Scoring, same day
7. Formulation using a named framework
8. Feedback to parent, then school
9. Report
10. Recommendations with review date
11. Log and appendices the same week</t>
        </is>
      </c>
      <c r="N72" s="224" t="inlineStr">
        <is>
          <t>—</t>
        </is>
      </c>
    </row>
    <row r="73" ht="150" customHeight="1" s="128">
      <c r="A73" s="139" t="inlineStr">
        <is>
          <t>DAY</t>
        </is>
      </c>
      <c r="B73" s="139" t="inlineStr">
        <is>
          <t>Appendix 4</t>
        </is>
      </c>
      <c r="C73" s="139" t="inlineStr">
        <is>
          <t>Wk 21</t>
        </is>
      </c>
      <c r="D73" s="229" t="n">
        <v>51</v>
      </c>
      <c r="E73" s="229" t="inlineStr">
        <is>
          <t>21/05/2026</t>
        </is>
      </c>
      <c r="F73" s="165" t="inlineStr">
        <is>
          <t>Remote</t>
        </is>
      </c>
      <c r="G73" s="165" t="inlineStr">
        <is>
          <t>Grange preparation and write-up (CS25-04339)</t>
        </is>
      </c>
      <c r="H73" s="139" t="inlineStr">
        <is>
          <t>Recorded</t>
        </is>
      </c>
      <c r="I73" s="139" t="inlineStr">
        <is>
          <t>2. Formulation</t>
        </is>
      </c>
      <c r="J73" s="139" t="inlineStr">
        <is>
          <t>School Age</t>
        </is>
      </c>
      <c r="K73" s="139" t="inlineStr">
        <is>
          <t>Appendix 4 · Log sheet · Appendix 5 where a case · Appendix 7 where observed</t>
        </is>
      </c>
      <c r="L73" s="224" t="inlineStr">
        <is>
          <t>▸  Re-read the referral question before writing the conclusion. Reports routinely describe a child and never answer what was asked.
▸  Organise findings by source; organise the FORMULATION by integration — name where sources conflict and what you make of it.
▸  Use a named framework and say which: Monsen, Interactive Factors, COMOIRA or Carr.
▸  Write a SPECIFIC limitations section, not a generic one.
▸  Name the Continuum of Support level and justify why that level and not the one below.
▸  Address each recommendation to a role, with frequency, duration and a review measure.</t>
        </is>
      </c>
      <c r="M73" s="224" t="inlineStr">
        <is>
          <t>Standard order for a non-case day:
1. Do the activity
2. Log it the same evening against a referral area AND a competency
3. Note in one line how it developed the skill
4. Check whether it belongs in Appendix 5, 7 or Table 3</t>
        </is>
      </c>
      <c r="N73" s="224" t="inlineStr">
        <is>
          <t>—</t>
        </is>
      </c>
    </row>
    <row r="74" ht="150" customHeight="1" s="128">
      <c r="A74" s="230" t="inlineStr">
        <is>
          <t>DAY</t>
        </is>
      </c>
      <c r="B74" s="230" t="inlineStr">
        <is>
          <t>Appendix 4</t>
        </is>
      </c>
      <c r="C74" s="230" t="inlineStr">
        <is>
          <t>Wk 21</t>
        </is>
      </c>
      <c r="D74" s="205" t="inlineStr">
        <is>
          <t>P6</t>
        </is>
      </c>
      <c r="E74" s="205" t="inlineStr">
        <is>
          <t>22/05/2026</t>
        </is>
      </c>
      <c r="F74" s="207" t="inlineStr">
        <is>
          <t>Grange NS, Boyle</t>
        </is>
      </c>
      <c r="G74" s="207" t="inlineStr">
        <is>
          <t>PENDING — attainment assessment continued; student interview using Blob Tree and How Do You Feel; observations; parent and teacher consultations; SAFEGUARDING DISCLOSURE received and managed (CS25-04339)</t>
        </is>
      </c>
      <c r="H74" s="230" t="inlineStr">
        <is>
          <t>PENDING — unconfirmed</t>
        </is>
      </c>
      <c r="I74" s="230" t="inlineStr">
        <is>
          <t>1. Assessment · 3. Intervention · 5. Working with Others · 6. Ethical Practice</t>
        </is>
      </c>
      <c r="J74" s="230" t="inlineStr">
        <is>
          <t>School Age</t>
        </is>
      </c>
      <c r="K74" s="230" t="inlineStr">
        <is>
          <t>Appendix 4 · Log sheet · Appendix 5 where a case · Appendix 7 where observed</t>
        </is>
      </c>
      <c r="L74" s="224" t="inlineStr">
        <is>
          <t>▸  Before: have the cognitive result in front of you. Attainment is only meaningful against an expectation.
▸  Before: establish what has actually been taught. You cannot identify difficulty "despite appropriate instruction" without it.
▸  During: mark Oral Reading Fluency errors live while timing. It cannot be reconstructed afterwards.
▸  After: identify the impaired component — phonological, fluency, vocabulary or comprehension — before naming any programme.
▸  After: specify what, who, how often, for how long, and the monitoring measure.</t>
        </is>
      </c>
      <c r="M74" s="224" t="inlineStr">
        <is>
          <t>1. Referral question re-read
2. Records and previous reports read
3. Parent developmental history
4. School consultation and observation
5. Direct assessment
6. Scoring, same day
7. Formulation using a named framework
8. Feedback to parent, then school
9. Report
10. Recommendations with review date
11. Log and appendices the same week</t>
        </is>
      </c>
      <c r="N74" s="224" t="inlineStr">
        <is>
          <t>—</t>
        </is>
      </c>
    </row>
    <row r="75" ht="300" customHeight="1" s="128">
      <c r="A75" s="231" t="inlineStr">
        <is>
          <t>REFLECTION</t>
        </is>
      </c>
      <c r="B75" s="231" t="inlineStr">
        <is>
          <t>Weekly</t>
        </is>
      </c>
      <c r="C75" s="231" t="inlineStr">
        <is>
          <t>Wk 21</t>
        </is>
      </c>
      <c r="D75" s="231" t="n"/>
      <c r="E75" s="231" t="n"/>
      <c r="F75" s="231" t="n"/>
      <c r="G75" s="231" t="inlineStr">
        <is>
          <t>END OF WEEK — complete the reflection in column O before the week closes.</t>
        </is>
      </c>
      <c r="H75" s="231" t="n"/>
      <c r="I75" s="231" t="n"/>
      <c r="J75" s="231" t="n"/>
      <c r="K75" s="231" t="n"/>
      <c r="O75" s="224" t="inlineStr">
        <is>
          <t>TITLE:  ______________________________________________
     (name the week in six words — e.g. "The week the hearing history changed everything")
SUBTITLE:  ____________________________________________
     (the competency this week most developed)
AREAS TO FOCUS ON — tick what applies, then write about ONE:
▸  A decision I made and the reasoning behind it
▸  Something I did not know I did not know
▸  A moment I was uncertain and what I did with it
▸  Feedback I received and what I did about it
▸  Something I avoided asking, and why
▸  Where my own assumptions shaped what I looked for (CORU 5.44)
▸  My own response to the work — energy, pace, what it cost (CORU 5.45)
▸  What I would do differently, specifically
REFLECTION (one paragraph, your own words):
     Shape that works — here is what happened · here is what I noticed in myself ·
     here is what I did about it · here is how my practice differs now.
     Use a dated, specific example. Assertions like "I grew in confidence" evidence nothing.
_____________________________________________________________________
_____________________________________________________________________
_____________________________________________________________________
NOTE: this is yours to write. A reflection written by anyone else is not a reflection.</t>
        </is>
      </c>
    </row>
    <row r="76" ht="150" customHeight="1" s="128">
      <c r="A76" s="139" t="inlineStr">
        <is>
          <t>DAY</t>
        </is>
      </c>
      <c r="B76" s="139" t="inlineStr">
        <is>
          <t>Appendix 4</t>
        </is>
      </c>
      <c r="C76" s="139" t="inlineStr">
        <is>
          <t>Wk 22</t>
        </is>
      </c>
      <c r="D76" s="229" t="n">
        <v>52</v>
      </c>
      <c r="E76" s="229" t="inlineStr">
        <is>
          <t>25/05/2026</t>
        </is>
      </c>
      <c r="F76" s="165" t="inlineStr">
        <is>
          <t>Remote</t>
        </is>
      </c>
      <c r="G76" s="165" t="inlineStr">
        <is>
          <t>Online supervision; scanned Grange case files sent to supervisor</t>
        </is>
      </c>
      <c r="H76" s="139" t="inlineStr">
        <is>
          <t>Recorded</t>
        </is>
      </c>
      <c r="I76" s="139" t="inlineStr">
        <is>
          <t>7. Supervision</t>
        </is>
      </c>
      <c r="J76" s="139" t="inlineStr">
        <is>
          <t>School Age</t>
        </is>
      </c>
      <c r="K76" s="139" t="inlineStr">
        <is>
          <t>Appendix 4 · Log sheet · Appendix 5 where a case · Appendix 7 where observed</t>
        </is>
      </c>
      <c r="L76" s="224" t="inlineStr">
        <is>
          <t>▸  Send an agenda the day before — three to five items, in priority order, each marked for a decision, a view, or information.
▸  Include the uncomfortable item in writing. Unwritten, it will not survive the first twenty minutes.
▸  Write the record within the day: discussion, decisions, actions, and tag it to competencies.
▸  Carry last week’s actions forward at the top so the sessions accumulate.
▸  Ask for countersignature periodically rather than all at the end.</t>
        </is>
      </c>
      <c r="M76" s="224" t="inlineStr">
        <is>
          <t>Standard order for a non-case day:
1. Do the activity
2. Log it the same evening against a referral area AND a competency
3. Note in one line how it developed the skill
4. Check whether it belongs in Appendix 5, 7 or Table 3</t>
        </is>
      </c>
      <c r="N76" s="224" t="inlineStr">
        <is>
          <t>—</t>
        </is>
      </c>
    </row>
    <row r="77" ht="150" customHeight="1" s="128">
      <c r="A77" s="139" t="inlineStr">
        <is>
          <t>DAY</t>
        </is>
      </c>
      <c r="B77" s="139" t="inlineStr">
        <is>
          <t>Appendix 4</t>
        </is>
      </c>
      <c r="C77" s="139" t="inlineStr">
        <is>
          <t>Wk 22</t>
        </is>
      </c>
      <c r="D77" s="229" t="n">
        <v>53</v>
      </c>
      <c r="E77" s="229" t="inlineStr">
        <is>
          <t>26/05/2026</t>
        </is>
      </c>
      <c r="F77" s="165" t="inlineStr">
        <is>
          <t>Remote</t>
        </is>
      </c>
      <c r="G77" s="165" t="inlineStr">
        <is>
          <t>Online supervision; Year 1 TEP check-in 15:00-16:00; parent consultation</t>
        </is>
      </c>
      <c r="H77" s="139" t="inlineStr">
        <is>
          <t>Recorded</t>
        </is>
      </c>
      <c r="I77" s="139" t="inlineStr">
        <is>
          <t>3. Intervention · 5. Working with Others · 7. Supervision</t>
        </is>
      </c>
      <c r="J77" s="139" t="inlineStr">
        <is>
          <t>School Age</t>
        </is>
      </c>
      <c r="K77" s="139" t="inlineStr">
        <is>
          <t>Appendix 4 · Log sheet · Appendix 5 where a case · Appendix 7 where observed</t>
        </is>
      </c>
      <c r="L77" s="224" t="inlineStr">
        <is>
          <t>▸  Before: ask the parent to bring the child health record book and any previous reports. It transforms accuracy.
▸  During: consent first — purpose, what is recorded, who reads it, the right to decline any question.
▸  During: start with the child, not the history. "Tell me about her — what is she like?"
▸  During: anchor every milestone question to an event, never ask for a bare age.
▸  During: ASK ABOUT GLUE EAR AND GROMMETS IN THE INFANT YEARS specifically.
▸  During: ask the parent what they think is going on. They usually have a hypothesis and are rarely asked.
▸  After: write up the same day, structured as Carr — predisposing, precipitating, perpetuating, protective.</t>
        </is>
      </c>
      <c r="M77" s="224" t="inlineStr">
        <is>
          <t>1. Referral question re-read
2. Records and previous reports read
3. Parent developmental history
4. School consultation and observation
5. Direct assessment
6. Scoring, same day
7. Formulation using a named framework
8. Feedback to parent, then school
9. Report
10. Recommendations with review date
11. Log and appendices the same week</t>
        </is>
      </c>
      <c r="N77" s="224" t="inlineStr">
        <is>
          <t>—</t>
        </is>
      </c>
    </row>
    <row r="78" ht="150" customHeight="1" s="128">
      <c r="A78" s="139" t="inlineStr">
        <is>
          <t>DAY</t>
        </is>
      </c>
      <c r="B78" s="139" t="inlineStr">
        <is>
          <t>Appendix 4</t>
        </is>
      </c>
      <c r="C78" s="139" t="inlineStr">
        <is>
          <t>Wk 22</t>
        </is>
      </c>
      <c r="D78" s="229" t="n">
        <v>54</v>
      </c>
      <c r="E78" s="229" t="inlineStr">
        <is>
          <t>27/05/2026</t>
        </is>
      </c>
      <c r="F78" s="165" t="inlineStr">
        <is>
          <t>Remote</t>
        </is>
      </c>
      <c r="G78" s="165" t="inlineStr">
        <is>
          <t>Grange case write-up (CS25-04339)</t>
        </is>
      </c>
      <c r="H78" s="139" t="inlineStr">
        <is>
          <t>Recorded</t>
        </is>
      </c>
      <c r="I78" s="139" t="inlineStr">
        <is>
          <t>2. Formulation</t>
        </is>
      </c>
      <c r="J78" s="139" t="inlineStr">
        <is>
          <t>School Age</t>
        </is>
      </c>
      <c r="K78" s="139" t="inlineStr">
        <is>
          <t>Appendix 4 · Log sheet · Appendix 5 where a case · Appendix 7 where observed</t>
        </is>
      </c>
      <c r="L78" s="224" t="inlineStr">
        <is>
          <t>▸  Re-read the referral question before writing the conclusion. Reports routinely describe a child and never answer what was asked.
▸  Organise findings by source; organise the FORMULATION by integration — name where sources conflict and what you make of it.
▸  Use a named framework and say which: Monsen, Interactive Factors, COMOIRA or Carr.
▸  Write a SPECIFIC limitations section, not a generic one.
▸  Name the Continuum of Support level and justify why that level and not the one below.
▸  Address each recommendation to a role, with frequency, duration and a review measure.</t>
        </is>
      </c>
      <c r="M78" s="224" t="inlineStr">
        <is>
          <t>Standard order for a non-case day:
1. Do the activity
2. Log it the same evening against a referral area AND a competency
3. Note in one line how it developed the skill
4. Check whether it belongs in Appendix 5, 7 or Table 3</t>
        </is>
      </c>
      <c r="N78" s="224" t="inlineStr">
        <is>
          <t>—</t>
        </is>
      </c>
    </row>
    <row r="79" ht="150" customHeight="1" s="128">
      <c r="A79" s="139" t="inlineStr">
        <is>
          <t>DAY</t>
        </is>
      </c>
      <c r="B79" s="139" t="inlineStr">
        <is>
          <t>Appendix 4</t>
        </is>
      </c>
      <c r="C79" s="139" t="inlineStr">
        <is>
          <t>Wk 22</t>
        </is>
      </c>
      <c r="D79" s="229" t="n">
        <v>55</v>
      </c>
      <c r="E79" s="229" t="inlineStr">
        <is>
          <t>28/05/2026</t>
        </is>
      </c>
      <c r="F79" s="165" t="inlineStr">
        <is>
          <t>Remote</t>
        </is>
      </c>
      <c r="G79" s="165" t="inlineStr">
        <is>
          <t>Grange case work (CS25-04339)</t>
        </is>
      </c>
      <c r="H79" s="139" t="inlineStr">
        <is>
          <t>Recorded</t>
        </is>
      </c>
      <c r="I79" s="139" t="inlineStr">
        <is>
          <t>—</t>
        </is>
      </c>
      <c r="J79" s="139" t="inlineStr">
        <is>
          <t>School Age</t>
        </is>
      </c>
      <c r="K79" s="139" t="inlineStr">
        <is>
          <t>Appendix 4 · Log sheet · Appendix 5 where a case · Appendix 7 where observed</t>
        </is>
      </c>
      <c r="L79" s="224" t="inlineStr">
        <is>
          <t>▸  Log the day against a referral area AND a competency the same evening.
▸  Note in one line how the day developed the skill — that line becomes the reflective essay later.
▸  Check whether anything from today belongs in Appendix 5, 7 or Table 3, and enter it now rather than in June.</t>
        </is>
      </c>
      <c r="M79" s="224" t="inlineStr">
        <is>
          <t>Standard order for a non-case day:
1. Do the activity
2. Log it the same evening against a referral area AND a competency
3. Note in one line how it developed the skill
4. Check whether it belongs in Appendix 5, 7 or Table 3</t>
        </is>
      </c>
      <c r="N79" s="224" t="inlineStr">
        <is>
          <t>—</t>
        </is>
      </c>
    </row>
    <row r="80" ht="300" customHeight="1" s="128">
      <c r="A80" s="231" t="inlineStr">
        <is>
          <t>REFLECTION</t>
        </is>
      </c>
      <c r="B80" s="231" t="inlineStr">
        <is>
          <t>Weekly</t>
        </is>
      </c>
      <c r="C80" s="231" t="inlineStr">
        <is>
          <t>Wk 22</t>
        </is>
      </c>
      <c r="D80" s="231" t="n"/>
      <c r="E80" s="231" t="n"/>
      <c r="F80" s="231" t="n"/>
      <c r="G80" s="231" t="inlineStr">
        <is>
          <t>END OF WEEK — complete the reflection in column O before the week closes.</t>
        </is>
      </c>
      <c r="H80" s="231" t="n"/>
      <c r="I80" s="231" t="n"/>
      <c r="J80" s="231" t="n"/>
      <c r="K80" s="231" t="n"/>
      <c r="O80" s="224" t="inlineStr">
        <is>
          <t>TITLE:  ______________________________________________
     (name the week in six words — e.g. "The week the hearing history changed everything")
SUBTITLE:  ____________________________________________
     (the competency this week most developed)
AREAS TO FOCUS ON — tick what applies, then write about ONE:
▸  A decision I made and the reasoning behind it
▸  Something I did not know I did not know
▸  A moment I was uncertain and what I did with it
▸  Feedback I received and what I did about it
▸  Something I avoided asking, and why
▸  Where my own assumptions shaped what I looked for (CORU 5.44)
▸  My own response to the work — energy, pace, what it cost (CORU 5.45)
▸  What I would do differently, specifically
REFLECTION (one paragraph, your own words):
     Shape that works — here is what happened · here is what I noticed in myself ·
     here is what I did about it · here is how my practice differs now.
     Use a dated, specific example. Assertions like "I grew in confidence" evidence nothing.
_____________________________________________________________________
_____________________________________________________________________
_____________________________________________________________________
NOTE: this is yours to write. A reflection written by anyone else is not a reflection.</t>
        </is>
      </c>
    </row>
    <row r="81" ht="150" customHeight="1" s="128">
      <c r="A81" s="139" t="inlineStr">
        <is>
          <t>DAY</t>
        </is>
      </c>
      <c r="B81" s="139" t="inlineStr">
        <is>
          <t>Appendix 4</t>
        </is>
      </c>
      <c r="C81" s="139" t="inlineStr">
        <is>
          <t>Wk 23</t>
        </is>
      </c>
      <c r="D81" s="229" t="n">
        <v>56</v>
      </c>
      <c r="E81" s="229" t="inlineStr">
        <is>
          <t>02/06/2026</t>
        </is>
      </c>
      <c r="F81" s="165" t="inlineStr">
        <is>
          <t>Remote</t>
        </is>
      </c>
      <c r="G81" s="165" t="inlineStr">
        <is>
          <t>Grange case review with supervisor (Teams) 09:00-11:00; consultation record issued (CS25-04339)</t>
        </is>
      </c>
      <c r="H81" s="139" t="inlineStr">
        <is>
          <t>Recorded</t>
        </is>
      </c>
      <c r="I81" s="139" t="inlineStr">
        <is>
          <t>3. Intervention · 7. Supervision</t>
        </is>
      </c>
      <c r="J81" s="139" t="inlineStr">
        <is>
          <t>School Age</t>
        </is>
      </c>
      <c r="K81" s="139" t="inlineStr">
        <is>
          <t>Appendix 4 · Log sheet · Appendix 5 where a case · Appendix 7 where observed</t>
        </is>
      </c>
      <c r="L81" s="224" t="inlineStr">
        <is>
          <t>▸  Log the day against a referral area AND a competency the same evening.
▸  Note in one line how the day developed the skill — that line becomes the reflective essay later.
▸  Check whether anything from today belongs in Appendix 5, 7 or Table 3, and enter it now rather than in June.</t>
        </is>
      </c>
      <c r="M81" s="224" t="inlineStr">
        <is>
          <t>Standard order for a non-case day:
1. Do the activity
2. Log it the same evening against a referral area AND a competency
3. Note in one line how it developed the skill
4. Check whether it belongs in Appendix 5, 7 or Table 3</t>
        </is>
      </c>
      <c r="N81" s="224" t="inlineStr">
        <is>
          <t>—</t>
        </is>
      </c>
    </row>
    <row r="82" ht="150" customHeight="1" s="128">
      <c r="A82" s="139" t="inlineStr">
        <is>
          <t>DAY</t>
        </is>
      </c>
      <c r="B82" s="139" t="inlineStr">
        <is>
          <t>Appendix 4</t>
        </is>
      </c>
      <c r="C82" s="139" t="inlineStr">
        <is>
          <t>Wk 23</t>
        </is>
      </c>
      <c r="D82" s="229" t="n">
        <v>57</v>
      </c>
      <c r="E82" s="229" t="inlineStr">
        <is>
          <t>03/06/2026</t>
        </is>
      </c>
      <c r="F82" s="165" t="inlineStr">
        <is>
          <t>Remote</t>
        </is>
      </c>
      <c r="G82" s="165" t="inlineStr">
        <is>
          <t>Grange case work (CS25-04339)</t>
        </is>
      </c>
      <c r="H82" s="139" t="inlineStr">
        <is>
          <t>Recorded</t>
        </is>
      </c>
      <c r="I82" s="139" t="inlineStr">
        <is>
          <t>—</t>
        </is>
      </c>
      <c r="J82" s="139" t="inlineStr">
        <is>
          <t>School Age</t>
        </is>
      </c>
      <c r="K82" s="139" t="inlineStr">
        <is>
          <t>Appendix 4 · Log sheet · Appendix 5 where a case · Appendix 7 where observed</t>
        </is>
      </c>
      <c r="L82" s="224" t="inlineStr">
        <is>
          <t>▸  Log the day against a referral area AND a competency the same evening.
▸  Note in one line how the day developed the skill — that line becomes the reflective essay later.
▸  Check whether anything from today belongs in Appendix 5, 7 or Table 3, and enter it now rather than in June.</t>
        </is>
      </c>
      <c r="M82" s="224" t="inlineStr">
        <is>
          <t>Standard order for a non-case day:
1. Do the activity
2. Log it the same evening against a referral area AND a competency
3. Note in one line how it developed the skill
4. Check whether it belongs in Appendix 5, 7 or Table 3</t>
        </is>
      </c>
      <c r="N82" s="224" t="inlineStr">
        <is>
          <t>—</t>
        </is>
      </c>
    </row>
    <row r="83" ht="150" customHeight="1" s="128">
      <c r="A83" s="139" t="inlineStr">
        <is>
          <t>DAY</t>
        </is>
      </c>
      <c r="B83" s="139" t="inlineStr">
        <is>
          <t>Appendix 4</t>
        </is>
      </c>
      <c r="C83" s="139" t="inlineStr">
        <is>
          <t>Wk 23</t>
        </is>
      </c>
      <c r="D83" s="229" t="n">
        <v>58</v>
      </c>
      <c r="E83" s="229" t="inlineStr">
        <is>
          <t>04/06/2026</t>
        </is>
      </c>
      <c r="F83" s="165" t="inlineStr">
        <is>
          <t>Remote</t>
        </is>
      </c>
      <c r="G83" s="165" t="inlineStr">
        <is>
          <t>CAMHS talk 10:00-15:00. Year 1 check-in 15:30</t>
        </is>
      </c>
      <c r="H83" s="139" t="inlineStr">
        <is>
          <t>Recorded</t>
        </is>
      </c>
      <c r="I83" s="139" t="inlineStr">
        <is>
          <t>—</t>
        </is>
      </c>
      <c r="J83" s="139" t="inlineStr">
        <is>
          <t>School Age</t>
        </is>
      </c>
      <c r="K83" s="139" t="inlineStr">
        <is>
          <t>Appendix 4 · Log sheet · Appendix 5 where a case · Appendix 7 where observed</t>
        </is>
      </c>
      <c r="L83" s="224" t="inlineStr">
        <is>
          <t>▸  Log the day against a referral area AND a competency the same evening.
▸  Note in one line how the day developed the skill — that line becomes the reflective essay later.
▸  Check whether anything from today belongs in Appendix 5, 7 or Table 3, and enter it now rather than in June.</t>
        </is>
      </c>
      <c r="M83" s="224" t="inlineStr">
        <is>
          <t>Standard order for a non-case day:
1. Do the activity
2. Log it the same evening against a referral area AND a competency
3. Note in one line how it developed the skill
4. Check whether it belongs in Appendix 5, 7 or Table 3</t>
        </is>
      </c>
      <c r="N83" s="224" t="inlineStr">
        <is>
          <t>—</t>
        </is>
      </c>
    </row>
    <row r="84" ht="300" customHeight="1" s="128">
      <c r="A84" s="231" t="inlineStr">
        <is>
          <t>REFLECTION</t>
        </is>
      </c>
      <c r="B84" s="231" t="inlineStr">
        <is>
          <t>Weekly</t>
        </is>
      </c>
      <c r="C84" s="231" t="inlineStr">
        <is>
          <t>Wk 23</t>
        </is>
      </c>
      <c r="D84" s="231" t="n"/>
      <c r="E84" s="231" t="n"/>
      <c r="F84" s="231" t="n"/>
      <c r="G84" s="231" t="inlineStr">
        <is>
          <t>END OF WEEK — complete the reflection in column O before the week closes.</t>
        </is>
      </c>
      <c r="H84" s="231" t="n"/>
      <c r="I84" s="231" t="n"/>
      <c r="J84" s="231" t="n"/>
      <c r="K84" s="231" t="n"/>
      <c r="O84" s="224" t="inlineStr">
        <is>
          <t>TITLE:  ______________________________________________
     (name the week in six words — e.g. "The week the hearing history changed everything")
SUBTITLE:  ____________________________________________
     (the competency this week most developed)
AREAS TO FOCUS ON — tick what applies, then write about ONE:
▸  A decision I made and the reasoning behind it
▸  Something I did not know I did not know
▸  A moment I was uncertain and what I did with it
▸  Feedback I received and what I did about it
▸  Something I avoided asking, and why
▸  Where my own assumptions shaped what I looked for (CORU 5.44)
▸  My own response to the work — energy, pace, what it cost (CORU 5.45)
▸  What I would do differently, specifically
REFLECTION (one paragraph, your own words):
     Shape that works — here is what happened · here is what I noticed in myself ·
     here is what I did about it · here is how my practice differs now.
     Use a dated, specific example. Assertions like "I grew in confidence" evidence nothing.
_____________________________________________________________________
_____________________________________________________________________
_____________________________________________________________________
NOTE: this is yours to write. A reflection written by anyone else is not a reflection.</t>
        </is>
      </c>
    </row>
    <row r="85" ht="150" customHeight="1" s="128">
      <c r="A85" s="139" t="inlineStr">
        <is>
          <t>DAY</t>
        </is>
      </c>
      <c r="B85" s="139" t="inlineStr">
        <is>
          <t>Appendix 4</t>
        </is>
      </c>
      <c r="C85" s="139" t="inlineStr">
        <is>
          <t>Wk 24</t>
        </is>
      </c>
      <c r="D85" s="229" t="n">
        <v>59</v>
      </c>
      <c r="E85" s="229" t="inlineStr">
        <is>
          <t>08/06/2026</t>
        </is>
      </c>
      <c r="F85" s="165" t="inlineStr">
        <is>
          <t>S.N. Paroisteach (Boyle Parochial)</t>
        </is>
      </c>
      <c r="G85" s="165" t="inlineStr">
        <is>
          <t>Classroom and playground observations; student, parent and teacher consultations conducted THROUGH AN INTERPRETER (CS26-02799). 09:30-16:00</t>
        </is>
      </c>
      <c r="H85" s="139" t="inlineStr">
        <is>
          <t>Recorded</t>
        </is>
      </c>
      <c r="I85" s="139" t="inlineStr">
        <is>
          <t>1. Assessment · 3. Intervention · 5. Working with Others</t>
        </is>
      </c>
      <c r="J85" s="139" t="inlineStr">
        <is>
          <t>School Age</t>
        </is>
      </c>
      <c r="K85" s="139" t="inlineStr">
        <is>
          <t>Appendix 4 · Log sheet · Appendix 5 where a case · Appendix 7 where observed</t>
        </is>
      </c>
      <c r="L85" s="224" t="inlineStr">
        <is>
          <t>▸  Before: write the operational definition on paper. "Leaves seat during independent written work" is definable; "disruptive" is not.
▸  Before: choose the sampling method and record why — momentary time sampling is the least biased for prevalence.
▸  Before: identify a comparison peer with the class teacher. Same sex, typical for the group, not the best-behaved child.
▸  During: take a settling minute before recording. Note context in the margin.
▸  After: write up within 24 hours with a limitations sentence on temporal stability.
▸  After: complete the Appendix 7 form the same day if observed or observing.</t>
        </is>
      </c>
      <c r="M85" s="224" t="inlineStr">
        <is>
          <t>1. Referral question re-read
2. Records and previous reports read
3. Parent developmental history
4. School consultation and observation
5. Direct assessment
6. Scoring, same day
7. Formulation using a named framework
8. Feedback to parent, then school
9. Report
10. Recommendations with review date
11. Log and appendices the same week</t>
        </is>
      </c>
      <c r="N85" s="224" t="inlineStr">
        <is>
          <t>—</t>
        </is>
      </c>
    </row>
    <row r="86" ht="150" customHeight="1" s="128">
      <c r="A86" s="139" t="inlineStr">
        <is>
          <t>DAY</t>
        </is>
      </c>
      <c r="B86" s="139" t="inlineStr">
        <is>
          <t>Appendix 4</t>
        </is>
      </c>
      <c r="C86" s="139" t="inlineStr">
        <is>
          <t>Wk 24</t>
        </is>
      </c>
      <c r="D86" s="229" t="n">
        <v>60</v>
      </c>
      <c r="E86" s="229" t="inlineStr">
        <is>
          <t>09/06/2026</t>
        </is>
      </c>
      <c r="F86" s="165" t="inlineStr">
        <is>
          <t>Remote</t>
        </is>
      </c>
      <c r="G86" s="165" t="inlineStr">
        <is>
          <t>Follow-up with school (CS26-02799); meeting with senior psychologist</t>
        </is>
      </c>
      <c r="H86" s="139" t="inlineStr">
        <is>
          <t>Recorded</t>
        </is>
      </c>
      <c r="I86" s="139" t="inlineStr">
        <is>
          <t>4. Systemic Change</t>
        </is>
      </c>
      <c r="J86" s="139" t="inlineStr">
        <is>
          <t>School Age</t>
        </is>
      </c>
      <c r="K86" s="139" t="inlineStr">
        <is>
          <t>Appendix 4 · Log sheet · Appendix 5 where a case · Appendix 7 where observed</t>
        </is>
      </c>
      <c r="L86" s="224" t="inlineStr">
        <is>
          <t>▸  Confirm the day before. Arrive early, sign in, say how long you need and keep to it.
▸  Ask to see the Student Support File and the SEN policy. The gap between the file and the room is a finding.
▸  Ask who does what: principal allocates, SENCO holds the overview, class teacher delivers, SNA often knows the child best.
▸  Send a written summary of what was agreed within 24 hours.
▸  Log it as SYSTEMIC CHANGE, not as casework, or the competency stays thinly evidenced.</t>
        </is>
      </c>
      <c r="M86" s="224" t="inlineStr">
        <is>
          <t>Standard order for a non-case day:
1. Do the activity
2. Log it the same evening against a referral area AND a competency
3. Note in one line how it developed the skill
4. Check whether it belongs in Appendix 5, 7 or Table 3</t>
        </is>
      </c>
      <c r="N86" s="224" t="inlineStr">
        <is>
          <t>—</t>
        </is>
      </c>
    </row>
    <row r="87" ht="150" customHeight="1" s="128">
      <c r="A87" s="139" t="inlineStr">
        <is>
          <t>DAY</t>
        </is>
      </c>
      <c r="B87" s="139" t="inlineStr">
        <is>
          <t>Appendix 4</t>
        </is>
      </c>
      <c r="C87" s="139" t="inlineStr">
        <is>
          <t>Wk 24</t>
        </is>
      </c>
      <c r="D87" s="229" t="n">
        <v>61</v>
      </c>
      <c r="E87" s="229" t="inlineStr">
        <is>
          <t>10/06/2026</t>
        </is>
      </c>
      <c r="F87" s="165" t="inlineStr">
        <is>
          <t>S.N. Paroisteach (Boyle Parochial)</t>
        </is>
      </c>
      <c r="G87" s="165" t="inlineStr">
        <is>
          <t>Supervision 09:30. Student consultation; Student Support File review; psycho-educational input; attainment assessment (CS26-02799)</t>
        </is>
      </c>
      <c r="H87" s="139" t="inlineStr">
        <is>
          <t>Recorded</t>
        </is>
      </c>
      <c r="I87" s="139" t="inlineStr">
        <is>
          <t>1. Assessment · 3. Intervention · 7. Supervision</t>
        </is>
      </c>
      <c r="J87" s="139" t="inlineStr">
        <is>
          <t>School Age</t>
        </is>
      </c>
      <c r="K87" s="139" t="inlineStr">
        <is>
          <t>Appendix 4 · Log sheet · Appendix 5 where a case · Appendix 7 where observed</t>
        </is>
      </c>
      <c r="L87" s="224" t="inlineStr">
        <is>
          <t>▸  Before: have the cognitive result in front of you. Attainment is only meaningful against an expectation.
▸  Before: establish what has actually been taught. You cannot identify difficulty "despite appropriate instruction" without it.
▸  During: mark Oral Reading Fluency errors live while timing. It cannot be reconstructed afterwards.
▸  After: identify the impaired component — phonological, fluency, vocabulary or comprehension — before naming any programme.
▸  After: specify what, who, how often, for how long, and the monitoring measure.</t>
        </is>
      </c>
      <c r="M87" s="224" t="inlineStr">
        <is>
          <t>1. Referral question re-read
2. Records and previous reports read
3. Parent developmental history
4. School consultation and observation
5. Direct assessment
6. Scoring, same day
7. Formulation using a named framework
8. Feedback to parent, then school
9. Report
10. Recommendations with review date
11. Log and appendices the same week</t>
        </is>
      </c>
      <c r="N87" s="224" t="inlineStr">
        <is>
          <t>—</t>
        </is>
      </c>
    </row>
    <row r="88" ht="150" customHeight="1" s="128">
      <c r="A88" s="139" t="inlineStr">
        <is>
          <t>DAY</t>
        </is>
      </c>
      <c r="B88" s="139" t="inlineStr">
        <is>
          <t>Appendix 4</t>
        </is>
      </c>
      <c r="C88" s="139" t="inlineStr">
        <is>
          <t>Wk 24</t>
        </is>
      </c>
      <c r="D88" s="229" t="n">
        <v>62</v>
      </c>
      <c r="E88" s="229" t="inlineStr">
        <is>
          <t>11/06/2026</t>
        </is>
      </c>
      <c r="F88" s="165" t="inlineStr">
        <is>
          <t>Remote</t>
        </is>
      </c>
      <c r="G88" s="165" t="inlineStr">
        <is>
          <t>Remote working day</t>
        </is>
      </c>
      <c r="H88" s="139" t="inlineStr">
        <is>
          <t>Recorded</t>
        </is>
      </c>
      <c r="I88" s="139" t="inlineStr">
        <is>
          <t>—</t>
        </is>
      </c>
      <c r="J88" s="139" t="inlineStr">
        <is>
          <t>School Age</t>
        </is>
      </c>
      <c r="K88" s="139" t="inlineStr">
        <is>
          <t>Appendix 4 · Log sheet · Appendix 5 where a case · Appendix 7 where observed</t>
        </is>
      </c>
      <c r="L88" s="224" t="inlineStr">
        <is>
          <t>▸  Log the day against a referral area AND a competency the same evening.
▸  Note in one line how the day developed the skill — that line becomes the reflective essay later.
▸  Check whether anything from today belongs in Appendix 5, 7 or Table 3, and enter it now rather than in June.</t>
        </is>
      </c>
      <c r="M88" s="224" t="inlineStr">
        <is>
          <t>Standard order for a non-case day:
1. Do the activity
2. Log it the same evening against a referral area AND a competency
3. Note in one line how it developed the skill
4. Check whether it belongs in Appendix 5, 7 or Table 3</t>
        </is>
      </c>
      <c r="N88" s="224" t="inlineStr">
        <is>
          <t>—</t>
        </is>
      </c>
    </row>
    <row r="89" ht="300" customHeight="1" s="128">
      <c r="A89" s="231" t="inlineStr">
        <is>
          <t>REFLECTION</t>
        </is>
      </c>
      <c r="B89" s="231" t="inlineStr">
        <is>
          <t>Weekly</t>
        </is>
      </c>
      <c r="C89" s="231" t="inlineStr">
        <is>
          <t>Wk 24</t>
        </is>
      </c>
      <c r="D89" s="231" t="n"/>
      <c r="E89" s="231" t="n"/>
      <c r="F89" s="231" t="n"/>
      <c r="G89" s="231" t="inlineStr">
        <is>
          <t>END OF WEEK — complete the reflection in column O before the week closes.</t>
        </is>
      </c>
      <c r="H89" s="231" t="n"/>
      <c r="I89" s="231" t="n"/>
      <c r="J89" s="231" t="n"/>
      <c r="K89" s="231" t="n"/>
      <c r="O89" s="224" t="inlineStr">
        <is>
          <t>TITLE:  ______________________________________________
     (name the week in six words — e.g. "The week the hearing history changed everything")
SUBTITLE:  ____________________________________________
     (the competency this week most developed)
AREAS TO FOCUS ON — tick what applies, then write about ONE:
▸  A decision I made and the reasoning behind it
▸  Something I did not know I did not know
▸  A moment I was uncertain and what I did with it
▸  Feedback I received and what I did about it
▸  Something I avoided asking, and why
▸  Where my own assumptions shaped what I looked for (CORU 5.44)
▸  My own response to the work — energy, pace, what it cost (CORU 5.45)
▸  What I would do differently, specifically
REFLECTION (one paragraph, your own words):
     Shape that works — here is what happened · here is what I noticed in myself ·
     here is what I did about it · here is how my practice differs now.
     Use a dated, specific example. Assertions like "I grew in confidence" evidence nothing.
_____________________________________________________________________
_____________________________________________________________________
_____________________________________________________________________
NOTE: this is yours to write. A reflection written by anyone else is not a reflection.</t>
        </is>
      </c>
    </row>
    <row r="90" ht="150" customHeight="1" s="128">
      <c r="A90" s="139" t="inlineStr">
        <is>
          <t>DAY</t>
        </is>
      </c>
      <c r="B90" s="139" t="inlineStr">
        <is>
          <t>Appendix 4</t>
        </is>
      </c>
      <c r="C90" s="139" t="inlineStr">
        <is>
          <t>Wk 25</t>
        </is>
      </c>
      <c r="D90" s="229" t="n">
        <v>63</v>
      </c>
      <c r="E90" s="229" t="inlineStr">
        <is>
          <t>15/06/2026</t>
        </is>
      </c>
      <c r="F90" s="165" t="inlineStr">
        <is>
          <t>S.N. Paroisteach (Boyle Parochial)</t>
        </is>
      </c>
      <c r="G90" s="165" t="inlineStr">
        <is>
          <t>WISC-V administered and interpreted WITH CULTURAL AND LINGUISTIC CAUTION; attainment assessment; teacher consultation; report drafting (CS26-02799)</t>
        </is>
      </c>
      <c r="H90" s="139" t="inlineStr">
        <is>
          <t>Recorded</t>
        </is>
      </c>
      <c r="I90" s="139" t="inlineStr">
        <is>
          <t>1. Assessment · 2. Formulation · 3. Intervention</t>
        </is>
      </c>
      <c r="J90" s="139" t="inlineStr">
        <is>
          <t>School Age</t>
        </is>
      </c>
      <c r="K90" s="139" t="inlineStr">
        <is>
          <t>Appendix 4 · Log sheet · Appendix 5 where a case · Appendix 7 where observed</t>
        </is>
      </c>
      <c r="L90" s="224" t="inlineStr">
        <is>
          <t>▸  Before: re-read the referral question. Confirm which subtests answer it rather than administering the full battery.
▸  Before: check vision and hearing history. Never assess cognition behind an unchecked hearing history.
▸  During: record behaviour as you go — self-corrections, fatigue point, strategy use. That goes in the report.
▸  During: if you deviate from standard administration, record what you did and why in the moment.
▸  After: score the same day. Check every raw-to-standard conversion twice.
▸  After: if index scatter exceeds 23 points, report GAI rather than FSIQ and say why.
▸  After: write the limitations sentence — what this could NOT tell you about this child.</t>
        </is>
      </c>
      <c r="M90" s="224" t="inlineStr">
        <is>
          <t>1. Referral question re-read
2. Records and previous reports read
3. Parent developmental history
4. School consultation and observation
5. Direct assessment
6. Scoring, same day
7. Formulation using a named framework
8. Feedback to parent, then school
9. Report
10. Recommendations with review date
11. Log and appendices the same week</t>
        </is>
      </c>
      <c r="N90" s="224" t="inlineStr">
        <is>
          <t>—</t>
        </is>
      </c>
    </row>
    <row r="91" ht="150" customHeight="1" s="128">
      <c r="A91" s="139" t="inlineStr">
        <is>
          <t>DAY</t>
        </is>
      </c>
      <c r="B91" s="139" t="inlineStr">
        <is>
          <t>Appendix 4</t>
        </is>
      </c>
      <c r="C91" s="139" t="inlineStr">
        <is>
          <t>Wk 25</t>
        </is>
      </c>
      <c r="D91" s="229" t="n">
        <v>64</v>
      </c>
      <c r="E91" s="229" t="inlineStr">
        <is>
          <t>16/06/2026</t>
        </is>
      </c>
      <c r="F91" s="165" t="inlineStr">
        <is>
          <t>Grange NS, Boyle</t>
        </is>
      </c>
      <c r="G91" s="165" t="inlineStr">
        <is>
          <t>Playground observation; attainment assessment; parent consultation (CS25-04339). 09:00-14:00</t>
        </is>
      </c>
      <c r="H91" s="139" t="inlineStr">
        <is>
          <t>Recorded</t>
        </is>
      </c>
      <c r="I91" s="139" t="inlineStr">
        <is>
          <t>1. Assessment · 3. Intervention · 5. Working with Others</t>
        </is>
      </c>
      <c r="J91" s="139" t="inlineStr">
        <is>
          <t>School Age</t>
        </is>
      </c>
      <c r="K91" s="139" t="inlineStr">
        <is>
          <t>Appendix 4 · Log sheet · Appendix 5 where a case · Appendix 7 where observed</t>
        </is>
      </c>
      <c r="L91" s="224" t="inlineStr">
        <is>
          <t>▸  Before: have the cognitive result in front of you. Attainment is only meaningful against an expectation.
▸  Before: establish what has actually been taught. You cannot identify difficulty "despite appropriate instruction" without it.
▸  During: mark Oral Reading Fluency errors live while timing. It cannot be reconstructed afterwards.
▸  After: identify the impaired component — phonological, fluency, vocabulary or comprehension — before naming any programme.
▸  After: specify what, who, how often, for how long, and the monitoring measure.</t>
        </is>
      </c>
      <c r="M91" s="224" t="inlineStr">
        <is>
          <t>1. Referral question re-read
2. Records and previous reports read
3. Parent developmental history
4. School consultation and observation
5. Direct assessment
6. Scoring, same day
7. Formulation using a named framework
8. Feedback to parent, then school
9. Report
10. Recommendations with review date
11. Log and appendices the same week</t>
        </is>
      </c>
      <c r="N91" s="224" t="inlineStr">
        <is>
          <t>—</t>
        </is>
      </c>
    </row>
    <row r="92" ht="150" customHeight="1" s="128">
      <c r="A92" s="139" t="inlineStr">
        <is>
          <t>DAY</t>
        </is>
      </c>
      <c r="B92" s="139" t="inlineStr">
        <is>
          <t>Appendix 4</t>
        </is>
      </c>
      <c r="C92" s="139" t="inlineStr">
        <is>
          <t>Wk 25</t>
        </is>
      </c>
      <c r="D92" s="229" t="n">
        <v>65</v>
      </c>
      <c r="E92" s="229" t="inlineStr">
        <is>
          <t>17/06/2026</t>
        </is>
      </c>
      <c r="F92" s="165" t="inlineStr">
        <is>
          <t>Remote</t>
        </is>
      </c>
      <c r="G92" s="165" t="inlineStr">
        <is>
          <t>Remote working day</t>
        </is>
      </c>
      <c r="H92" s="139" t="inlineStr">
        <is>
          <t>Recorded</t>
        </is>
      </c>
      <c r="I92" s="139" t="inlineStr">
        <is>
          <t>—</t>
        </is>
      </c>
      <c r="J92" s="139" t="inlineStr">
        <is>
          <t>School Age</t>
        </is>
      </c>
      <c r="K92" s="139" t="inlineStr">
        <is>
          <t>Appendix 4 · Log sheet · Appendix 5 where a case · Appendix 7 where observed</t>
        </is>
      </c>
      <c r="L92" s="224" t="inlineStr">
        <is>
          <t>▸  Log the day against a referral area AND a competency the same evening.
▸  Note in one line how the day developed the skill — that line becomes the reflective essay later.
▸  Check whether anything from today belongs in Appendix 5, 7 or Table 3, and enter it now rather than in June.</t>
        </is>
      </c>
      <c r="M92" s="224" t="inlineStr">
        <is>
          <t>Standard order for a non-case day:
1. Do the activity
2. Log it the same evening against a referral area AND a competency
3. Note in one line how it developed the skill
4. Check whether it belongs in Appendix 5, 7 or Table 3</t>
        </is>
      </c>
      <c r="N92" s="224" t="inlineStr">
        <is>
          <t>—</t>
        </is>
      </c>
    </row>
    <row r="93" ht="150" customHeight="1" s="128">
      <c r="A93" s="139" t="inlineStr">
        <is>
          <t>DAY</t>
        </is>
      </c>
      <c r="B93" s="139" t="inlineStr">
        <is>
          <t>Appendix 4</t>
        </is>
      </c>
      <c r="C93" s="139" t="inlineStr">
        <is>
          <t>Wk 25</t>
        </is>
      </c>
      <c r="D93" s="229" t="n">
        <v>66</v>
      </c>
      <c r="E93" s="229" t="inlineStr">
        <is>
          <t>18/06/2026</t>
        </is>
      </c>
      <c r="F93" s="165" t="inlineStr">
        <is>
          <t>Grange NS, Boyle</t>
        </is>
      </c>
      <c r="G93" s="165" t="inlineStr">
        <is>
          <t>Joint parent and teacher TRANSITION consultation with the SEN coordinator from Abbey Community School (CS25-04339). 09:00-11:00</t>
        </is>
      </c>
      <c r="H93" s="139" t="inlineStr">
        <is>
          <t>Recorded</t>
        </is>
      </c>
      <c r="I93" s="139" t="inlineStr">
        <is>
          <t>3. Intervention · 4. Systemic Change · 5. Working with Others</t>
        </is>
      </c>
      <c r="J93" s="139" t="inlineStr">
        <is>
          <t>School Age</t>
        </is>
      </c>
      <c r="K93" s="139" t="inlineStr">
        <is>
          <t>Appendix 4 · Log sheet · Appendix 5 where a case · Appendix 7 where observed</t>
        </is>
      </c>
      <c r="L93" s="224" t="inlineStr">
        <is>
          <t>▸  Before: ask the parent to bring the child health record book and any previous reports. It transforms accuracy.
▸  During: consent first — purpose, what is recorded, who reads it, the right to decline any question.
▸  During: start with the child, not the history. "Tell me about her — what is she like?"
▸  During: anchor every milestone question to an event, never ask for a bare age.
▸  During: ASK ABOUT GLUE EAR AND GROMMETS IN THE INFANT YEARS specifically.
▸  During: ask the parent what they think is going on. They usually have a hypothesis and are rarely asked.
▸  After: write up the same day, structured as Carr — predisposing, precipitating, perpetuating, protective.</t>
        </is>
      </c>
      <c r="M93" s="224" t="inlineStr">
        <is>
          <t>1. Referral question re-read
2. Records and previous reports read
3. Parent developmental history
4. School consultation and observation
5. Direct assessment
6. Scoring, same day
7. Formulation using a named framework
8. Feedback to parent, then school
9. Report
10. Recommendations with review date
11. Log and appendices the same week</t>
        </is>
      </c>
      <c r="N93" s="224" t="inlineStr">
        <is>
          <t>—</t>
        </is>
      </c>
    </row>
    <row r="94" ht="300" customHeight="1" s="128">
      <c r="A94" s="231" t="inlineStr">
        <is>
          <t>REFLECTION</t>
        </is>
      </c>
      <c r="B94" s="231" t="inlineStr">
        <is>
          <t>Weekly</t>
        </is>
      </c>
      <c r="C94" s="231" t="inlineStr">
        <is>
          <t>Wk 25</t>
        </is>
      </c>
      <c r="D94" s="231" t="n"/>
      <c r="E94" s="231" t="n"/>
      <c r="F94" s="231" t="n"/>
      <c r="G94" s="231" t="inlineStr">
        <is>
          <t>END OF WEEK — complete the reflection in column O before the week closes.</t>
        </is>
      </c>
      <c r="H94" s="231" t="n"/>
      <c r="I94" s="231" t="n"/>
      <c r="J94" s="231" t="n"/>
      <c r="K94" s="231" t="n"/>
      <c r="O94" s="224" t="inlineStr">
        <is>
          <t>TITLE:  ______________________________________________
     (name the week in six words — e.g. "The week the hearing history changed everything")
SUBTITLE:  ____________________________________________
     (the competency this week most developed)
AREAS TO FOCUS ON — tick what applies, then write about ONE:
▸  A decision I made and the reasoning behind it
▸  Something I did not know I did not know
▸  A moment I was uncertain and what I did with it
▸  Feedback I received and what I did about it
▸  Something I avoided asking, and why
▸  Where my own assumptions shaped what I looked for (CORU 5.44)
▸  My own response to the work — energy, pace, what it cost (CORU 5.45)
▸  What I would do differently, specifically
REFLECTION (one paragraph, your own words):
     Shape that works — here is what happened · here is what I noticed in myself ·
     here is what I did about it · here is how my practice differs now.
     Use a dated, specific example. Assertions like "I grew in confidence" evidence nothing.
_____________________________________________________________________
_____________________________________________________________________
_____________________________________________________________________
NOTE: this is yours to write. A reflection written by anyone else is not a reflection.</t>
        </is>
      </c>
    </row>
    <row r="95" ht="150" customHeight="1" s="128">
      <c r="A95" s="139" t="inlineStr">
        <is>
          <t>DAY</t>
        </is>
      </c>
      <c r="B95" s="139" t="inlineStr">
        <is>
          <t>Appendix 4</t>
        </is>
      </c>
      <c r="C95" s="139" t="inlineStr">
        <is>
          <t>Wk 26</t>
        </is>
      </c>
      <c r="D95" s="229" t="n">
        <v>67</v>
      </c>
      <c r="E95" s="229" t="inlineStr">
        <is>
          <t>22/06/2026</t>
        </is>
      </c>
      <c r="F95" s="165" t="inlineStr">
        <is>
          <t>S.N. Paroisteach (Boyle Parochial)</t>
        </is>
      </c>
      <c r="G95" s="165" t="inlineStr">
        <is>
          <t>Feedback consultations with parent, teacher and student; report prepared for issue IN UKRAINIAN (CS26-02799)</t>
        </is>
      </c>
      <c r="H95" s="139" t="inlineStr">
        <is>
          <t>Recorded</t>
        </is>
      </c>
      <c r="I95" s="139" t="inlineStr">
        <is>
          <t>2. Formulation · 3. Intervention · 5. Working with Others</t>
        </is>
      </c>
      <c r="J95" s="139" t="inlineStr">
        <is>
          <t>School Age</t>
        </is>
      </c>
      <c r="K95" s="139" t="inlineStr">
        <is>
          <t>Appendix 4 · Log sheet · Appendix 5 where a case · Appendix 7 where observed</t>
        </is>
      </c>
      <c r="L95" s="224" t="inlineStr">
        <is>
          <t>▸  Before: ask the parent to bring the child health record book and any previous reports. It transforms accuracy.
▸  During: consent first — purpose, what is recorded, who reads it, the right to decline any question.
▸  During: start with the child, not the history. "Tell me about her — what is she like?"
▸  During: anchor every milestone question to an event, never ask for a bare age.
▸  During: ASK ABOUT GLUE EAR AND GROMMETS IN THE INFANT YEARS specifically.
▸  During: ask the parent what they think is going on. They usually have a hypothesis and are rarely asked.
▸  After: write up the same day, structured as Carr — predisposing, precipitating, perpetuating, protective.</t>
        </is>
      </c>
      <c r="M95" s="224" t="inlineStr">
        <is>
          <t>1. Referral question re-read
2. Records and previous reports read
3. Parent developmental history
4. School consultation and observation
5. Direct assessment
6. Scoring, same day
7. Formulation using a named framework
8. Feedback to parent, then school
9. Report
10. Recommendations with review date
11. Log and appendices the same week</t>
        </is>
      </c>
      <c r="N95" s="224" t="inlineStr">
        <is>
          <t>—</t>
        </is>
      </c>
    </row>
    <row r="96" ht="150" customHeight="1" s="128">
      <c r="A96" s="139" t="inlineStr">
        <is>
          <t>DAY</t>
        </is>
      </c>
      <c r="B96" s="139" t="inlineStr">
        <is>
          <t>Appendix 4</t>
        </is>
      </c>
      <c r="C96" s="139" t="inlineStr">
        <is>
          <t>Wk 26</t>
        </is>
      </c>
      <c r="D96" s="229" t="n">
        <v>68</v>
      </c>
      <c r="E96" s="229" t="inlineStr">
        <is>
          <t>23/06/2026</t>
        </is>
      </c>
      <c r="F96" s="165" t="inlineStr">
        <is>
          <t>NEPS Roscommon office</t>
        </is>
      </c>
      <c r="G96" s="165" t="inlineStr">
        <is>
          <t>In-person supervision 10:00; case log emailed to supervisor</t>
        </is>
      </c>
      <c r="H96" s="139" t="inlineStr">
        <is>
          <t>Recorded</t>
        </is>
      </c>
      <c r="I96" s="139" t="inlineStr">
        <is>
          <t>7. Supervision</t>
        </is>
      </c>
      <c r="J96" s="139" t="inlineStr">
        <is>
          <t>School Age</t>
        </is>
      </c>
      <c r="K96" s="139" t="inlineStr">
        <is>
          <t>Appendix 4 · Log sheet · Appendix 5 where a case · Appendix 7 where observed</t>
        </is>
      </c>
      <c r="L96" s="224" t="inlineStr">
        <is>
          <t>▸  Send an agenda the day before — three to five items, in priority order, each marked for a decision, a view, or information.
▸  Include the uncomfortable item in writing. Unwritten, it will not survive the first twenty minutes.
▸  Write the record within the day: discussion, decisions, actions, and tag it to competencies.
▸  Carry last week’s actions forward at the top so the sessions accumulate.
▸  Ask for countersignature periodically rather than all at the end.</t>
        </is>
      </c>
      <c r="M96" s="224" t="inlineStr">
        <is>
          <t>Standard order for a non-case day:
1. Do the activity
2. Log it the same evening against a referral area AND a competency
3. Note in one line how it developed the skill
4. Check whether it belongs in Appendix 5, 7 or Table 3</t>
        </is>
      </c>
      <c r="N96" s="224" t="inlineStr">
        <is>
          <t>—</t>
        </is>
      </c>
    </row>
    <row r="97" ht="150" customHeight="1" s="128">
      <c r="A97" s="139" t="inlineStr">
        <is>
          <t>DAY</t>
        </is>
      </c>
      <c r="B97" s="139" t="inlineStr">
        <is>
          <t>Appendix 4</t>
        </is>
      </c>
      <c r="C97" s="139" t="inlineStr">
        <is>
          <t>Wk 26</t>
        </is>
      </c>
      <c r="D97" s="229" t="n">
        <v>69</v>
      </c>
      <c r="E97" s="229" t="inlineStr">
        <is>
          <t>24/06/2026</t>
        </is>
      </c>
      <c r="F97" s="165" t="inlineStr">
        <is>
          <t>Remote</t>
        </is>
      </c>
      <c r="G97" s="165" t="inlineStr">
        <is>
          <t>Remote working day</t>
        </is>
      </c>
      <c r="H97" s="139" t="inlineStr">
        <is>
          <t>Recorded</t>
        </is>
      </c>
      <c r="I97" s="139" t="inlineStr">
        <is>
          <t>—</t>
        </is>
      </c>
      <c r="J97" s="139" t="inlineStr">
        <is>
          <t>School Age</t>
        </is>
      </c>
      <c r="K97" s="139" t="inlineStr">
        <is>
          <t>Appendix 4 · Log sheet · Appendix 5 where a case · Appendix 7 where observed</t>
        </is>
      </c>
      <c r="L97" s="224" t="inlineStr">
        <is>
          <t>▸  Log the day against a referral area AND a competency the same evening.
▸  Note in one line how the day developed the skill — that line becomes the reflective essay later.
▸  Check whether anything from today belongs in Appendix 5, 7 or Table 3, and enter it now rather than in June.</t>
        </is>
      </c>
      <c r="M97" s="224" t="inlineStr">
        <is>
          <t>Standard order for a non-case day:
1. Do the activity
2. Log it the same evening against a referral area AND a competency
3. Note in one line how it developed the skill
4. Check whether it belongs in Appendix 5, 7 or Table 3</t>
        </is>
      </c>
      <c r="N97" s="224" t="inlineStr">
        <is>
          <t>—</t>
        </is>
      </c>
    </row>
    <row r="98" ht="150" customHeight="1" s="128">
      <c r="A98" s="139" t="inlineStr">
        <is>
          <t>DAY</t>
        </is>
      </c>
      <c r="B98" s="139" t="inlineStr">
        <is>
          <t>Appendix 4</t>
        </is>
      </c>
      <c r="C98" s="139" t="inlineStr">
        <is>
          <t>Wk 26</t>
        </is>
      </c>
      <c r="D98" s="229" t="n">
        <v>70</v>
      </c>
      <c r="E98" s="229" t="inlineStr">
        <is>
          <t>25/06/2026</t>
        </is>
      </c>
      <c r="F98" s="165" t="inlineStr">
        <is>
          <t>Remote</t>
        </is>
      </c>
      <c r="G98" s="165" t="inlineStr">
        <is>
          <t>Remote working day — case planning and documentation</t>
        </is>
      </c>
      <c r="H98" s="139" t="inlineStr">
        <is>
          <t>Recorded</t>
        </is>
      </c>
      <c r="I98" s="139" t="inlineStr">
        <is>
          <t>—</t>
        </is>
      </c>
      <c r="J98" s="139" t="inlineStr">
        <is>
          <t>School Age</t>
        </is>
      </c>
      <c r="K98" s="139" t="inlineStr">
        <is>
          <t>Appendix 4 · Log sheet · Appendix 5 where a case · Appendix 7 where observed</t>
        </is>
      </c>
      <c r="L98" s="224" t="inlineStr">
        <is>
          <t>▸  Log the day against a referral area AND a competency the same evening.
▸  Note in one line how the day developed the skill — that line becomes the reflective essay later.
▸  Check whether anything from today belongs in Appendix 5, 7 or Table 3, and enter it now rather than in June.</t>
        </is>
      </c>
      <c r="M98" s="224" t="inlineStr">
        <is>
          <t>Standard order for a non-case day:
1. Do the activity
2. Log it the same evening against a referral area AND a competency
3. Note in one line how it developed the skill
4. Check whether it belongs in Appendix 5, 7 or Table 3</t>
        </is>
      </c>
      <c r="N98" s="224" t="inlineStr">
        <is>
          <t>—</t>
        </is>
      </c>
    </row>
    <row r="99" ht="300" customHeight="1" s="128">
      <c r="A99" s="231" t="inlineStr">
        <is>
          <t>REFLECTION</t>
        </is>
      </c>
      <c r="B99" s="231" t="inlineStr">
        <is>
          <t>Weekly</t>
        </is>
      </c>
      <c r="C99" s="231" t="inlineStr">
        <is>
          <t>Wk 26</t>
        </is>
      </c>
      <c r="D99" s="231" t="n"/>
      <c r="E99" s="231" t="n"/>
      <c r="F99" s="231" t="n"/>
      <c r="G99" s="231" t="inlineStr">
        <is>
          <t>END OF WEEK — complete the reflection in column O before the week closes.</t>
        </is>
      </c>
      <c r="H99" s="231" t="n"/>
      <c r="I99" s="231" t="n"/>
      <c r="J99" s="231" t="n"/>
      <c r="K99" s="231" t="n"/>
      <c r="O99" s="224" t="inlineStr">
        <is>
          <t>TITLE:  ______________________________________________
     (name the week in six words — e.g. "The week the hearing history changed everything")
SUBTITLE:  ____________________________________________
     (the competency this week most developed)
AREAS TO FOCUS ON — tick what applies, then write about ONE:
▸  A decision I made and the reasoning behind it
▸  Something I did not know I did not know
▸  A moment I was uncertain and what I did with it
▸  Feedback I received and what I did about it
▸  Something I avoided asking, and why
▸  Where my own assumptions shaped what I looked for (CORU 5.44)
▸  My own response to the work — energy, pace, what it cost (CORU 5.45)
▸  What I would do differently, specifically
REFLECTION (one paragraph, your own words):
     Shape that works — here is what happened · here is what I noticed in myself ·
     here is what I did about it · here is how my practice differs now.
     Use a dated, specific example. Assertions like "I grew in confidence" evidence nothing.
_____________________________________________________________________
_____________________________________________________________________
_____________________________________________________________________
NOTE: this is yours to write. A reflection written by anyone else is not a reflection.</t>
        </is>
      </c>
    </row>
    <row r="100" ht="150" customHeight="1" s="128">
      <c r="A100" s="139" t="inlineStr">
        <is>
          <t>DAY</t>
        </is>
      </c>
      <c r="B100" s="139" t="inlineStr">
        <is>
          <t>Appendix 4</t>
        </is>
      </c>
      <c r="C100" s="139" t="inlineStr">
        <is>
          <t>Wk 27</t>
        </is>
      </c>
      <c r="D100" s="229" t="n">
        <v>71</v>
      </c>
      <c r="E100" s="229" t="inlineStr">
        <is>
          <t>29/06/2026</t>
        </is>
      </c>
      <c r="F100" s="165" t="inlineStr">
        <is>
          <t>NEPS Roscommon office</t>
        </is>
      </c>
      <c r="G100" s="165" t="inlineStr">
        <is>
          <t>Report writing and case review. NCSE team meeting 11:00-13:00</t>
        </is>
      </c>
      <c r="H100" s="139" t="inlineStr">
        <is>
          <t>Recorded</t>
        </is>
      </c>
      <c r="I100" s="139" t="inlineStr">
        <is>
          <t>2. Formulation · 4. Systemic Change · 7. Supervision</t>
        </is>
      </c>
      <c r="J100" s="139" t="inlineStr">
        <is>
          <t>School Age</t>
        </is>
      </c>
      <c r="K100" s="139" t="inlineStr">
        <is>
          <t>Appendix 4 · Log sheet · Appendix 5 where a case · Appendix 7 where observed</t>
        </is>
      </c>
      <c r="L100" s="224" t="inlineStr">
        <is>
          <t>▸  Re-read the referral question before writing the conclusion. Reports routinely describe a child and never answer what was asked.
▸  Organise findings by source; organise the FORMULATION by integration — name where sources conflict and what you make of it.
▸  Use a named framework and say which: Monsen, Interactive Factors, COMOIRA or Carr.
▸  Write a SPECIFIC limitations section, not a generic one.
▸  Name the Continuum of Support level and justify why that level and not the one below.
▸  Address each recommendation to a role, with frequency, duration and a review measure.</t>
        </is>
      </c>
      <c r="M100" s="224" t="inlineStr">
        <is>
          <t>Standard order for a non-case day:
1. Do the activity
2. Log it the same evening against a referral area AND a competency
3. Note in one line how it developed the skill
4. Check whether it belongs in Appendix 5, 7 or Table 3</t>
        </is>
      </c>
      <c r="N100" s="224" t="inlineStr">
        <is>
          <t>—</t>
        </is>
      </c>
    </row>
    <row r="101" ht="150" customHeight="1" s="128">
      <c r="A101" s="139" t="inlineStr">
        <is>
          <t>DAY</t>
        </is>
      </c>
      <c r="B101" s="139" t="inlineStr">
        <is>
          <t>Appendix 4</t>
        </is>
      </c>
      <c r="C101" s="139" t="inlineStr">
        <is>
          <t>Wk 27</t>
        </is>
      </c>
      <c r="D101" s="229" t="n">
        <v>72</v>
      </c>
      <c r="E101" s="229" t="inlineStr">
        <is>
          <t>30/06/2026</t>
        </is>
      </c>
      <c r="F101" s="165" t="inlineStr">
        <is>
          <t>NEPS Roscommon office, then remote</t>
        </is>
      </c>
      <c r="G101" s="165" t="inlineStr">
        <is>
          <t>Office am. Report writing with supervisor 13:00; Grange case files compiled</t>
        </is>
      </c>
      <c r="H101" s="139" t="inlineStr">
        <is>
          <t>Recorded</t>
        </is>
      </c>
      <c r="I101" s="139" t="inlineStr">
        <is>
          <t>2. Formulation · 7. Supervision</t>
        </is>
      </c>
      <c r="J101" s="139" t="inlineStr">
        <is>
          <t>School Age</t>
        </is>
      </c>
      <c r="K101" s="139" t="inlineStr">
        <is>
          <t>Appendix 4 · Log sheet · Appendix 5 where a case · Appendix 7 where observed</t>
        </is>
      </c>
      <c r="L101" s="224" t="inlineStr">
        <is>
          <t>▸  Re-read the referral question before writing the conclusion. Reports routinely describe a child and never answer what was asked.
▸  Organise findings by source; organise the FORMULATION by integration — name where sources conflict and what you make of it.
▸  Use a named framework and say which: Monsen, Interactive Factors, COMOIRA or Carr.
▸  Write a SPECIFIC limitations section, not a generic one.
▸  Name the Continuum of Support level and justify why that level and not the one below.
▸  Address each recommendation to a role, with frequency, duration and a review measure.</t>
        </is>
      </c>
      <c r="M101" s="224" t="inlineStr">
        <is>
          <t>Standard order for a non-case day:
1. Do the activity
2. Log it the same evening against a referral area AND a competency
3. Note in one line how it developed the skill
4. Check whether it belongs in Appendix 5, 7 or Table 3</t>
        </is>
      </c>
      <c r="N101" s="224" t="inlineStr">
        <is>
          <t>—</t>
        </is>
      </c>
    </row>
    <row r="102" ht="150" customHeight="1" s="128">
      <c r="A102" s="139" t="inlineStr">
        <is>
          <t>DAY</t>
        </is>
      </c>
      <c r="B102" s="139" t="inlineStr">
        <is>
          <t>Appendix 4</t>
        </is>
      </c>
      <c r="C102" s="139" t="inlineStr">
        <is>
          <t>Wk 27</t>
        </is>
      </c>
      <c r="D102" s="229" t="n">
        <v>73</v>
      </c>
      <c r="E102" s="229" t="inlineStr">
        <is>
          <t>01/07/2026</t>
        </is>
      </c>
      <c r="F102" s="165" t="inlineStr">
        <is>
          <t>Remote</t>
        </is>
      </c>
      <c r="G102" s="165" t="inlineStr">
        <is>
          <t>Report finalisation for the Grange and Boyle cases</t>
        </is>
      </c>
      <c r="H102" s="139" t="inlineStr">
        <is>
          <t>Recorded</t>
        </is>
      </c>
      <c r="I102" s="139" t="inlineStr">
        <is>
          <t>2. Formulation</t>
        </is>
      </c>
      <c r="J102" s="139" t="inlineStr">
        <is>
          <t>School Age</t>
        </is>
      </c>
      <c r="K102" s="139" t="inlineStr">
        <is>
          <t>Appendix 4 · Log sheet · Appendix 5 where a case · Appendix 7 where observed</t>
        </is>
      </c>
      <c r="L102" s="224" t="inlineStr">
        <is>
          <t>▸  Re-read the referral question before writing the conclusion. Reports routinely describe a child and never answer what was asked.
▸  Organise findings by source; organise the FORMULATION by integration — name where sources conflict and what you make of it.
▸  Use a named framework and say which: Monsen, Interactive Factors, COMOIRA or Carr.
▸  Write a SPECIFIC limitations section, not a generic one.
▸  Name the Continuum of Support level and justify why that level and not the one below.
▸  Address each recommendation to a role, with frequency, duration and a review measure.</t>
        </is>
      </c>
      <c r="M102" s="224" t="inlineStr">
        <is>
          <t>Standard order for a non-case day:
1. Do the activity
2. Log it the same evening against a referral area AND a competency
3. Note in one line how it developed the skill
4. Check whether it belongs in Appendix 5, 7 or Table 3</t>
        </is>
      </c>
      <c r="N102" s="224" t="inlineStr">
        <is>
          <t>—</t>
        </is>
      </c>
    </row>
    <row r="103" ht="150" customHeight="1" s="128">
      <c r="A103" s="139" t="inlineStr">
        <is>
          <t>DAY</t>
        </is>
      </c>
      <c r="B103" s="139" t="inlineStr">
        <is>
          <t>Appendix 4</t>
        </is>
      </c>
      <c r="C103" s="139" t="inlineStr">
        <is>
          <t>Wk 27</t>
        </is>
      </c>
      <c r="D103" s="229" t="n">
        <v>74</v>
      </c>
      <c r="E103" s="229" t="inlineStr">
        <is>
          <t>02/07/2026</t>
        </is>
      </c>
      <c r="F103" s="165" t="inlineStr">
        <is>
          <t>Remote</t>
        </is>
      </c>
      <c r="G103" s="165" t="inlineStr">
        <is>
          <t>Supervision (Teams) 11:00; supervision — report writing 14:30</t>
        </is>
      </c>
      <c r="H103" s="139" t="inlineStr">
        <is>
          <t>Recorded</t>
        </is>
      </c>
      <c r="I103" s="139" t="inlineStr">
        <is>
          <t>2. Formulation · 7. Supervision</t>
        </is>
      </c>
      <c r="J103" s="139" t="inlineStr">
        <is>
          <t>School Age</t>
        </is>
      </c>
      <c r="K103" s="139" t="inlineStr">
        <is>
          <t>Appendix 4 · Log sheet · Appendix 5 where a case · Appendix 7 where observed</t>
        </is>
      </c>
      <c r="L103" s="224" t="inlineStr">
        <is>
          <t>▸  Re-read the referral question before writing the conclusion. Reports routinely describe a child and never answer what was asked.
▸  Organise findings by source; organise the FORMULATION by integration — name where sources conflict and what you make of it.
▸  Use a named framework and say which: Monsen, Interactive Factors, COMOIRA or Carr.
▸  Write a SPECIFIC limitations section, not a generic one.
▸  Name the Continuum of Support level and justify why that level and not the one below.
▸  Address each recommendation to a role, with frequency, duration and a review measure.</t>
        </is>
      </c>
      <c r="M103" s="224" t="inlineStr">
        <is>
          <t>Standard order for a non-case day:
1. Do the activity
2. Log it the same evening against a referral area AND a competency
3. Note in one line how it developed the skill
4. Check whether it belongs in Appendix 5, 7 or Table 3</t>
        </is>
      </c>
      <c r="N103" s="224" t="inlineStr">
        <is>
          <t>—</t>
        </is>
      </c>
    </row>
    <row r="104" ht="300" customHeight="1" s="128">
      <c r="A104" s="231" t="inlineStr">
        <is>
          <t>REFLECTION</t>
        </is>
      </c>
      <c r="B104" s="231" t="inlineStr">
        <is>
          <t>Weekly</t>
        </is>
      </c>
      <c r="C104" s="231" t="inlineStr">
        <is>
          <t>Wk 27</t>
        </is>
      </c>
      <c r="D104" s="231" t="n"/>
      <c r="E104" s="231" t="n"/>
      <c r="F104" s="231" t="n"/>
      <c r="G104" s="231" t="inlineStr">
        <is>
          <t>END OF WEEK — complete the reflection in column O before the week closes.</t>
        </is>
      </c>
      <c r="H104" s="231" t="n"/>
      <c r="I104" s="231" t="n"/>
      <c r="J104" s="231" t="n"/>
      <c r="K104" s="231" t="n"/>
      <c r="O104" s="224" t="inlineStr">
        <is>
          <t>TITLE:  ______________________________________________
     (name the week in six words — e.g. "The week the hearing history changed everything")
SUBTITLE:  ____________________________________________
     (the competency this week most developed)
AREAS TO FOCUS ON — tick what applies, then write about ONE:
▸  A decision I made and the reasoning behind it
▸  Something I did not know I did not know
▸  A moment I was uncertain and what I did with it
▸  Feedback I received and what I did about it
▸  Something I avoided asking, and why
▸  Where my own assumptions shaped what I looked for (CORU 5.44)
▸  My own response to the work — energy, pace, what it cost (CORU 5.45)
▸  What I would do differently, specifically
REFLECTION (one paragraph, your own words):
     Shape that works — here is what happened · here is what I noticed in myself ·
     here is what I did about it · here is how my practice differs now.
     Use a dated, specific example. Assertions like "I grew in confidence" evidence nothing.
_____________________________________________________________________
_____________________________________________________________________
_____________________________________________________________________
NOTE: this is yours to write. A reflection written by anyone else is not a reflection.</t>
        </is>
      </c>
    </row>
    <row r="105" ht="150" customHeight="1" s="128">
      <c r="A105" s="139" t="inlineStr">
        <is>
          <t>DAY</t>
        </is>
      </c>
      <c r="B105" s="139" t="inlineStr">
        <is>
          <t>Appendix 4</t>
        </is>
      </c>
      <c r="C105" s="139" t="inlineStr">
        <is>
          <t>Wk 28</t>
        </is>
      </c>
      <c r="D105" s="229" t="n">
        <v>75</v>
      </c>
      <c r="E105" s="229" t="inlineStr">
        <is>
          <t>06/07/2026</t>
        </is>
      </c>
      <c r="F105" s="165" t="inlineStr">
        <is>
          <t>Remote</t>
        </is>
      </c>
      <c r="G105" s="165" t="inlineStr">
        <is>
          <t>Supervision — report writing (Teams) 10:00  ***75-DAY MINIMUM REACHED***</t>
        </is>
      </c>
      <c r="H105" s="139" t="inlineStr">
        <is>
          <t>Recorded</t>
        </is>
      </c>
      <c r="I105" s="139" t="inlineStr">
        <is>
          <t>2. Formulation · 7. Supervision</t>
        </is>
      </c>
      <c r="J105" s="139" t="inlineStr">
        <is>
          <t>School Age</t>
        </is>
      </c>
      <c r="K105" s="139" t="inlineStr">
        <is>
          <t>Appendix 4 · Log sheet · Appendix 5 where a case · Appendix 7 where observed</t>
        </is>
      </c>
      <c r="L105" s="224" t="inlineStr">
        <is>
          <t>▸  Re-read the referral question before writing the conclusion. Reports routinely describe a child and never answer what was asked.
▸  Organise findings by source; organise the FORMULATION by integration — name where sources conflict and what you make of it.
▸  Use a named framework and say which: Monsen, Interactive Factors, COMOIRA or Carr.
▸  Write a SPECIFIC limitations section, not a generic one.
▸  Name the Continuum of Support level and justify why that level and not the one below.
▸  Address each recommendation to a role, with frequency, duration and a review measure.</t>
        </is>
      </c>
      <c r="M105" s="224" t="inlineStr">
        <is>
          <t>Standard order for a non-case day:
1. Do the activity
2. Log it the same evening against a referral area AND a competency
3. Note in one line how it developed the skill
4. Check whether it belongs in Appendix 5, 7 or Table 3</t>
        </is>
      </c>
      <c r="N105" s="224" t="inlineStr">
        <is>
          <t>—</t>
        </is>
      </c>
    </row>
    <row r="106" ht="150" customHeight="1" s="128">
      <c r="A106" s="139" t="inlineStr">
        <is>
          <t>DAY</t>
        </is>
      </c>
      <c r="B106" s="139" t="inlineStr">
        <is>
          <t>Appendix 4</t>
        </is>
      </c>
      <c r="C106" s="139" t="inlineStr">
        <is>
          <t>Wk 28</t>
        </is>
      </c>
      <c r="D106" s="229" t="n">
        <v>76</v>
      </c>
      <c r="E106" s="229" t="inlineStr">
        <is>
          <t>07/07/2026</t>
        </is>
      </c>
      <c r="F106" s="165" t="inlineStr">
        <is>
          <t>Remote</t>
        </is>
      </c>
      <c r="G106" s="165" t="inlineStr">
        <is>
          <t>Supervision (Teams) 10:30-11:30</t>
        </is>
      </c>
      <c r="H106" s="139" t="inlineStr">
        <is>
          <t>Recorded</t>
        </is>
      </c>
      <c r="I106" s="139" t="inlineStr">
        <is>
          <t>7. Supervision</t>
        </is>
      </c>
      <c r="J106" s="139" t="inlineStr">
        <is>
          <t>School Age</t>
        </is>
      </c>
      <c r="K106" s="139" t="inlineStr">
        <is>
          <t>Appendix 4 · Log sheet · Appendix 5 where a case · Appendix 7 where observed</t>
        </is>
      </c>
      <c r="L106" s="224" t="inlineStr">
        <is>
          <t>▸  Send an agenda the day before — three to five items, in priority order, each marked for a decision, a view, or information.
▸  Include the uncomfortable item in writing. Unwritten, it will not survive the first twenty minutes.
▸  Write the record within the day: discussion, decisions, actions, and tag it to competencies.
▸  Carry last week’s actions forward at the top so the sessions accumulate.
▸  Ask for countersignature periodically rather than all at the end.</t>
        </is>
      </c>
      <c r="M106" s="224" t="inlineStr">
        <is>
          <t>Standard order for a non-case day:
1. Do the activity
2. Log it the same evening against a referral area AND a competency
3. Note in one line how it developed the skill
4. Check whether it belongs in Appendix 5, 7 or Table 3</t>
        </is>
      </c>
      <c r="N106" s="224" t="inlineStr">
        <is>
          <t>—</t>
        </is>
      </c>
    </row>
    <row r="107" ht="150" customHeight="1" s="128">
      <c r="A107" s="139" t="inlineStr">
        <is>
          <t>DAY</t>
        </is>
      </c>
      <c r="B107" s="139" t="inlineStr">
        <is>
          <t>Appendix 4</t>
        </is>
      </c>
      <c r="C107" s="139" t="inlineStr">
        <is>
          <t>Wk 28</t>
        </is>
      </c>
      <c r="D107" s="229" t="n">
        <v>77</v>
      </c>
      <c r="E107" s="229" t="inlineStr">
        <is>
          <t>08/07/2026</t>
        </is>
      </c>
      <c r="F107" s="165" t="inlineStr">
        <is>
          <t>Remote</t>
        </is>
      </c>
      <c r="G107" s="165" t="inlineStr">
        <is>
          <t>Supervision (Teams) 10:00-11:00</t>
        </is>
      </c>
      <c r="H107" s="139" t="inlineStr">
        <is>
          <t>Recorded</t>
        </is>
      </c>
      <c r="I107" s="139" t="inlineStr">
        <is>
          <t>7. Supervision</t>
        </is>
      </c>
      <c r="J107" s="139" t="inlineStr">
        <is>
          <t>School Age</t>
        </is>
      </c>
      <c r="K107" s="139" t="inlineStr">
        <is>
          <t>Appendix 4 · Log sheet · Appendix 5 where a case · Appendix 7 where observed</t>
        </is>
      </c>
      <c r="L107" s="224" t="inlineStr">
        <is>
          <t>▸  Send an agenda the day before — three to five items, in priority order, each marked for a decision, a view, or information.
▸  Include the uncomfortable item in writing. Unwritten, it will not survive the first twenty minutes.
▸  Write the record within the day: discussion, decisions, actions, and tag it to competencies.
▸  Carry last week’s actions forward at the top so the sessions accumulate.
▸  Ask for countersignature periodically rather than all at the end.</t>
        </is>
      </c>
      <c r="M107" s="224" t="inlineStr">
        <is>
          <t>Standard order for a non-case day:
1. Do the activity
2. Log it the same evening against a referral area AND a competency
3. Note in one line how it developed the skill
4. Check whether it belongs in Appendix 5, 7 or Table 3</t>
        </is>
      </c>
      <c r="N107" s="224" t="inlineStr">
        <is>
          <t>—</t>
        </is>
      </c>
    </row>
    <row r="108" ht="150" customHeight="1" s="128">
      <c r="A108" s="139" t="inlineStr">
        <is>
          <t>DAY</t>
        </is>
      </c>
      <c r="B108" s="139" t="inlineStr">
        <is>
          <t>Appendix 4</t>
        </is>
      </c>
      <c r="C108" s="139" t="inlineStr">
        <is>
          <t>Wk 28</t>
        </is>
      </c>
      <c r="D108" s="229" t="n">
        <v>78</v>
      </c>
      <c r="E108" s="229" t="inlineStr">
        <is>
          <t>09/07/2026</t>
        </is>
      </c>
      <c r="F108" s="165" t="inlineStr">
        <is>
          <t>Remote</t>
        </is>
      </c>
      <c r="G108" s="165" t="inlineStr">
        <is>
          <t>Supervision (Teams) 14:00-15:00. Placement closing documentation</t>
        </is>
      </c>
      <c r="H108" s="139" t="inlineStr">
        <is>
          <t>Recorded</t>
        </is>
      </c>
      <c r="I108" s="139" t="inlineStr">
        <is>
          <t>7. Supervision</t>
        </is>
      </c>
      <c r="J108" s="139" t="inlineStr">
        <is>
          <t>School Age</t>
        </is>
      </c>
      <c r="K108" s="139" t="inlineStr">
        <is>
          <t>Appendix 4 · Log sheet · Appendix 5 where a case · Appendix 7 where observed</t>
        </is>
      </c>
      <c r="L108" s="224" t="inlineStr">
        <is>
          <t>▸  Send an agenda the day before — three to five items, in priority order, each marked for a decision, a view, or information.
▸  Include the uncomfortable item in writing. Unwritten, it will not survive the first twenty minutes.
▸  Write the record within the day: discussion, decisions, actions, and tag it to competencies.
▸  Carry last week’s actions forward at the top so the sessions accumulate.
▸  Ask for countersignature periodically rather than all at the end.</t>
        </is>
      </c>
      <c r="M108" s="224" t="inlineStr">
        <is>
          <t>Standard order for a non-case day:
1. Do the activity
2. Log it the same evening against a referral area AND a competency
3. Note in one line how it developed the skill
4. Check whether it belongs in Appendix 5, 7 or Table 3</t>
        </is>
      </c>
      <c r="N108" s="224" t="inlineStr">
        <is>
          <t>—</t>
        </is>
      </c>
    </row>
    <row r="109" ht="60" customHeight="1" s="128">
      <c r="A109" s="232" t="inlineStr">
        <is>
          <t>GAP</t>
        </is>
      </c>
      <c r="B109" s="232" t="inlineStr">
        <is>
          <t>Appendix 4</t>
        </is>
      </c>
      <c r="C109" s="232" t="inlineStr">
        <is>
          <t>Wk 10</t>
        </is>
      </c>
      <c r="D109" s="232" t="n"/>
      <c r="E109" s="232" t="inlineStr">
        <is>
          <t>03/03/2026</t>
        </is>
      </c>
      <c r="F109" s="232" t="n"/>
      <c r="G109" s="232" t="inlineStr">
        <is>
          <t>NO ENTRY EXISTS FOR THIS DATE. It falls inside the Mon–Thu placement pattern and has never been flagged. Either a day was worked and not recorded, or it was not a placement day — establish which and correct the record before countersignature.</t>
        </is>
      </c>
      <c r="H109" s="232" t="n"/>
      <c r="I109" s="232" t="n"/>
      <c r="J109" s="232" t="n"/>
      <c r="K109" s="232" t="n"/>
      <c r="L109" s="232" t="n"/>
      <c r="M109" s="232" t="n"/>
      <c r="N109" s="232" t="n"/>
      <c r="O109" s="232" t="n"/>
    </row>
    <row r="110" ht="60" customHeight="1" s="128">
      <c r="A110" s="232" t="inlineStr">
        <is>
          <t>GAP</t>
        </is>
      </c>
      <c r="B110" s="232" t="inlineStr">
        <is>
          <t>Appendix 4</t>
        </is>
      </c>
      <c r="C110" s="232" t="inlineStr">
        <is>
          <t>Wk 10</t>
        </is>
      </c>
      <c r="D110" s="232" t="n"/>
      <c r="E110" s="232" t="inlineStr">
        <is>
          <t>04/03/2026</t>
        </is>
      </c>
      <c r="F110" s="232" t="n"/>
      <c r="G110" s="232" t="inlineStr">
        <is>
          <t>NO ENTRY EXISTS FOR THIS DATE. It falls inside the Mon–Thu placement pattern and has never been flagged. Either a day was worked and not recorded, or it was not a placement day — establish which and correct the record before countersignature.</t>
        </is>
      </c>
      <c r="H110" s="232" t="n"/>
      <c r="I110" s="232" t="n"/>
      <c r="J110" s="232" t="n"/>
      <c r="K110" s="232" t="n"/>
      <c r="L110" s="232" t="n"/>
      <c r="M110" s="232" t="n"/>
      <c r="N110" s="232" t="n"/>
      <c r="O110" s="232" t="n"/>
    </row>
    <row r="111" ht="60" customHeight="1" s="128">
      <c r="A111" s="232" t="inlineStr">
        <is>
          <t>GAP</t>
        </is>
      </c>
      <c r="B111" s="232" t="inlineStr">
        <is>
          <t>Appendix 4</t>
        </is>
      </c>
      <c r="C111" s="232" t="inlineStr">
        <is>
          <t>Wk 15</t>
        </is>
      </c>
      <c r="D111" s="232" t="n"/>
      <c r="E111" s="232" t="inlineStr">
        <is>
          <t>09/04/2026</t>
        </is>
      </c>
      <c r="F111" s="232" t="n"/>
      <c r="G111" s="232" t="inlineStr">
        <is>
          <t>NO ENTRY EXISTS FOR THIS DATE. It falls inside the Mon–Thu placement pattern and has never been flagged. Either a day was worked and not recorded, or it was not a placement day — establish which and correct the record before countersignature.</t>
        </is>
      </c>
      <c r="H111" s="232" t="n"/>
      <c r="I111" s="232" t="n"/>
      <c r="J111" s="232" t="n"/>
      <c r="K111" s="232" t="n"/>
      <c r="L111" s="232" t="n"/>
      <c r="M111" s="232" t="n"/>
      <c r="N111" s="232" t="n"/>
      <c r="O111" s="232" t="n"/>
    </row>
    <row r="113" ht="25.5" customHeight="1" s="128">
      <c r="A113" s="173" t="inlineStr">
        <is>
          <t>APPENDIX 5</t>
        </is>
      </c>
      <c r="B113" s="173" t="inlineStr">
        <is>
          <t>RECORD OF EXPERIENCE</t>
        </is>
      </c>
      <c r="C113" s="173" t="n"/>
      <c r="D113" s="173" t="n"/>
      <c r="E113" s="173" t="n"/>
      <c r="F113" s="173" t="n"/>
      <c r="G113" s="173" t="inlineStr">
        <is>
          <t>One row per case. White columns are the record; RED columns are the learning companion. Case identifiers only — never names.</t>
        </is>
      </c>
      <c r="H113" s="173" t="n"/>
      <c r="I113" s="173" t="n"/>
      <c r="J113" s="173" t="n"/>
      <c r="K113" s="173" t="n"/>
      <c r="L113" s="173" t="n"/>
      <c r="M113" s="173" t="n"/>
      <c r="N113" s="173" t="n"/>
      <c r="O113" s="173" t="n"/>
    </row>
    <row r="114" ht="199.5" customHeight="1" s="128">
      <c r="A114" s="159" t="inlineStr">
        <is>
          <t>CASE</t>
        </is>
      </c>
      <c r="B114" s="159" t="inlineStr">
        <is>
          <t>Appendix 5</t>
        </is>
      </c>
      <c r="C114" s="159" t="n"/>
      <c r="D114" s="159" t="n"/>
      <c r="E114" s="159" t="n"/>
      <c r="F114" s="233" t="inlineStr">
        <is>
          <t>Case 01</t>
        </is>
      </c>
      <c r="G114" s="159" t="inlineStr">
        <is>
          <t>CS26-02343</t>
        </is>
      </c>
      <c r="H114" s="159" t="inlineStr">
        <is>
          <t>To complete</t>
        </is>
      </c>
      <c r="I114" s="159" t="n"/>
      <c r="J114" s="159" t="n"/>
      <c r="K114" s="159" t="inlineStr">
        <is>
          <t>Appendix 5 · Table 3 · Log sheet</t>
        </is>
      </c>
      <c r="L114" s="224" t="inlineStr">
        <is>
          <t>▸  Referral question, in the referrer’s words, before anything else.
▸  Records and previous reports read BEFORE first contact.
▸  Parent developmental history with anchored milestone questions and the glue-ear question.
▸  School consultation and structured observation with a comparison peer.
▸  Direct assessment — only the subtests that answer the question.
▸  Scoring the same day; behaviour notes written while fresh.
▸  Formulation using a NAMED framework, with the rejected hypothesis recorded.
▸  Feedback to parent, then to school. Headline first, plain language, check it landed.
▸  Report with a specific limitations section and a named Continuum level.
▸  Recommendations addressed to roles, with a measure and a review date.
▸  Appendix 5, Appendix 7 and Table 3 entries completed the same week.</t>
        </is>
      </c>
      <c r="M114" s="224" t="inlineStr">
        <is>
          <t>1. Referral question re-read
2. Records and previous reports read
3. Parent developmental history
4. School consultation and observation
5. Direct assessment
6. Scoring, same day
7. Formulation using a named framework
8. Feedback to parent, then school
9. Report
10. Recommendations with review date
11. Log and appendices the same week</t>
        </is>
      </c>
      <c r="N114" s="224" t="inlineStr">
        <is>
          <t>Check against your own record: which of the eleven steps has no evidence behind it?</t>
        </is>
      </c>
      <c r="O114" s="224" t="inlineStr">
        <is>
          <t>Case-level reflection: what did this case teach me that the previous one did not?</t>
        </is>
      </c>
    </row>
    <row r="115" ht="199.5" customHeight="1" s="128">
      <c r="A115" s="159" t="inlineStr">
        <is>
          <t>CASE</t>
        </is>
      </c>
      <c r="B115" s="159" t="inlineStr">
        <is>
          <t>Appendix 5</t>
        </is>
      </c>
      <c r="C115" s="159" t="n"/>
      <c r="D115" s="159" t="n"/>
      <c r="E115" s="159" t="n"/>
      <c r="F115" s="233" t="inlineStr">
        <is>
          <t>Case 02</t>
        </is>
      </c>
      <c r="G115" s="159" t="inlineStr">
        <is>
          <t>reference to be entered</t>
        </is>
      </c>
      <c r="H115" s="159" t="inlineStr">
        <is>
          <t>To complete</t>
        </is>
      </c>
      <c r="I115" s="159" t="n"/>
      <c r="J115" s="159" t="n"/>
      <c r="K115" s="159" t="inlineStr">
        <is>
          <t>Appendix 5 · Table 3 · Log sheet</t>
        </is>
      </c>
      <c r="L115" s="224" t="inlineStr">
        <is>
          <t>▸  Referral question, in the referrer’s words, before anything else.
▸  Records and previous reports read BEFORE first contact.
▸  Parent developmental history with anchored milestone questions and the glue-ear question.
▸  School consultation and structured observation with a comparison peer.
▸  Direct assessment — only the subtests that answer the question.
▸  Scoring the same day; behaviour notes written while fresh.
▸  Formulation using a NAMED framework, with the rejected hypothesis recorded.
▸  Feedback to parent, then to school. Headline first, plain language, check it landed.
▸  Report with a specific limitations section and a named Continuum level.
▸  Recommendations addressed to roles, with a measure and a review date.
▸  Appendix 5, Appendix 7 and Table 3 entries completed the same week.</t>
        </is>
      </c>
      <c r="M115" s="224" t="inlineStr">
        <is>
          <t>1. Referral question re-read
2. Records and previous reports read
3. Parent developmental history
4. School consultation and observation
5. Direct assessment
6. Scoring, same day
7. Formulation using a named framework
8. Feedback to parent, then school
9. Report
10. Recommendations with review date
11. Log and appendices the same week</t>
        </is>
      </c>
      <c r="N115" s="224" t="inlineStr">
        <is>
          <t>Check against your own record: which of the eleven steps has no evidence behind it?</t>
        </is>
      </c>
      <c r="O115" s="224" t="inlineStr">
        <is>
          <t>Case-level reflection: what did this case teach me that the previous one did not?</t>
        </is>
      </c>
    </row>
    <row r="116" ht="199.5" customHeight="1" s="128">
      <c r="A116" s="159" t="inlineStr">
        <is>
          <t>CASE</t>
        </is>
      </c>
      <c r="B116" s="159" t="inlineStr">
        <is>
          <t>Appendix 5</t>
        </is>
      </c>
      <c r="C116" s="159" t="n"/>
      <c r="D116" s="159" t="n"/>
      <c r="E116" s="159" t="n"/>
      <c r="F116" s="233" t="inlineStr">
        <is>
          <t>Case 03</t>
        </is>
      </c>
      <c r="G116" s="159" t="inlineStr">
        <is>
          <t>reference to be entered</t>
        </is>
      </c>
      <c r="H116" s="159" t="inlineStr">
        <is>
          <t>To complete</t>
        </is>
      </c>
      <c r="I116" s="159" t="n"/>
      <c r="J116" s="159" t="n"/>
      <c r="K116" s="159" t="inlineStr">
        <is>
          <t>Appendix 5 · Table 3 · Log sheet</t>
        </is>
      </c>
      <c r="L116" s="224" t="inlineStr">
        <is>
          <t>▸  Referral question, in the referrer’s words, before anything else.
▸  Records and previous reports read BEFORE first contact.
▸  Parent developmental history with anchored milestone questions and the glue-ear question.
▸  School consultation and structured observation with a comparison peer.
▸  Direct assessment — only the subtests that answer the question.
▸  Scoring the same day; behaviour notes written while fresh.
▸  Formulation using a NAMED framework, with the rejected hypothesis recorded.
▸  Feedback to parent, then to school. Headline first, plain language, check it landed.
▸  Report with a specific limitations section and a named Continuum level.
▸  Recommendations addressed to roles, with a measure and a review date.
▸  Appendix 5, Appendix 7 and Table 3 entries completed the same week.</t>
        </is>
      </c>
      <c r="M116" s="224" t="inlineStr">
        <is>
          <t>1. Referral question re-read
2. Records and previous reports read
3. Parent developmental history
4. School consultation and observation
5. Direct assessment
6. Scoring, same day
7. Formulation using a named framework
8. Feedback to parent, then school
9. Report
10. Recommendations with review date
11. Log and appendices the same week</t>
        </is>
      </c>
      <c r="N116" s="224" t="inlineStr">
        <is>
          <t>Check against your own record: which of the eleven steps has no evidence behind it?</t>
        </is>
      </c>
      <c r="O116" s="224" t="inlineStr">
        <is>
          <t>Case-level reflection: what did this case teach me that the previous one did not?</t>
        </is>
      </c>
    </row>
    <row r="117" ht="199.5" customHeight="1" s="128">
      <c r="A117" s="159" t="inlineStr">
        <is>
          <t>CASE</t>
        </is>
      </c>
      <c r="B117" s="159" t="inlineStr">
        <is>
          <t>Appendix 5</t>
        </is>
      </c>
      <c r="C117" s="159" t="n"/>
      <c r="D117" s="159" t="n"/>
      <c r="E117" s="159" t="n"/>
      <c r="F117" s="233" t="inlineStr">
        <is>
          <t>Case 04</t>
        </is>
      </c>
      <c r="G117" s="159" t="inlineStr">
        <is>
          <t>reference to be entered</t>
        </is>
      </c>
      <c r="H117" s="159" t="inlineStr">
        <is>
          <t>To complete</t>
        </is>
      </c>
      <c r="I117" s="159" t="n"/>
      <c r="J117" s="159" t="n"/>
      <c r="K117" s="159" t="inlineStr">
        <is>
          <t>Appendix 5 · Table 3 · Log sheet</t>
        </is>
      </c>
      <c r="L117" s="224" t="inlineStr">
        <is>
          <t>▸  Referral question, in the referrer’s words, before anything else.
▸  Records and previous reports read BEFORE first contact.
▸  Parent developmental history with anchored milestone questions and the glue-ear question.
▸  School consultation and structured observation with a comparison peer.
▸  Direct assessment — only the subtests that answer the question.
▸  Scoring the same day; behaviour notes written while fresh.
▸  Formulation using a NAMED framework, with the rejected hypothesis recorded.
▸  Feedback to parent, then to school. Headline first, plain language, check it landed.
▸  Report with a specific limitations section and a named Continuum level.
▸  Recommendations addressed to roles, with a measure and a review date.
▸  Appendix 5, Appendix 7 and Table 3 entries completed the same week.</t>
        </is>
      </c>
      <c r="M117" s="224" t="inlineStr">
        <is>
          <t>1. Referral question re-read
2. Records and previous reports read
3. Parent developmental history
4. School consultation and observation
5. Direct assessment
6. Scoring, same day
7. Formulation using a named framework
8. Feedback to parent, then school
9. Report
10. Recommendations with review date
11. Log and appendices the same week</t>
        </is>
      </c>
      <c r="N117" s="224" t="inlineStr">
        <is>
          <t>Check against your own record: which of the eleven steps has no evidence behind it?</t>
        </is>
      </c>
      <c r="O117" s="224" t="inlineStr">
        <is>
          <t>Case-level reflection: what did this case teach me that the previous one did not?</t>
        </is>
      </c>
    </row>
    <row r="118" ht="199.5" customHeight="1" s="128">
      <c r="A118" s="159" t="inlineStr">
        <is>
          <t>CASE</t>
        </is>
      </c>
      <c r="B118" s="159" t="inlineStr">
        <is>
          <t>Appendix 5</t>
        </is>
      </c>
      <c r="C118" s="159" t="n"/>
      <c r="D118" s="159" t="n"/>
      <c r="E118" s="159" t="n"/>
      <c r="F118" s="233" t="inlineStr">
        <is>
          <t>Case 05</t>
        </is>
      </c>
      <c r="G118" s="159" t="inlineStr">
        <is>
          <t>reference to be entered</t>
        </is>
      </c>
      <c r="H118" s="159" t="inlineStr">
        <is>
          <t>To complete</t>
        </is>
      </c>
      <c r="I118" s="159" t="n"/>
      <c r="J118" s="159" t="n"/>
      <c r="K118" s="159" t="inlineStr">
        <is>
          <t>Appendix 5 · Table 3 · Log sheet</t>
        </is>
      </c>
      <c r="L118" s="224" t="inlineStr">
        <is>
          <t>▸  Referral question, in the referrer’s words, before anything else.
▸  Records and previous reports read BEFORE first contact.
▸  Parent developmental history with anchored milestone questions and the glue-ear question.
▸  School consultation and structured observation with a comparison peer.
▸  Direct assessment — only the subtests that answer the question.
▸  Scoring the same day; behaviour notes written while fresh.
▸  Formulation using a NAMED framework, with the rejected hypothesis recorded.
▸  Feedback to parent, then to school. Headline first, plain language, check it landed.
▸  Report with a specific limitations section and a named Continuum level.
▸  Recommendations addressed to roles, with a measure and a review date.
▸  Appendix 5, Appendix 7 and Table 3 entries completed the same week.</t>
        </is>
      </c>
      <c r="M118" s="224" t="inlineStr">
        <is>
          <t>1. Referral question re-read
2. Records and previous reports read
3. Parent developmental history
4. School consultation and observation
5. Direct assessment
6. Scoring, same day
7. Formulation using a named framework
8. Feedback to parent, then school
9. Report
10. Recommendations with review date
11. Log and appendices the same week</t>
        </is>
      </c>
      <c r="N118" s="224" t="inlineStr">
        <is>
          <t>Check against your own record: which of the eleven steps has no evidence behind it?</t>
        </is>
      </c>
      <c r="O118" s="224" t="inlineStr">
        <is>
          <t>Case-level reflection: what did this case teach me that the previous one did not?</t>
        </is>
      </c>
    </row>
    <row r="119" ht="199.5" customHeight="1" s="128">
      <c r="A119" s="159" t="inlineStr">
        <is>
          <t>CASE</t>
        </is>
      </c>
      <c r="B119" s="159" t="inlineStr">
        <is>
          <t>Appendix 5</t>
        </is>
      </c>
      <c r="C119" s="159" t="n"/>
      <c r="D119" s="159" t="n"/>
      <c r="E119" s="159" t="n"/>
      <c r="F119" s="233" t="inlineStr">
        <is>
          <t>Case 06</t>
        </is>
      </c>
      <c r="G119" s="159" t="inlineStr">
        <is>
          <t>reference to be entered</t>
        </is>
      </c>
      <c r="H119" s="159" t="inlineStr">
        <is>
          <t>To complete</t>
        </is>
      </c>
      <c r="I119" s="159" t="n"/>
      <c r="J119" s="159" t="n"/>
      <c r="K119" s="159" t="inlineStr">
        <is>
          <t>Appendix 5 · Table 3 · Log sheet</t>
        </is>
      </c>
      <c r="L119" s="224" t="inlineStr">
        <is>
          <t>▸  Referral question, in the referrer’s words, before anything else.
▸  Records and previous reports read BEFORE first contact.
▸  Parent developmental history with anchored milestone questions and the glue-ear question.
▸  School consultation and structured observation with a comparison peer.
▸  Direct assessment — only the subtests that answer the question.
▸  Scoring the same day; behaviour notes written while fresh.
▸  Formulation using a NAMED framework, with the rejected hypothesis recorded.
▸  Feedback to parent, then to school. Headline first, plain language, check it landed.
▸  Report with a specific limitations section and a named Continuum level.
▸  Recommendations addressed to roles, with a measure and a review date.
▸  Appendix 5, Appendix 7 and Table 3 entries completed the same week.</t>
        </is>
      </c>
      <c r="M119" s="224" t="inlineStr">
        <is>
          <t>1. Referral question re-read
2. Records and previous reports read
3. Parent developmental history
4. School consultation and observation
5. Direct assessment
6. Scoring, same day
7. Formulation using a named framework
8. Feedback to parent, then school
9. Report
10. Recommendations with review date
11. Log and appendices the same week</t>
        </is>
      </c>
      <c r="N119" s="224" t="inlineStr">
        <is>
          <t>Check against your own record: which of the eleven steps has no evidence behind it?</t>
        </is>
      </c>
      <c r="O119" s="224" t="inlineStr">
        <is>
          <t>Case-level reflection: what did this case teach me that the previous one did not?</t>
        </is>
      </c>
    </row>
    <row r="120" ht="199.5" customHeight="1" s="128">
      <c r="A120" s="159" t="inlineStr">
        <is>
          <t>CASE</t>
        </is>
      </c>
      <c r="B120" s="159" t="inlineStr">
        <is>
          <t>Appendix 5</t>
        </is>
      </c>
      <c r="C120" s="159" t="n"/>
      <c r="D120" s="159" t="n"/>
      <c r="E120" s="159" t="n"/>
      <c r="F120" s="233" t="inlineStr">
        <is>
          <t>Case 07</t>
        </is>
      </c>
      <c r="G120" s="159" t="inlineStr">
        <is>
          <t>reference to be entered</t>
        </is>
      </c>
      <c r="H120" s="159" t="inlineStr">
        <is>
          <t>To complete</t>
        </is>
      </c>
      <c r="I120" s="159" t="n"/>
      <c r="J120" s="159" t="n"/>
      <c r="K120" s="159" t="inlineStr">
        <is>
          <t>Appendix 5 · Table 3 · Log sheet</t>
        </is>
      </c>
      <c r="L120" s="224" t="inlineStr">
        <is>
          <t>▸  Referral question, in the referrer’s words, before anything else.
▸  Records and previous reports read BEFORE first contact.
▸  Parent developmental history with anchored milestone questions and the glue-ear question.
▸  School consultation and structured observation with a comparison peer.
▸  Direct assessment — only the subtests that answer the question.
▸  Scoring the same day; behaviour notes written while fresh.
▸  Formulation using a NAMED framework, with the rejected hypothesis recorded.
▸  Feedback to parent, then to school. Headline first, plain language, check it landed.
▸  Report with a specific limitations section and a named Continuum level.
▸  Recommendations addressed to roles, with a measure and a review date.
▸  Appendix 5, Appendix 7 and Table 3 entries completed the same week.</t>
        </is>
      </c>
      <c r="M120" s="224" t="inlineStr">
        <is>
          <t>1. Referral question re-read
2. Records and previous reports read
3. Parent developmental history
4. School consultation and observation
5. Direct assessment
6. Scoring, same day
7. Formulation using a named framework
8. Feedback to parent, then school
9. Report
10. Recommendations with review date
11. Log and appendices the same week</t>
        </is>
      </c>
      <c r="N120" s="224" t="inlineStr">
        <is>
          <t>Check against your own record: which of the eleven steps has no evidence behind it?</t>
        </is>
      </c>
      <c r="O120" s="224" t="inlineStr">
        <is>
          <t>Case-level reflection: what did this case teach me that the previous one did not?</t>
        </is>
      </c>
    </row>
    <row r="121" ht="199.5" customHeight="1" s="128">
      <c r="A121" s="159" t="inlineStr">
        <is>
          <t>CASE</t>
        </is>
      </c>
      <c r="B121" s="159" t="inlineStr">
        <is>
          <t>Appendix 5</t>
        </is>
      </c>
      <c r="C121" s="159" t="n"/>
      <c r="D121" s="159" t="n"/>
      <c r="E121" s="159" t="n"/>
      <c r="F121" s="233" t="inlineStr">
        <is>
          <t>Case 08</t>
        </is>
      </c>
      <c r="G121" s="159" t="inlineStr">
        <is>
          <t>reference to be entered</t>
        </is>
      </c>
      <c r="H121" s="159" t="inlineStr">
        <is>
          <t>To complete</t>
        </is>
      </c>
      <c r="I121" s="159" t="n"/>
      <c r="J121" s="159" t="n"/>
      <c r="K121" s="159" t="inlineStr">
        <is>
          <t>Appendix 5 · Table 3 · Log sheet</t>
        </is>
      </c>
      <c r="L121" s="224" t="inlineStr">
        <is>
          <t>▸  Referral question, in the referrer’s words, before anything else.
▸  Records and previous reports read BEFORE first contact.
▸  Parent developmental history with anchored milestone questions and the glue-ear question.
▸  School consultation and structured observation with a comparison peer.
▸  Direct assessment — only the subtests that answer the question.
▸  Scoring the same day; behaviour notes written while fresh.
▸  Formulation using a NAMED framework, with the rejected hypothesis recorded.
▸  Feedback to parent, then to school. Headline first, plain language, check it landed.
▸  Report with a specific limitations section and a named Continuum level.
▸  Recommendations addressed to roles, with a measure and a review date.
▸  Appendix 5, Appendix 7 and Table 3 entries completed the same week.</t>
        </is>
      </c>
      <c r="M121" s="224" t="inlineStr">
        <is>
          <t>1. Referral question re-read
2. Records and previous reports read
3. Parent developmental history
4. School consultation and observation
5. Direct assessment
6. Scoring, same day
7. Formulation using a named framework
8. Feedback to parent, then school
9. Report
10. Recommendations with review date
11. Log and appendices the same week</t>
        </is>
      </c>
      <c r="N121" s="224" t="inlineStr">
        <is>
          <t>Check against your own record: which of the eleven steps has no evidence behind it?</t>
        </is>
      </c>
      <c r="O121" s="224" t="inlineStr">
        <is>
          <t>Case-level reflection: what did this case teach me that the previous one did not?</t>
        </is>
      </c>
    </row>
    <row r="122" ht="199.5" customHeight="1" s="128">
      <c r="A122" s="159" t="inlineStr">
        <is>
          <t>CASE</t>
        </is>
      </c>
      <c r="B122" s="159" t="inlineStr">
        <is>
          <t>Appendix 5</t>
        </is>
      </c>
      <c r="C122" s="159" t="n"/>
      <c r="D122" s="159" t="n"/>
      <c r="E122" s="159" t="n"/>
      <c r="F122" s="233" t="inlineStr">
        <is>
          <t>Case 09</t>
        </is>
      </c>
      <c r="G122" s="159" t="inlineStr">
        <is>
          <t>reference to be entered</t>
        </is>
      </c>
      <c r="H122" s="159" t="inlineStr">
        <is>
          <t>To complete</t>
        </is>
      </c>
      <c r="I122" s="159" t="n"/>
      <c r="J122" s="159" t="n"/>
      <c r="K122" s="159" t="inlineStr">
        <is>
          <t>Appendix 5 · Table 3 · Log sheet</t>
        </is>
      </c>
      <c r="L122" s="224" t="inlineStr">
        <is>
          <t>▸  Referral question, in the referrer’s words, before anything else.
▸  Records and previous reports read BEFORE first contact.
▸  Parent developmental history with anchored milestone questions and the glue-ear question.
▸  School consultation and structured observation with a comparison peer.
▸  Direct assessment — only the subtests that answer the question.
▸  Scoring the same day; behaviour notes written while fresh.
▸  Formulation using a NAMED framework, with the rejected hypothesis recorded.
▸  Feedback to parent, then to school. Headline first, plain language, check it landed.
▸  Report with a specific limitations section and a named Continuum level.
▸  Recommendations addressed to roles, with a measure and a review date.
▸  Appendix 5, Appendix 7 and Table 3 entries completed the same week.</t>
        </is>
      </c>
      <c r="M122" s="224" t="inlineStr">
        <is>
          <t>1. Referral question re-read
2. Records and previous reports read
3. Parent developmental history
4. School consultation and observation
5. Direct assessment
6. Scoring, same day
7. Formulation using a named framework
8. Feedback to parent, then school
9. Report
10. Recommendations with review date
11. Log and appendices the same week</t>
        </is>
      </c>
      <c r="N122" s="224" t="inlineStr">
        <is>
          <t>Check against your own record: which of the eleven steps has no evidence behind it?</t>
        </is>
      </c>
      <c r="O122" s="224" t="inlineStr">
        <is>
          <t>Case-level reflection: what did this case teach me that the previous one did not?</t>
        </is>
      </c>
    </row>
    <row r="123" ht="199.5" customHeight="1" s="128">
      <c r="A123" s="159" t="inlineStr">
        <is>
          <t>CASE</t>
        </is>
      </c>
      <c r="B123" s="159" t="inlineStr">
        <is>
          <t>Appendix 5</t>
        </is>
      </c>
      <c r="C123" s="159" t="n"/>
      <c r="D123" s="159" t="n"/>
      <c r="E123" s="159" t="n"/>
      <c r="F123" s="233" t="inlineStr">
        <is>
          <t>Case 10</t>
        </is>
      </c>
      <c r="G123" s="159" t="inlineStr">
        <is>
          <t>reference to be entered</t>
        </is>
      </c>
      <c r="H123" s="159" t="inlineStr">
        <is>
          <t>To complete</t>
        </is>
      </c>
      <c r="I123" s="159" t="n"/>
      <c r="J123" s="159" t="n"/>
      <c r="K123" s="159" t="inlineStr">
        <is>
          <t>Appendix 5 · Table 3 · Log sheet</t>
        </is>
      </c>
      <c r="L123" s="224" t="inlineStr">
        <is>
          <t>▸  Referral question, in the referrer’s words, before anything else.
▸  Records and previous reports read BEFORE first contact.
▸  Parent developmental history with anchored milestone questions and the glue-ear question.
▸  School consultation and structured observation with a comparison peer.
▸  Direct assessment — only the subtests that answer the question.
▸  Scoring the same day; behaviour notes written while fresh.
▸  Formulation using a NAMED framework, with the rejected hypothesis recorded.
▸  Feedback to parent, then to school. Headline first, plain language, check it landed.
▸  Report with a specific limitations section and a named Continuum level.
▸  Recommendations addressed to roles, with a measure and a review date.
▸  Appendix 5, Appendix 7 and Table 3 entries completed the same week.</t>
        </is>
      </c>
      <c r="M123" s="224" t="inlineStr">
        <is>
          <t>1. Referral question re-read
2. Records and previous reports read
3. Parent developmental history
4. School consultation and observation
5. Direct assessment
6. Scoring, same day
7. Formulation using a named framework
8. Feedback to parent, then school
9. Report
10. Recommendations with review date
11. Log and appendices the same week</t>
        </is>
      </c>
      <c r="N123" s="224" t="inlineStr">
        <is>
          <t>Check against your own record: which of the eleven steps has no evidence behind it?</t>
        </is>
      </c>
      <c r="O123" s="224" t="inlineStr">
        <is>
          <t>Case-level reflection: what did this case teach me that the previous one did not?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tabColor rgb="FF8A5A00"/>
    <outlinePr summaryBelow="1" summaryRight="1"/>
    <pageSetUpPr fitToPage="0"/>
  </sheetPr>
  <dimension ref="A1:F26"/>
  <sheetViews>
    <sheetView showFormulas="0" showGridLines="0" showRowColHeaders="1" showZeros="1" rightToLeft="0" tabSelected="0" showOutlineSymbols="1" defaultGridColor="1" view="normal" topLeftCell="A1" colorId="64" zoomScale="100" zoomScaleNormal="100" zoomScalePageLayoutView="100" workbookViewId="0">
      <pane xSplit="0" ySplit="16" topLeftCell="A17"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127" min="1" max="1"/>
    <col width="104" customWidth="1" style="127" min="2" max="2"/>
    <col width="30" customWidth="1" style="127" min="3" max="3"/>
    <col width="76" customWidth="1" style="127" min="4" max="4"/>
    <col width="40" customWidth="1" style="127" min="5" max="5"/>
    <col width="13" customWidth="1" style="127" min="6" max="6"/>
  </cols>
  <sheetData>
    <row r="1" ht="19.5" customHeight="1" s="128">
      <c r="A1" s="234" t="inlineStr">
        <is>
          <t>Cavan placement — October to 18 December 2026</t>
        </is>
      </c>
    </row>
    <row r="2" ht="30" customHeight="1" s="128">
      <c r="A2" s="235" t="inlineStr">
        <is>
          <t>CORRECTED 26/09/2026. Your Appendix 4 records 78 confirmed placement days at Roscommon plus six pending — up to 84. You passed the 75-day minimum on 06/07/2026. There is no deficit to make up.</t>
        </is>
      </c>
    </row>
    <row r="3" ht="43.5" customHeight="1" s="128">
      <c r="A3" s="236" t="inlineStr">
        <is>
          <t>The 4 August review said 37 of 75. That was a snapshot of an incomplete record. You reconstructed the full log from calendar, email and mileage in September. Cavan is therefore an EXTENDED placement building toward the 300-day total and toward settings and age bands you have not yet covered — not a catch-up. The supervisor recommendation of half days or alternate days for recovery can now simply be followed.</t>
        </is>
      </c>
    </row>
    <row r="5" ht="15.75" customHeight="1" s="128">
      <c r="A5" s="237" t="inlineStr">
        <is>
          <t>What is actually outstanding</t>
        </is>
      </c>
    </row>
    <row r="6" ht="15" customHeight="1" s="128">
      <c r="A6" s="129" t="inlineStr">
        <is>
          <t>Item</t>
        </is>
      </c>
      <c r="B6" s="129" t="inlineStr">
        <is>
          <t>Detail</t>
        </is>
      </c>
      <c r="C6" s="129" t="inlineStr">
        <is>
          <t>Who / when</t>
        </is>
      </c>
    </row>
    <row r="7" ht="23.25" customHeight="1" s="128">
      <c r="A7" s="176" t="inlineStr">
        <is>
          <t>Countersignature</t>
        </is>
      </c>
      <c r="B7" s="177" t="inlineStr">
        <is>
          <t>Appendix 4 ends: "It is essential that this log is countersigned by the Placement Supervisor at the end of the placement to validate total days." Unsigned, 84 days is a draft. This is the single highest-value item outstanding.</t>
        </is>
      </c>
      <c r="C7" s="188" t="inlineStr">
        <is>
          <t>Michelle McCarthy</t>
        </is>
      </c>
    </row>
    <row r="8" ht="23.25" customHeight="1" s="128">
      <c r="A8" s="176" t="inlineStr">
        <is>
          <t>Six PENDING days</t>
        </is>
      </c>
      <c r="B8" s="177" t="inlineStr">
        <is>
          <t>05/02, 25/03, 26/03, 01/04, 02/04, 22/05. Each needs Michelle to agree or reject. 26/03 is UCD Visit 1 and 22/05 includes a safeguarding disclosure — both are strong claims.</t>
        </is>
      </c>
      <c r="C8" s="188" t="inlineStr">
        <is>
          <t>Michelle McCarthy</t>
        </is>
      </c>
    </row>
    <row r="9" ht="15" customHeight="1" s="128">
      <c r="A9" s="176" t="inlineStr">
        <is>
          <t>Three missing dates</t>
        </is>
      </c>
      <c r="B9" s="177" t="inlineStr">
        <is>
          <t>03/03, 04/03 and 09/04/2026 are absent from the record and were never flagged. Reconstruct or write off.</t>
        </is>
      </c>
      <c r="C9" s="188" t="inlineStr">
        <is>
          <t>You, from calendar and email</t>
        </is>
      </c>
    </row>
    <row r="10" ht="23.25" customHeight="1" s="128">
      <c r="A10" s="176" t="inlineStr">
        <is>
          <t>Appendix 7</t>
        </is>
      </c>
      <c r="B10" s="177" t="inlineStr">
        <is>
          <t>Four observations were completed by the supervisor — WIAT-III, pupil interview, parent screener, training delivery. Your trainee sections are still blank.</t>
        </is>
      </c>
      <c r="C10" s="188" t="inlineStr">
        <is>
          <t>You — quickest item</t>
        </is>
      </c>
    </row>
    <row r="11" ht="23.25" customHeight="1" s="128">
      <c r="A11" s="176" t="inlineStr">
        <is>
          <t>Post-primary</t>
        </is>
      </c>
      <c r="B11" s="177" t="inlineStr">
        <is>
          <t>One visit only: St Nathy's College, 15/04/2026. PSI 3.3.6 REQUIRES mainstream primary, post-primary and special education. One day is thin.</t>
        </is>
      </c>
      <c r="C11" s="188" t="inlineStr">
        <is>
          <t>Cavan caseload</t>
        </is>
      </c>
    </row>
    <row r="12" ht="23.25" customHeight="1" s="128">
      <c r="A12" s="176" t="inlineStr">
        <is>
          <t>Early Years and Young Adult</t>
        </is>
      </c>
      <c r="B12" s="177" t="inlineStr">
        <is>
          <t>Neither band is evidenced. Both must be requested in an Appendix 1 BEFORE the placement starts. Neither can be closed retrospectively.</t>
        </is>
      </c>
      <c r="C12" s="188" t="inlineStr">
        <is>
          <t>Request in week 1</t>
        </is>
      </c>
    </row>
    <row r="15" ht="15.75" customHeight="1" s="128">
      <c r="A15" s="237" t="inlineStr">
        <is>
          <t>The ten weeks — now development, not catch-up</t>
        </is>
      </c>
    </row>
    <row r="16" ht="23.25" customHeight="1" s="128">
      <c r="A16" s="129" t="inlineStr">
        <is>
          <t>Week</t>
        </is>
      </c>
      <c r="B16" s="129" t="inlineStr">
        <is>
          <t>Dates</t>
        </is>
      </c>
      <c r="C16" s="129" t="inlineStr">
        <is>
          <t>Focus — development area</t>
        </is>
      </c>
      <c r="D16" s="129" t="inlineStr">
        <is>
          <t>What to do</t>
        </is>
      </c>
      <c r="E16" s="129" t="inlineStr">
        <is>
          <t>Coverage target</t>
        </is>
      </c>
      <c r="F16" s="140" t="inlineStr">
        <is>
          <t>Entries logged</t>
        </is>
      </c>
    </row>
    <row r="17" ht="34.5" customHeight="1" s="128">
      <c r="A17" s="238" t="n">
        <v>1</v>
      </c>
      <c r="B17" s="177" t="inlineStr">
        <is>
          <t>Mon 05 - Thu 08 Oct</t>
        </is>
      </c>
      <c r="C17" s="182" t="inlineStr">
        <is>
          <t>Getting the Roscommon record closed</t>
        </is>
      </c>
      <c r="D17" s="177" t="inlineStr">
        <is>
          <t>Send Appendix 4 to Michelle for countersignature and a decision on the six PENDING days. Complete your four Appendix 7 trainee sections. Agree the Cavan contract and Appendix 1 — and request Early Years and Young Adult in it, because neither can be added later.</t>
        </is>
      </c>
      <c r="E17" s="239" t="inlineStr">
        <is>
          <t>Appendix 1 must name Early Years and Young Adult</t>
        </is>
      </c>
      <c r="F17" s="240">
        <f>COUNTIF(Log!$I$3:$I$402,1)</f>
        <v/>
      </c>
    </row>
    <row r="18" ht="23.25" customHeight="1" s="128">
      <c r="A18" s="238" t="n">
        <v>2</v>
      </c>
      <c r="B18" s="177" t="inlineStr">
        <is>
          <t>Mon 12 - Thu 15 Oct</t>
        </is>
      </c>
      <c r="C18" s="182" t="inlineStr">
        <is>
          <t>Assessment — screening tools</t>
        </is>
      </c>
      <c r="D18" s="177" t="inlineStr">
        <is>
          <t>Read the SRS-2 manual before touching a form. Administer and score one parent/teacher pair. Get sight of every screener the Cavan office uses: SDQ, RCADS, Conners-4, BRIEF-2.</t>
        </is>
      </c>
      <c r="E18" s="239" t="inlineStr">
        <is>
          <t>Lower primary — your Roscommon cases were mid-to-upper</t>
        </is>
      </c>
      <c r="F18" s="240">
        <f>COUNTIF(Log!$I$3:$I$402,2)</f>
        <v/>
      </c>
    </row>
    <row r="19" ht="34.5" customHeight="1" s="128">
      <c r="A19" s="238" t="n">
        <v>3</v>
      </c>
      <c r="B19" s="177" t="inlineStr">
        <is>
          <t>Mon 19 - Thu 22 Oct</t>
        </is>
      </c>
      <c r="C19" s="182" t="inlineStr">
        <is>
          <t>Assessment — interpretation of results</t>
        </is>
      </c>
      <c r="D19" s="177" t="inlineStr">
        <is>
          <t>Write one interpretation paragraph before looking at any template, then compare. Practise the WISC-V scatter rule: over 23 points, report GAI not FSIQ and say why. Write one limitations paragraph naming what the tool could not tell you.</t>
        </is>
      </c>
      <c r="E19" s="239" t="inlineStr">
        <is>
          <t>Lower primary continued</t>
        </is>
      </c>
      <c r="F19" s="240">
        <f>COUNTIF(Log!$I$3:$I$402,3)</f>
        <v/>
      </c>
    </row>
    <row r="20" ht="34.5" customHeight="1" s="128">
      <c r="A20" s="238" t="n">
        <v>4</v>
      </c>
      <c r="B20" s="177" t="inlineStr">
        <is>
          <t>Mon 02 - Thu 05 Nov</t>
        </is>
      </c>
      <c r="C20" s="182" t="inlineStr">
        <is>
          <t>Formulation — assimilating multiple sources</t>
        </is>
      </c>
      <c r="D20" s="177" t="inlineStr">
        <is>
          <t>Lay parent, teacher, pupil, observation and test data side by side and write down where they CONTRADICT. Name the contradiction in the report rather than smoothing it. Use Monsen &amp; Frederickson (2008) or the Interactive Factors Framework explicitly.</t>
        </is>
      </c>
      <c r="E20" s="177" t="inlineStr">
        <is>
          <t>—</t>
        </is>
      </c>
      <c r="F20" s="240">
        <f>COUNTIF(Log!$I$3:$I$402,4)</f>
        <v/>
      </c>
    </row>
    <row r="21" ht="34.5" customHeight="1" s="128">
      <c r="A21" s="238" t="n">
        <v>5</v>
      </c>
      <c r="B21" s="177" t="inlineStr">
        <is>
          <t>Mon 09 - Thu 12 Nov</t>
        </is>
      </c>
      <c r="C21" s="182" t="inlineStr">
        <is>
          <t>Intervention — school avoidance</t>
        </is>
      </c>
      <c r="D21" s="177" t="inlineStr">
        <is>
          <t>Read the West Sussex EBSA guidance and NEPS attendance materials first. Distinguish EBSA from truancy and from parentally condoned absence in writing. Draft a graduated return plan with school and parent present.</t>
        </is>
      </c>
      <c r="E21" s="239" t="inlineStr">
        <is>
          <t>POST-PRIMARY — PSI 3.3.6 requires it and you have one day</t>
        </is>
      </c>
      <c r="F21" s="240">
        <f>COUNTIF(Log!$I$3:$I$402,5)</f>
        <v/>
      </c>
    </row>
    <row r="22" ht="34.5" customHeight="1" s="128">
      <c r="A22" s="238" t="n">
        <v>6</v>
      </c>
      <c r="B22" s="177" t="inlineStr">
        <is>
          <t>Mon 16 - Thu 19 Nov</t>
        </is>
      </c>
      <c r="C22" s="182" t="inlineStr">
        <is>
          <t>Systemic change — class, school, organisation</t>
        </is>
      </c>
      <c r="D22" s="177" t="inlineStr">
        <is>
          <t>Pitch one piece at class level and one at school level rather than pupil level. Name the psychological theory driving it; systemic work without a named model reads as common sense.</t>
        </is>
      </c>
      <c r="E22" s="239" t="inlineStr">
        <is>
          <t>SPECIAL EDUCATION setting — also PSI 3.3.6</t>
        </is>
      </c>
      <c r="F22" s="240">
        <f>COUNTIF(Log!$I$3:$I$402,6)</f>
        <v/>
      </c>
    </row>
    <row r="23" ht="34.5" customHeight="1" s="128">
      <c r="A23" s="238" t="n">
        <v>7</v>
      </c>
      <c r="B23" s="177" t="inlineStr">
        <is>
          <t>Mon 23 - Thu 26 Nov</t>
        </is>
      </c>
      <c r="C23" s="182" t="inlineStr">
        <is>
          <t>Working with Others — record keeping</t>
        </is>
      </c>
      <c r="D23" s="177" t="inlineStr">
        <is>
          <t>Write up every observation and consultation within 48 hours. Use the operational definition sheet and ABC grid, not freehand notes. Get one consultation record reviewed against the NEPS format.</t>
        </is>
      </c>
      <c r="E23" s="177" t="inlineStr">
        <is>
          <t>—</t>
        </is>
      </c>
      <c r="F23" s="240">
        <f>COUNTIF(Log!$I$3:$I$402,7)</f>
        <v/>
      </c>
    </row>
    <row r="24" ht="34.5" customHeight="1" s="128">
      <c r="A24" s="238" t="n">
        <v>8</v>
      </c>
      <c r="B24" s="177" t="inlineStr">
        <is>
          <t>Mon 30 Nov - Thu 03 Dec</t>
        </is>
      </c>
      <c r="C24" s="182" t="inlineStr">
        <is>
          <t>Supervision — pathways, referral, risk, boundaries</t>
        </is>
      </c>
      <c r="D24" s="177" t="inlineStr">
        <is>
          <t>Map the Cavan referral routes: NEPS, Primary Care, CAMHS, CDNT, Tusla, Educational Welfare, SENO — who takes what and at what threshold. Read the risk protocol and Children First. Ask: what is NOT mine to do?</t>
        </is>
      </c>
      <c r="E24" s="177" t="inlineStr">
        <is>
          <t>—</t>
        </is>
      </c>
      <c r="F24" s="240">
        <f>COUNTIF(Log!$I$3:$I$402,8)</f>
        <v/>
      </c>
    </row>
    <row r="25" ht="34.5" customHeight="1" s="128">
      <c r="A25" s="238" t="n">
        <v>9</v>
      </c>
      <c r="B25" s="177" t="inlineStr">
        <is>
          <t>Mon 07 - Thu 10 Dec</t>
        </is>
      </c>
      <c r="C25" s="182" t="inlineStr">
        <is>
          <t>Research — practice-based research</t>
        </is>
      </c>
      <c r="D25" s="177" t="inlineStr">
        <is>
          <t>Pick one intervention you delivered and design a way to evaluate it. Single-case design is enough. Agree measure and baseline with your supervisor before collecting. Check whether NEPS Form B approval is needed.</t>
        </is>
      </c>
      <c r="E25" s="177" t="inlineStr">
        <is>
          <t>—</t>
        </is>
      </c>
      <c r="F25" s="240">
        <f>COUNTIF(Log!$I$3:$I$402,9)</f>
        <v/>
      </c>
    </row>
    <row r="26" ht="34.5" customHeight="1" s="128">
      <c r="A26" s="238" t="n">
        <v>10</v>
      </c>
      <c r="B26" s="177" t="inlineStr">
        <is>
          <t>Mon 14 - Thu 17 Dec</t>
        </is>
      </c>
      <c r="C26" s="182" t="inlineStr">
        <is>
          <t>Ethical practice — monitoring, self-care, pace</t>
        </is>
      </c>
      <c r="D26" s="177" t="inlineStr">
        <is>
          <t>Audit Table 3: which bands and report categories are still empty? Complete Appendix 6 — it does two jobs, the self-evaluation AND the reflective essay. Sort the Log by date and paste into the Record of Placement Experiences. Mid-placement review.</t>
        </is>
      </c>
      <c r="E26" s="239" t="inlineStr">
        <is>
          <t>AUDIT ALL FIVE BANDS — two cases per band</t>
        </is>
      </c>
      <c r="F26" s="240">
        <f>COUNTIF(Log!$I$3:$I$402,10)</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tabColor rgb="FF5D6660"/>
    <outlinePr summaryBelow="1" summaryRight="1"/>
    <pageSetUpPr fitToPage="0"/>
  </sheetPr>
  <dimension ref="A1:C2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6" customWidth="1" style="127" min="1" max="1"/>
    <col width="66" customWidth="1" style="127" min="2" max="2"/>
    <col width="18" customWidth="1" style="127" min="3" max="3"/>
  </cols>
  <sheetData>
    <row r="1" ht="19.5" customHeight="1" s="128">
      <c r="A1" s="234" t="inlineStr">
        <is>
          <t>Sources</t>
        </is>
      </c>
    </row>
    <row r="2" ht="15" customHeight="1" s="128">
      <c r="A2" s="241" t="inlineStr">
        <is>
          <t>Everything citable in this workbook comes from these. Click to open.</t>
        </is>
      </c>
    </row>
    <row r="4" ht="15" customHeight="1" s="128">
      <c r="A4" s="242" t="inlineStr">
        <is>
          <t>Document</t>
        </is>
      </c>
      <c r="B4" s="242" t="inlineStr">
        <is>
          <t>What it governs</t>
        </is>
      </c>
      <c r="C4" s="242" t="inlineStr">
        <is>
          <t>Link</t>
        </is>
      </c>
    </row>
    <row r="5" ht="15" customHeight="1" s="128">
      <c r="A5" s="243" t="inlineStr">
        <is>
          <t>SCPA Form 2 — NEPS referral form 2025–2026</t>
        </is>
      </c>
      <c r="B5" s="236" t="inlineStr">
        <is>
          <t>The five categories and the eleven Section 5 areas, verbatim</t>
        </is>
      </c>
      <c r="C5" s="244" t="inlineStr">
        <is>
          <t>Open</t>
        </is>
      </c>
    </row>
    <row r="6" ht="15" customHeight="1" s="128">
      <c r="A6" s="243" t="inlineStr">
        <is>
          <t>CORU Standards of Proficiency — Educational Psychologists</t>
        </is>
      </c>
      <c r="B6" s="236" t="inlineStr">
        <is>
          <t>102 standards across 5 domains</t>
        </is>
      </c>
      <c r="C6" s="244" t="inlineStr">
        <is>
          <t>Open</t>
        </is>
      </c>
    </row>
    <row r="7" ht="15" customHeight="1" s="128">
      <c r="A7" s="243" t="inlineStr">
        <is>
          <t>PSI Code of Professional Ethics, 5th rev. Aug 2025</t>
        </is>
      </c>
      <c r="B7" s="236" t="inlineStr">
        <is>
          <t>128 clauses, 98 in placement scope</t>
        </is>
      </c>
      <c r="C7" s="244" t="inlineStr">
        <is>
          <t>Open</t>
        </is>
      </c>
    </row>
    <row r="8" ht="23.25" customHeight="1" s="128">
      <c r="A8" s="243" t="inlineStr">
        <is>
          <t>PSI Accreditation Standards 2022</t>
        </is>
      </c>
      <c r="B8" s="236" t="inlineStr">
        <is>
          <t>300 days total and 60 per placement (3.3.7), supervision (3.3.9), required settings (3.3.6)</t>
        </is>
      </c>
      <c r="C8" s="244" t="inlineStr">
        <is>
          <t>Open</t>
        </is>
      </c>
    </row>
    <row r="9" ht="15" customHeight="1" s="128">
      <c r="A9" s="243" t="inlineStr">
        <is>
          <t>UCD Professional Placement Handbook Year 1, Jan 2026</t>
        </is>
      </c>
      <c r="B9" s="236" t="inlineStr">
        <is>
          <t>The eight competencies (Table 2) and the five age bands (Table 3)</t>
        </is>
      </c>
      <c r="C9" s="244" t="inlineStr">
        <is>
          <t>Open</t>
        </is>
      </c>
    </row>
    <row r="10" ht="15" customHeight="1" s="128">
      <c r="A10" s="243" t="inlineStr">
        <is>
          <t>BPS Standards for Accreditation, Oct 2023</t>
        </is>
      </c>
      <c r="B10" s="236" t="inlineStr">
        <is>
          <t>UK comparator — 10 competencies, 86 items. Not binding in Ireland</t>
        </is>
      </c>
      <c r="C10" s="244" t="inlineStr">
        <is>
          <t>Open</t>
        </is>
      </c>
    </row>
    <row r="11" ht="15" customHeight="1" s="128">
      <c r="A11" s="243" t="inlineStr">
        <is>
          <t>Your conditions index</t>
        </is>
      </c>
      <c r="B11" s="236" t="inlineStr">
        <is>
          <t>Source of the diagnoses on By referral</t>
        </is>
      </c>
      <c r="C11" s="244" t="inlineStr">
        <is>
          <t>Open</t>
        </is>
      </c>
    </row>
    <row r="12" ht="15" customHeight="1" s="128">
      <c r="A12" s="243" t="inlineStr">
        <is>
          <t>Portfolio folder</t>
        </is>
      </c>
      <c r="B12" s="236" t="inlineStr">
        <is>
          <t>Everything you must submit, and the three-year skill map</t>
        </is>
      </c>
      <c r="C12" s="244" t="inlineStr">
        <is>
          <t>Open</t>
        </is>
      </c>
    </row>
    <row r="13" ht="23.25" customHeight="1" s="128">
      <c r="A13" s="243" t="inlineStr">
        <is>
          <t>Interactive Factors prompt (your uploaded sheet)</t>
        </is>
      </c>
      <c r="B13" s="236" t="inlineStr">
        <is>
          <t>Transcribed in full at Part C of Reference, and as columns N to R on every referral area. UK-origin document — Irish equivalents mapped at Part C.</t>
        </is>
      </c>
      <c r="C13" s="245" t="inlineStr">
        <is>
          <t>in workbook</t>
        </is>
      </c>
    </row>
    <row r="15" ht="15" customHeight="1" s="128">
      <c r="A15" s="246" t="inlineStr">
        <is>
          <t>Regulatory notes</t>
        </is>
      </c>
    </row>
    <row r="17" ht="27.75" customHeight="1" s="128">
      <c r="A17" s="236" t="inlineStr">
        <is>
          <t>UCD is accredited by PSI, not by CORU. The CORU register for educational psychologists is not open yet and UCD will need separate CORU approval (PSI Accreditation 2.1.6). Two parallel tracks, not a hierarchy.</t>
        </is>
      </c>
    </row>
    <row r="18" ht="27.75" customHeight="1" s="128">
      <c r="A18" s="236" t="inlineStr">
        <is>
          <t>The five age bands are UCD Table 3. They are not PSI or CORU. PSI 3.3.4 asks only for experience in "a range of age groups"; PSI 3.1.5 uses Role Functions, Client Groups and Context instead; CORU standards do not vary by age.</t>
        </is>
      </c>
    </row>
    <row r="19" ht="27.75" customHeight="1" s="128">
      <c r="A19" s="236" t="inlineStr">
        <is>
          <t>There is no PSI "60-day care group rule". PSI 3.3.7 says 300 days in total, and that each placement in a psychological service should be at least 60 days — per placement, not per age group.</t>
        </is>
      </c>
    </row>
    <row r="20" ht="27.75" customHeight="1" s="128">
      <c r="A20" s="236" t="inlineStr">
        <is>
          <t>PSI 3.3.6 requires that experience in educational settings includes mainstream primary, post-primary AND special education.</t>
        </is>
      </c>
    </row>
  </sheetData>
  <mergeCells count="4">
    <mergeCell ref="A17:C17"/>
    <mergeCell ref="A18:C18"/>
    <mergeCell ref="A20:C20"/>
    <mergeCell ref="A19:C19"/>
  </mergeCells>
  <hyperlinks>
    <hyperlink xmlns:r="http://schemas.openxmlformats.org/officeDocument/2006/relationships" ref="C5" display="Open" r:id="rId1"/>
    <hyperlink xmlns:r="http://schemas.openxmlformats.org/officeDocument/2006/relationships" ref="C6" display="Open" r:id="rId2"/>
    <hyperlink xmlns:r="http://schemas.openxmlformats.org/officeDocument/2006/relationships" ref="C7" display="Open" r:id="rId3"/>
    <hyperlink xmlns:r="http://schemas.openxmlformats.org/officeDocument/2006/relationships" ref="C8" display="Open" r:id="rId4"/>
    <hyperlink xmlns:r="http://schemas.openxmlformats.org/officeDocument/2006/relationships" ref="C9" display="Open" r:id="rId5"/>
    <hyperlink xmlns:r="http://schemas.openxmlformats.org/officeDocument/2006/relationships" ref="C10" display="Open" r:id="rId6"/>
    <hyperlink xmlns:r="http://schemas.openxmlformats.org/officeDocument/2006/relationships" ref="C11" display="Open" r:id="rId7"/>
    <hyperlink xmlns:r="http://schemas.openxmlformats.org/officeDocument/2006/relationships" ref="C12" display="Open" r:id="rId8"/>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tabColor rgb="FF9AA39D"/>
    <outlinePr summaryBelow="1" summaryRight="1"/>
    <pageSetUpPr fitToPage="0"/>
  </sheetPr>
  <dimension ref="A1:B3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8" customWidth="1" style="127" min="1" max="1"/>
    <col width="112" customWidth="1" style="127" min="2" max="2"/>
  </cols>
  <sheetData>
    <row r="1" ht="21.75" customHeight="1" s="128">
      <c r="A1" s="247" t="inlineStr">
        <is>
          <t>The Encyclopedia</t>
        </is>
      </c>
    </row>
    <row r="2" ht="15" customHeight="1" s="128">
      <c r="A2" s="241" t="inlineStr">
        <is>
          <t>Stephainey Seoighe · UCD DEdPsych EDUC44170 · built 27/09/2026</t>
        </is>
      </c>
    </row>
    <row r="4" ht="15.75" customHeight="1" s="128">
      <c r="A4" s="237" t="inlineStr">
        <is>
          <t>One place to type</t>
        </is>
      </c>
    </row>
    <row r="5" ht="30" customHeight="1" s="128">
      <c r="A5" s="236" t="inlineStr">
        <is>
          <t>Everything you write goes on the Log sheet. Nowhere else. You never choose between "is this a referral thing or a competency thing" — you tag one entry to both, and both reference sheets update themselves.</t>
        </is>
      </c>
    </row>
    <row r="7" ht="15.75" customHeight="1" s="128">
      <c r="A7" s="237" t="inlineStr">
        <is>
          <t>The sheets</t>
        </is>
      </c>
    </row>
    <row r="9" ht="45.75" customHeight="1" s="128">
      <c r="A9" s="248" t="inlineStr">
        <is>
          <t>Log</t>
        </is>
      </c>
      <c r="B9" s="236" t="inlineStr">
        <is>
          <t>THE ONLY SHEET YOU TYPE IN. Rows 3 onward are PRE-FILLED with all 84 of your Roscommon days from Appendix 4 — dates and activities already written. You only add the dropdown tags. After those, blank rows for Cavan. One row per thing you did. Date, what, how, then tag it. Pick the referral category first and the area dropdown narrows to just that category. Pick the competency first and the skill dropdown narrows to just that competency. Column J writes the paste-ready line for you.</t>
        </is>
      </c>
    </row>
    <row r="10" ht="68.25" customHeight="1" s="128">
      <c r="A10" s="248" t="inlineStr">
        <is>
          <t>Reference</t>
        </is>
      </c>
      <c r="B10" s="236" t="inlineStr">
        <is>
          <t>READ-ONLY, and EVERYTHING is on it. Part A is by competency: eight competencies, 55 skills, and inside each skill what CORU requires in full, what the PSI Code requires in full, the teaching, the full chapter where one exists, the blocks and micro-skills, and the referral areas it serves. Part B is all 102 CORU standards and 128 PSI clauses in full, showing what cites each.  Organised by the eight UCD competencies. Open a competency, then a macro skill. Inside each skill: the teaching, then the blocks and micro-skills with pass tests, then the referral areas that skill serves — with their diagnoses, presentations and age bands. Two columns on every skill and every area show how many times you have logged against it and when you last did.</t>
        </is>
      </c>
    </row>
    <row r="11" ht="34.5" customHeight="1" s="128">
      <c r="A11" s="248" t="inlineStr">
        <is>
          <t>One rule worth knowing</t>
        </is>
      </c>
      <c r="B11" s="236" t="inlineStr">
        <is>
          <t>A referral area can be served by several competencies. To stop the same content appearing four times, each area sits IN FULL under the first macro skill that serves it, and appears as a one-line cross-reference everywhere else. The line tells you exactly where the full entry lives.</t>
        </is>
      </c>
    </row>
    <row r="12" ht="15" customHeight="1" s="128">
      <c r="A12" s="248" t="inlineStr">
        <is>
          <t>Cavan plan</t>
        </is>
      </c>
      <c r="B12" s="236" t="inlineStr">
        <is>
          <t>The ten weeks to 18 December against your eight development areas.</t>
        </is>
      </c>
    </row>
    <row r="13" ht="15" customHeight="1" s="128">
      <c r="A13" s="248" t="inlineStr">
        <is>
          <t>Sources</t>
        </is>
      </c>
      <c r="B13" s="236" t="inlineStr">
        <is>
          <t>Every governing document, hyperlinked, plus what each actually says.</t>
        </is>
      </c>
    </row>
    <row r="14" ht="15" customHeight="1" s="128">
      <c r="A14" s="248" t="inlineStr">
        <is>
          <t>Lists</t>
        </is>
      </c>
      <c r="B14" s="236" t="inlineStr">
        <is>
          <t>Machine sheet. Feeds the dropdowns. Ignore it.</t>
        </is>
      </c>
    </row>
    <row r="16" ht="15.75" customHeight="1" s="128">
      <c r="A16" s="237" t="inlineStr">
        <is>
          <t>How to log</t>
        </is>
      </c>
    </row>
    <row r="18" ht="15" customHeight="1" s="128">
      <c r="A18" s="248" t="inlineStr">
        <is>
          <t>1</t>
        </is>
      </c>
      <c r="B18" s="236" t="inlineStr">
        <is>
          <t>Go to Log. Fill the next empty row: Date, What I did, How it developed the skill.</t>
        </is>
      </c>
    </row>
    <row r="19" ht="23.25" customHeight="1" s="128">
      <c r="A19" s="248" t="inlineStr">
        <is>
          <t>2</t>
        </is>
      </c>
      <c r="B19" s="236" t="inlineStr">
        <is>
          <t>Tag it, working left to right. D referral category, then E narrows to that category. F competency, then G narrows to that competency. H age band, I week number. Leave any tag blank if it genuinely does not apply.</t>
        </is>
      </c>
    </row>
    <row r="20" ht="23.25" customHeight="1" s="128">
      <c r="A20" s="248" t="inlineStr">
        <is>
          <t>3</t>
        </is>
      </c>
      <c r="B20" s="236" t="inlineStr">
        <is>
          <t>One piece of work, one row. An SRS-2 with a 2nd class pupil is one row tagged to 4.1 Friendships and to Social communication screening measures. It now counts in both.</t>
        </is>
      </c>
    </row>
    <row r="21" ht="15" customHeight="1" s="128">
      <c r="A21" s="248" t="inlineStr">
        <is>
          <t>4</t>
        </is>
      </c>
      <c r="B21" s="236" t="inlineStr">
        <is>
          <t>Column J gives you the paste-ready sentence. Sort by date, copy the column, done.</t>
        </is>
      </c>
    </row>
    <row r="23" ht="15.75" customHeight="1" s="128">
      <c r="A23" s="237" t="inlineStr">
        <is>
          <t>What is source and what is mine</t>
        </is>
      </c>
    </row>
    <row r="25" ht="23.25" customHeight="1" s="128">
      <c r="A25" s="248" t="inlineStr">
        <is>
          <t>Citable</t>
        </is>
      </c>
      <c r="B25" s="236" t="inlineStr">
        <is>
          <t>The eight UCD competencies, the five Table 3 age bands, the 102 CORU standards, the 128 PSI clauses, the SCPA Form 2 categories and its eleven areas.</t>
        </is>
      </c>
    </row>
    <row r="26" ht="23.25" customHeight="1" s="128">
      <c r="A26" s="248" t="inlineStr">
        <is>
          <t>My derivation</t>
        </is>
      </c>
      <c r="B26" s="236" t="inlineStr">
        <is>
          <t>The 55 macro skills, 154 blocks, 317 micro-skills, pass tests, time estimates, the added presentations, the age-band tool sets and the skill mapping. A working breakdown, not a published standard.</t>
        </is>
      </c>
    </row>
    <row r="28" ht="15.75" customHeight="1" s="128">
      <c r="A28" s="249" t="inlineStr">
        <is>
          <t>Corrected 26/09/2026</t>
        </is>
      </c>
    </row>
    <row r="30" ht="23.25" customHeight="1" s="128">
      <c r="A30" s="248" t="inlineStr">
        <is>
          <t>Day count</t>
        </is>
      </c>
      <c r="B30" s="236" t="inlineStr">
        <is>
          <t>Your Appendix 4 records 78 confirmed Roscommon days plus six pending — up to 84. You passed the 75-day minimum on 06/07/2026. The "37 of 75" in the August review was a snapshot of an incomplete record. Cavan is an extended placement, not a catch-up.</t>
        </is>
      </c>
    </row>
    <row r="31" ht="15" customHeight="1" s="128">
      <c r="A31" s="248" t="inlineStr">
        <is>
          <t>Age bands</t>
        </is>
      </c>
      <c r="B31" s="236" t="inlineStr">
        <is>
          <t>The five bands are UCD Table 3, NOT PSI or CORU. PSI 3.3.4 asks only for "a range of age groups". CORU standards do not vary by age.</t>
        </is>
      </c>
    </row>
    <row r="32" ht="23.25" customHeight="1" s="128">
      <c r="A32" s="248" t="inlineStr">
        <is>
          <t>60-day rule</t>
        </is>
      </c>
      <c r="B32" s="236" t="inlineStr">
        <is>
          <t>There is no PSI "60-day care group rule". PSI 3.3.7 says 300 days total, and each placement in a psychological service should be at least 60 days — per placement, not per age group.</t>
        </is>
      </c>
    </row>
    <row r="33" ht="23.25" customHeight="1" s="128">
      <c r="A33" s="248" t="inlineStr">
        <is>
          <t>Post-primary</t>
        </is>
      </c>
      <c r="B33" s="236" t="inlineStr">
        <is>
          <t>PSI 3.3.6 requires mainstream primary, post-primary AND special education. Your post-primary gap is a requirement you do not meet, not a preference.</t>
        </is>
      </c>
    </row>
  </sheetData>
  <mergeCells count="1">
    <mergeCell ref="A5:B5"/>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R1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127" min="1" max="1"/>
    <col width="46" customWidth="1" style="127" min="3" max="7"/>
    <col width="24" customWidth="1" style="127" min="9" max="9"/>
    <col width="48" customWidth="1" style="127" min="10" max="17"/>
    <col width="32" customWidth="1" style="127" min="18" max="18"/>
  </cols>
  <sheetData>
    <row r="1" ht="15" customHeight="1" s="128">
      <c r="A1" s="180" t="inlineStr">
        <is>
          <t>Machine sheet — feeds the dropdowns on Log. Do not edit.</t>
        </is>
      </c>
    </row>
    <row r="3" ht="15" customHeight="1" s="128">
      <c r="A3" s="250" t="inlineStr">
        <is>
          <t>Referral categories</t>
        </is>
      </c>
      <c r="C3" s="248" t="inlineStr">
        <is>
          <t>1. LEARNING</t>
        </is>
      </c>
      <c r="D3" s="248" t="inlineStr">
        <is>
          <t>2. BEHAVIOUR</t>
        </is>
      </c>
      <c r="E3" s="248" t="inlineStr">
        <is>
          <t>3. EMOTIONAL</t>
        </is>
      </c>
      <c r="F3" s="248" t="inlineStr">
        <is>
          <t>4. SOCIAL</t>
        </is>
      </c>
      <c r="G3" s="248" t="inlineStr">
        <is>
          <t>5. OTHER</t>
        </is>
      </c>
      <c r="I3" s="250" t="inlineStr">
        <is>
          <t>Competencies</t>
        </is>
      </c>
      <c r="J3" s="248" t="inlineStr">
        <is>
          <t>1. Assessment</t>
        </is>
      </c>
      <c r="K3" s="248" t="inlineStr">
        <is>
          <t>2. Formulation</t>
        </is>
      </c>
      <c r="L3" s="248" t="inlineStr">
        <is>
          <t>3. Intervention</t>
        </is>
      </c>
      <c r="M3" s="248" t="inlineStr">
        <is>
          <t>4. Systemic Change</t>
        </is>
      </c>
      <c r="N3" s="248" t="inlineStr">
        <is>
          <t>5. Working with Others</t>
        </is>
      </c>
      <c r="O3" s="248" t="inlineStr">
        <is>
          <t>6. Ethical Practice</t>
        </is>
      </c>
      <c r="P3" s="248" t="inlineStr">
        <is>
          <t>7. Supervision</t>
        </is>
      </c>
      <c r="Q3" s="248" t="inlineStr">
        <is>
          <t>8. Research</t>
        </is>
      </c>
      <c r="R3" s="250" t="inlineStr">
        <is>
          <t>Age bands</t>
        </is>
      </c>
    </row>
    <row r="4" ht="15" customHeight="1" s="128">
      <c r="A4" s="251" t="inlineStr">
        <is>
          <t>1. LEARNING</t>
        </is>
      </c>
      <c r="C4" s="251" t="inlineStr">
        <is>
          <t>1.1 Attention, concentration and work skills</t>
        </is>
      </c>
      <c r="D4" s="251" t="inlineStr">
        <is>
          <t>2.1 Behaviour in class</t>
        </is>
      </c>
      <c r="E4" s="251" t="inlineStr">
        <is>
          <t>3.1 Confidence and self-esteem</t>
        </is>
      </c>
      <c r="F4" s="251" t="inlineStr">
        <is>
          <t>4.1 Friendships and social skills</t>
        </is>
      </c>
      <c r="G4" s="251" t="inlineStr">
        <is>
          <t>5.1 Vision</t>
        </is>
      </c>
      <c r="I4" s="251" t="inlineStr">
        <is>
          <t>1. Assessment</t>
        </is>
      </c>
      <c r="J4" s="251" t="inlineStr">
        <is>
          <t>1. Observation in classroom, playground and clinic</t>
        </is>
      </c>
      <c r="K4" s="251" t="inlineStr">
        <is>
          <t>11. Learn the four frameworks for practice</t>
        </is>
      </c>
      <c r="L4" s="251" t="inlineStr">
        <is>
          <t>17. Educational interventions in literacy</t>
        </is>
      </c>
      <c r="M4" s="251" t="inlineStr">
        <is>
          <t>24. Familiarise with SET provision and allocation</t>
        </is>
      </c>
      <c r="N4" s="251" t="inlineStr">
        <is>
          <t>30. Build rapport with a child during assessment</t>
        </is>
      </c>
      <c r="O4" s="251" t="inlineStr">
        <is>
          <t>36. Garda vetting and Children First certification</t>
        </is>
      </c>
      <c r="P4" s="251" t="inlineStr">
        <is>
          <t>43. Agree and sign the supervision contract</t>
        </is>
      </c>
      <c r="Q4" s="251" t="inlineStr">
        <is>
          <t>53. Search and critically appraise evidence</t>
        </is>
      </c>
      <c r="R4" s="251" t="inlineStr">
        <is>
          <t>Early Years / Pre-School (0–5)</t>
        </is>
      </c>
    </row>
    <row r="5" ht="15" customHeight="1" s="128">
      <c r="A5" s="251" t="inlineStr">
        <is>
          <t>2. BEHAVIOUR</t>
        </is>
      </c>
      <c r="C5" s="251" t="inlineStr">
        <is>
          <t>1.2 Language skills</t>
        </is>
      </c>
      <c r="D5" s="251" t="inlineStr">
        <is>
          <t>2.2 Behaviour during break times and around the school</t>
        </is>
      </c>
      <c r="E5" s="251" t="inlineStr">
        <is>
          <t>3.2 Anxiety</t>
        </is>
      </c>
      <c r="F5" s="251" t="inlineStr">
        <is>
          <t>4.2 Relationships with adults</t>
        </is>
      </c>
      <c r="G5" s="251" t="inlineStr">
        <is>
          <t>5.2 Hearing</t>
        </is>
      </c>
      <c r="I5" s="251" t="inlineStr">
        <is>
          <t>2. Formulation</t>
        </is>
      </c>
      <c r="J5" s="251" t="inlineStr">
        <is>
          <t>2. Structured interviewing of parents for developmental history</t>
        </is>
      </c>
      <c r="K5" s="251" t="inlineStr">
        <is>
          <t>12. Name and apply one framework to each substantial case</t>
        </is>
      </c>
      <c r="L5" s="251" t="inlineStr">
        <is>
          <t>18. Educational interventions in numeracy</t>
        </is>
      </c>
      <c r="M5" s="251" t="inlineStr">
        <is>
          <t>25. Map the school's organisation of supports</t>
        </is>
      </c>
      <c r="N5" s="251" t="inlineStr">
        <is>
          <t>31. Communicate with school staff, SENCO and principal</t>
        </is>
      </c>
      <c r="O5" s="251" t="inlineStr">
        <is>
          <t>37. Complete service induction</t>
        </is>
      </c>
      <c r="P5" s="251" t="inlineStr">
        <is>
          <t>44. Take the weekly supervision hour</t>
        </is>
      </c>
      <c r="Q5" s="251" t="inlineStr">
        <is>
          <t>54. Cite evidence for recommendations</t>
        </is>
      </c>
      <c r="R5" s="251" t="inlineStr">
        <is>
          <t>School Age (6–12)</t>
        </is>
      </c>
    </row>
    <row r="6" ht="15" customHeight="1" s="128">
      <c r="A6" s="251" t="inlineStr">
        <is>
          <t>3. EMOTIONAL</t>
        </is>
      </c>
      <c r="C6" s="251" t="inlineStr">
        <is>
          <t>1.3 Comprehension and general ability</t>
        </is>
      </c>
      <c r="E6" s="251" t="inlineStr">
        <is>
          <t>3.3 Obsessive-compulsive and related</t>
        </is>
      </c>
      <c r="G6" s="251" t="inlineStr">
        <is>
          <t>5.3 Medical condition or other diagnosis</t>
        </is>
      </c>
      <c r="I6" s="251" t="inlineStr">
        <is>
          <t>3. Intervention</t>
        </is>
      </c>
      <c r="J6" s="251" t="inlineStr">
        <is>
          <t>3. Structured interviewing of teachers and SET</t>
        </is>
      </c>
      <c r="K6" s="251" t="inlineStr">
        <is>
          <t>13. Distinguish primary from secondary needs</t>
        </is>
      </c>
      <c r="L6" s="251" t="inlineStr">
        <is>
          <t>19. Wellbeing interventions at class and group level</t>
        </is>
      </c>
      <c r="M6" s="251" t="inlineStr">
        <is>
          <t>26. Visit a range of special education settings</t>
        </is>
      </c>
      <c r="N6" s="251" t="inlineStr">
        <is>
          <t>32. Give feedback to parents on assessment findings</t>
        </is>
      </c>
      <c r="O6" s="251" t="inlineStr">
        <is>
          <t>38. Obtain informed consent and assent</t>
        </is>
      </c>
      <c r="P6" s="251" t="inlineStr">
        <is>
          <t>45. Prepare and send an agenda in advance</t>
        </is>
      </c>
      <c r="Q6" s="251" t="inlineStr">
        <is>
          <t>55. State how a recommendation would be evaluated</t>
        </is>
      </c>
      <c r="R6" s="251" t="inlineStr">
        <is>
          <t>Adolescent (13–16)</t>
        </is>
      </c>
    </row>
    <row r="7" ht="15" customHeight="1" s="128">
      <c r="A7" s="251" t="inlineStr">
        <is>
          <t>4. SOCIAL</t>
        </is>
      </c>
      <c r="C7" s="251" t="inlineStr">
        <is>
          <t>1.4 Literacy — reading (fluency / comprehension), writing and spelling</t>
        </is>
      </c>
      <c r="E7" s="251" t="inlineStr">
        <is>
          <t>3.4 Mood</t>
        </is>
      </c>
      <c r="G7" s="251" t="inlineStr">
        <is>
          <t>5.4 Concerns about early development</t>
        </is>
      </c>
      <c r="I7" s="251" t="inlineStr">
        <is>
          <t>4. Systemic Change</t>
        </is>
      </c>
      <c r="J7" s="251" t="inlineStr">
        <is>
          <t>4. WISC-V administration to proficiency standard</t>
        </is>
      </c>
      <c r="K7" s="251" t="inlineStr">
        <is>
          <t>14. Consider the likelihood of co-occurring conditions</t>
        </is>
      </c>
      <c r="L7" s="251" t="inlineStr">
        <is>
          <t>20. Foundations in counselling skills</t>
        </is>
      </c>
      <c r="M7" s="251" t="inlineStr">
        <is>
          <t>27. Attend service team meetings</t>
        </is>
      </c>
      <c r="N7" s="251" t="inlineStr">
        <is>
          <t>33. Keep case notes to service standard</t>
        </is>
      </c>
      <c r="O7" s="251" t="inlineStr">
        <is>
          <t>39. Recognise and act on child protection concerns</t>
        </is>
      </c>
      <c r="P7" s="251" t="inlineStr">
        <is>
          <t>46. Keep supervision session records</t>
        </is>
      </c>
      <c r="R7" s="251" t="inlineStr">
        <is>
          <t>Young Adult (17–26)</t>
        </is>
      </c>
    </row>
    <row r="8" ht="15" customHeight="1" s="128">
      <c r="A8" s="251" t="inlineStr">
        <is>
          <t>5. OTHER</t>
        </is>
      </c>
      <c r="C8" s="251" t="inlineStr">
        <is>
          <t>1.5 Maths skills — concepts and computation</t>
        </is>
      </c>
      <c r="E8" s="251" t="inlineStr">
        <is>
          <t>3.5 Trauma, attachment and loss</t>
        </is>
      </c>
      <c r="G8" s="251" t="inlineStr">
        <is>
          <t>5.5 Involvement of other services</t>
        </is>
      </c>
      <c r="I8" s="251" t="inlineStr">
        <is>
          <t>5. Working with Others</t>
        </is>
      </c>
      <c r="J8" s="251" t="inlineStr">
        <is>
          <t>5. WIAT administration, scoring and interpretation</t>
        </is>
      </c>
      <c r="K8" s="251" t="inlineStr">
        <is>
          <t>15. Analyse risk and resilience</t>
        </is>
      </c>
      <c r="L8" s="251" t="inlineStr">
        <is>
          <t>21. Write recommendations naming the Continuum of Support level</t>
        </is>
      </c>
      <c r="M8" s="251" t="inlineStr">
        <is>
          <t>28. Learn consultation models</t>
        </is>
      </c>
      <c r="N8" s="251" t="inlineStr">
        <is>
          <t>34. Produce the psychological report to countersigning standard</t>
        </is>
      </c>
      <c r="O8" s="251" t="inlineStr">
        <is>
          <t>40. Work an ethical dilemma through a decision procedure</t>
        </is>
      </c>
      <c r="P8" s="251" t="inlineStr">
        <is>
          <t>47. Observe your supervisor with a client</t>
        </is>
      </c>
      <c r="R8" s="251" t="inlineStr">
        <is>
          <t>Special Setting (class or school)</t>
        </is>
      </c>
    </row>
    <row r="9" ht="15" customHeight="1" s="128">
      <c r="C9" s="251" t="inlineStr">
        <is>
          <t>1.6 Co-ordination — fine motor / handwriting, gross motor / PE skills</t>
        </is>
      </c>
      <c r="E9" s="251" t="inlineStr">
        <is>
          <t>3.6 School attendance</t>
        </is>
      </c>
      <c r="G9" s="251" t="inlineStr">
        <is>
          <t>5.6 School and access factors</t>
        </is>
      </c>
      <c r="I9" s="251" t="inlineStr">
        <is>
          <t>6. Ethical Practice</t>
        </is>
      </c>
      <c r="J9" s="251" t="inlineStr">
        <is>
          <t>6. Synthesise findings from multiple sources into one profile</t>
        </is>
      </c>
      <c r="K9" s="251" t="inlineStr">
        <is>
          <t>16. Account for the biopsychosocial context</t>
        </is>
      </c>
      <c r="L9" s="251" t="inlineStr">
        <is>
          <t>22. Observe and deliver parental feedback sessions</t>
        </is>
      </c>
      <c r="M9" s="251" t="inlineStr">
        <is>
          <t>29. Deliver the good practice presentation</t>
        </is>
      </c>
      <c r="N9" s="251" t="inlineStr">
        <is>
          <t>35. Adapt written communication to the audience</t>
        </is>
      </c>
      <c r="O9" s="251" t="inlineStr">
        <is>
          <t>41. State and hold the limits of your competence</t>
        </is>
      </c>
      <c r="P9" s="251" t="inlineStr">
        <is>
          <t>48. Be observed with a client</t>
        </is>
      </c>
    </row>
    <row r="10" ht="15" customHeight="1" s="128">
      <c r="E10" s="251" t="inlineStr">
        <is>
          <t>3.7 Risk and safeguarding</t>
        </is>
      </c>
      <c r="I10" s="251" t="inlineStr">
        <is>
          <t>7. Supervision</t>
        </is>
      </c>
      <c r="J10" s="251" t="inlineStr">
        <is>
          <t>7. Phonological and literacy measures</t>
        </is>
      </c>
      <c r="L10" s="251" t="inlineStr">
        <is>
          <t>23. Observe and then contribute to teacher consultation</t>
        </is>
      </c>
      <c r="O10" s="251" t="inlineStr">
        <is>
          <t>42. Manage workload and your own wellbeing</t>
        </is>
      </c>
      <c r="P10" s="251" t="inlineStr">
        <is>
          <t>49. Raise immediate concerns out of session</t>
        </is>
      </c>
    </row>
    <row r="11" ht="15" customHeight="1" s="128">
      <c r="I11" s="251" t="inlineStr">
        <is>
          <t>8. Research</t>
        </is>
      </c>
      <c r="J11" s="251" t="inlineStr">
        <is>
          <t>8. Social communication screening measures</t>
        </is>
      </c>
      <c r="P11" s="251" t="inlineStr">
        <is>
          <t>50. Contribute to peer and group supervision</t>
        </is>
      </c>
    </row>
    <row r="12" ht="15" customHeight="1" s="128">
      <c r="J12" s="251" t="inlineStr">
        <is>
          <t>9. Behavioural and emotional rating scales</t>
        </is>
      </c>
      <c r="P12" s="251" t="inlineStr">
        <is>
          <t>51. Complete Appendix 6 before and after</t>
        </is>
      </c>
    </row>
    <row r="13" ht="15" customHeight="1" s="128">
      <c r="J13" s="251" t="inlineStr">
        <is>
          <t>10. Adapt standardised procedure and record the adaptation</t>
        </is>
      </c>
      <c r="P13" s="251" t="inlineStr">
        <is>
          <t>52. Write the reflective learning essay</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2026-09-27T11:25:41Z</dcterms:created>
  <dcterms:modified xsi:type="dcterms:W3CDTF">2026-09-27T21:30:21Z</dcterms:modified>
  <cp:revision>0</cp:revision>
</cp:coreProperties>
</file>